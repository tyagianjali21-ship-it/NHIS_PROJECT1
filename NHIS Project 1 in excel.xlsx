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4623394f4f0715f7/Documents/"/>
    </mc:Choice>
  </mc:AlternateContent>
  <xr:revisionPtr revIDLastSave="12" documentId="8_{FBFA1042-BEAD-49B4-8079-68EEC8F65D95}" xr6:coauthVersionLast="47" xr6:coauthVersionMax="47" xr10:uidLastSave="{84DBCF86-0660-495A-A72A-5DAC6A9FEB1A}"/>
  <bookViews>
    <workbookView xWindow="-120" yWindow="-120" windowWidth="20730" windowHeight="11160" firstSheet="4" activeTab="6" xr2:uid="{CBCC1ED5-4751-48FA-81FC-0FD260FAF105}"/>
  </bookViews>
  <sheets>
    <sheet name="bikes booked as per hour" sheetId="5" r:id="rId1"/>
    <sheet name="bikes booked as per dates" sheetId="6" r:id="rId2"/>
    <sheet name="booked as per windspeed" sheetId="7" r:id="rId3"/>
    <sheet name="booked as per days" sheetId="8" r:id="rId4"/>
    <sheet name="as per weather" sheetId="11" r:id="rId5"/>
    <sheet name="Append1" sheetId="4" r:id="rId6"/>
    <sheet name="fdata 1" sheetId="2" r:id="rId7"/>
    <sheet name="fdata 2" sheetId="3" r:id="rId8"/>
    <sheet name="Report of Bikes registered" sheetId="1" r:id="rId9"/>
    <sheet name="KPI" sheetId="14" r:id="rId10"/>
  </sheets>
  <definedNames>
    <definedName name="ExternalData_1" localSheetId="6" hidden="1">'fdata 1'!$A$1:$R$612</definedName>
    <definedName name="ExternalData_1" localSheetId="7" hidden="1">'fdata 2'!$A$1:$R$4803</definedName>
    <definedName name="ExternalData_2" localSheetId="5" hidden="1">Append1!$A$1:$N$1012</definedName>
    <definedName name="Slicer_days">#N/A</definedName>
    <definedName name="Slicer_registered">#N/A</definedName>
    <definedName name="Slicer_temp">#N/A</definedName>
    <definedName name="Slicer_weather">#N/A</definedName>
    <definedName name="Slicer_windspee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O4" i="4"/>
  <c r="K4" i="4" s="1"/>
  <c r="O5" i="4"/>
  <c r="K5" i="4" s="1"/>
  <c r="O6" i="4"/>
  <c r="K6" i="4" s="1"/>
  <c r="O7" i="4"/>
  <c r="K7" i="4" s="1"/>
  <c r="O8" i="4"/>
  <c r="K8" i="4" s="1"/>
  <c r="O9" i="4"/>
  <c r="K9" i="4" s="1"/>
  <c r="O10" i="4"/>
  <c r="K10" i="4" s="1"/>
  <c r="O11" i="4"/>
  <c r="K11" i="4" s="1"/>
  <c r="O12" i="4"/>
  <c r="K12" i="4" s="1"/>
  <c r="O13" i="4"/>
  <c r="K13" i="4" s="1"/>
  <c r="O14" i="4"/>
  <c r="K14" i="4" s="1"/>
  <c r="O15" i="4"/>
  <c r="K15" i="4" s="1"/>
  <c r="O16" i="4"/>
  <c r="K16" i="4" s="1"/>
  <c r="O17" i="4"/>
  <c r="K17" i="4" s="1"/>
  <c r="O18" i="4"/>
  <c r="K18" i="4" s="1"/>
  <c r="O19" i="4"/>
  <c r="K19" i="4" s="1"/>
  <c r="O20" i="4"/>
  <c r="K20" i="4" s="1"/>
  <c r="O21" i="4"/>
  <c r="K21" i="4" s="1"/>
  <c r="O22" i="4"/>
  <c r="K22" i="4" s="1"/>
  <c r="O23" i="4"/>
  <c r="K23" i="4" s="1"/>
  <c r="O24" i="4"/>
  <c r="K24" i="4" s="1"/>
  <c r="O25" i="4"/>
  <c r="K25" i="4" s="1"/>
  <c r="O26" i="4"/>
  <c r="K26" i="4" s="1"/>
  <c r="O27" i="4"/>
  <c r="K27" i="4" s="1"/>
  <c r="O28" i="4"/>
  <c r="K28" i="4" s="1"/>
  <c r="O29" i="4"/>
  <c r="K29" i="4" s="1"/>
  <c r="O30" i="4"/>
  <c r="K30" i="4" s="1"/>
  <c r="O31" i="4"/>
  <c r="K31" i="4" s="1"/>
  <c r="O32" i="4"/>
  <c r="K32" i="4" s="1"/>
  <c r="O33" i="4"/>
  <c r="K33" i="4" s="1"/>
  <c r="O34" i="4"/>
  <c r="K34" i="4" s="1"/>
  <c r="O35" i="4"/>
  <c r="K35" i="4" s="1"/>
  <c r="O36" i="4"/>
  <c r="K36" i="4" s="1"/>
  <c r="O37" i="4"/>
  <c r="K37" i="4" s="1"/>
  <c r="O38" i="4"/>
  <c r="K38" i="4" s="1"/>
  <c r="O39" i="4"/>
  <c r="K39" i="4" s="1"/>
  <c r="O40" i="4"/>
  <c r="K40" i="4" s="1"/>
  <c r="O41" i="4"/>
  <c r="K41" i="4" s="1"/>
  <c r="O42" i="4"/>
  <c r="K42" i="4" s="1"/>
  <c r="O43" i="4"/>
  <c r="K43" i="4" s="1"/>
  <c r="O44" i="4"/>
  <c r="K44" i="4" s="1"/>
  <c r="O45" i="4"/>
  <c r="K45" i="4" s="1"/>
  <c r="O46" i="4"/>
  <c r="K46" i="4" s="1"/>
  <c r="O47" i="4"/>
  <c r="K47" i="4" s="1"/>
  <c r="O48" i="4"/>
  <c r="K48" i="4" s="1"/>
  <c r="O49" i="4"/>
  <c r="K49" i="4" s="1"/>
  <c r="O50" i="4"/>
  <c r="K50" i="4" s="1"/>
  <c r="O51" i="4"/>
  <c r="K51" i="4" s="1"/>
  <c r="O52" i="4"/>
  <c r="K52" i="4" s="1"/>
  <c r="O53" i="4"/>
  <c r="K53" i="4" s="1"/>
  <c r="O54" i="4"/>
  <c r="K54" i="4" s="1"/>
  <c r="O55" i="4"/>
  <c r="K55" i="4" s="1"/>
  <c r="O56" i="4"/>
  <c r="K56" i="4" s="1"/>
  <c r="O57" i="4"/>
  <c r="K57" i="4" s="1"/>
  <c r="O58" i="4"/>
  <c r="K58" i="4" s="1"/>
  <c r="O59" i="4"/>
  <c r="K59" i="4" s="1"/>
  <c r="O60" i="4"/>
  <c r="K60" i="4" s="1"/>
  <c r="O61" i="4"/>
  <c r="K61" i="4" s="1"/>
  <c r="O62" i="4"/>
  <c r="K62" i="4" s="1"/>
  <c r="O63" i="4"/>
  <c r="K63" i="4" s="1"/>
  <c r="O64" i="4"/>
  <c r="K64" i="4" s="1"/>
  <c r="O65" i="4"/>
  <c r="K65" i="4" s="1"/>
  <c r="O66" i="4"/>
  <c r="K66" i="4" s="1"/>
  <c r="O67" i="4"/>
  <c r="K67" i="4" s="1"/>
  <c r="O68" i="4"/>
  <c r="K68" i="4" s="1"/>
  <c r="O69" i="4"/>
  <c r="K69" i="4" s="1"/>
  <c r="O70" i="4"/>
  <c r="K70" i="4" s="1"/>
  <c r="O71" i="4"/>
  <c r="K71" i="4" s="1"/>
  <c r="O72" i="4"/>
  <c r="K72" i="4" s="1"/>
  <c r="O73" i="4"/>
  <c r="K73" i="4" s="1"/>
  <c r="O74" i="4"/>
  <c r="K74" i="4" s="1"/>
  <c r="O75" i="4"/>
  <c r="K75" i="4" s="1"/>
  <c r="O76" i="4"/>
  <c r="K76" i="4" s="1"/>
  <c r="O77" i="4"/>
  <c r="K77" i="4" s="1"/>
  <c r="O78" i="4"/>
  <c r="K78" i="4" s="1"/>
  <c r="O79" i="4"/>
  <c r="K79" i="4" s="1"/>
  <c r="O80" i="4"/>
  <c r="K80" i="4" s="1"/>
  <c r="O81" i="4"/>
  <c r="K81" i="4" s="1"/>
  <c r="O82" i="4"/>
  <c r="K82" i="4" s="1"/>
  <c r="O83" i="4"/>
  <c r="K83" i="4" s="1"/>
  <c r="O84" i="4"/>
  <c r="K84" i="4" s="1"/>
  <c r="O85" i="4"/>
  <c r="K85" i="4" s="1"/>
  <c r="O86" i="4"/>
  <c r="K86" i="4" s="1"/>
  <c r="O87" i="4"/>
  <c r="K87" i="4" s="1"/>
  <c r="O88" i="4"/>
  <c r="K88" i="4" s="1"/>
  <c r="O89" i="4"/>
  <c r="K89" i="4" s="1"/>
  <c r="O90" i="4"/>
  <c r="K90" i="4" s="1"/>
  <c r="O91" i="4"/>
  <c r="K91" i="4" s="1"/>
  <c r="O92" i="4"/>
  <c r="K92" i="4" s="1"/>
  <c r="O93" i="4"/>
  <c r="K93" i="4" s="1"/>
  <c r="O94" i="4"/>
  <c r="K94" i="4" s="1"/>
  <c r="O95" i="4"/>
  <c r="K95" i="4" s="1"/>
  <c r="O96" i="4"/>
  <c r="K96" i="4" s="1"/>
  <c r="O97" i="4"/>
  <c r="K97" i="4" s="1"/>
  <c r="O98" i="4"/>
  <c r="K98" i="4" s="1"/>
  <c r="O99" i="4"/>
  <c r="K99" i="4" s="1"/>
  <c r="O100" i="4"/>
  <c r="K100" i="4" s="1"/>
  <c r="O101" i="4"/>
  <c r="K101" i="4" s="1"/>
  <c r="O102" i="4"/>
  <c r="K102" i="4" s="1"/>
  <c r="O103" i="4"/>
  <c r="K103" i="4" s="1"/>
  <c r="O104" i="4"/>
  <c r="K104" i="4" s="1"/>
  <c r="O105" i="4"/>
  <c r="K105" i="4" s="1"/>
  <c r="O106" i="4"/>
  <c r="K106" i="4" s="1"/>
  <c r="O107" i="4"/>
  <c r="K107" i="4" s="1"/>
  <c r="O108" i="4"/>
  <c r="K108" i="4" s="1"/>
  <c r="O109" i="4"/>
  <c r="K109" i="4" s="1"/>
  <c r="O110" i="4"/>
  <c r="K110" i="4" s="1"/>
  <c r="O111" i="4"/>
  <c r="K111" i="4" s="1"/>
  <c r="O112" i="4"/>
  <c r="K112" i="4" s="1"/>
  <c r="O113" i="4"/>
  <c r="K113" i="4" s="1"/>
  <c r="O114" i="4"/>
  <c r="K114" i="4" s="1"/>
  <c r="O115" i="4"/>
  <c r="K115" i="4" s="1"/>
  <c r="O116" i="4"/>
  <c r="K116" i="4" s="1"/>
  <c r="O117" i="4"/>
  <c r="K117" i="4" s="1"/>
  <c r="O118" i="4"/>
  <c r="K118" i="4" s="1"/>
  <c r="O119" i="4"/>
  <c r="K119" i="4" s="1"/>
  <c r="O120" i="4"/>
  <c r="K120" i="4" s="1"/>
  <c r="O121" i="4"/>
  <c r="K121" i="4" s="1"/>
  <c r="O122" i="4"/>
  <c r="K122" i="4" s="1"/>
  <c r="O123" i="4"/>
  <c r="K123" i="4" s="1"/>
  <c r="O124" i="4"/>
  <c r="K124" i="4" s="1"/>
  <c r="O125" i="4"/>
  <c r="K125" i="4" s="1"/>
  <c r="O126" i="4"/>
  <c r="K126" i="4" s="1"/>
  <c r="O127" i="4"/>
  <c r="K127" i="4" s="1"/>
  <c r="O128" i="4"/>
  <c r="K128" i="4" s="1"/>
  <c r="O129" i="4"/>
  <c r="K129" i="4" s="1"/>
  <c r="O130" i="4"/>
  <c r="K130" i="4" s="1"/>
  <c r="O131" i="4"/>
  <c r="K131" i="4" s="1"/>
  <c r="O132" i="4"/>
  <c r="K132" i="4" s="1"/>
  <c r="O133" i="4"/>
  <c r="K133" i="4" s="1"/>
  <c r="O134" i="4"/>
  <c r="K134" i="4" s="1"/>
  <c r="O135" i="4"/>
  <c r="K135" i="4" s="1"/>
  <c r="O136" i="4"/>
  <c r="K136" i="4" s="1"/>
  <c r="O137" i="4"/>
  <c r="K137" i="4" s="1"/>
  <c r="O138" i="4"/>
  <c r="K138" i="4" s="1"/>
  <c r="O139" i="4"/>
  <c r="K139" i="4" s="1"/>
  <c r="O140" i="4"/>
  <c r="K140" i="4" s="1"/>
  <c r="O141" i="4"/>
  <c r="K141" i="4" s="1"/>
  <c r="O142" i="4"/>
  <c r="K142" i="4" s="1"/>
  <c r="O143" i="4"/>
  <c r="K143" i="4" s="1"/>
  <c r="O144" i="4"/>
  <c r="K144" i="4" s="1"/>
  <c r="O145" i="4"/>
  <c r="K145" i="4" s="1"/>
  <c r="O146" i="4"/>
  <c r="K146" i="4" s="1"/>
  <c r="O147" i="4"/>
  <c r="K147" i="4" s="1"/>
  <c r="O148" i="4"/>
  <c r="K148" i="4" s="1"/>
  <c r="O149" i="4"/>
  <c r="K149" i="4" s="1"/>
  <c r="O150" i="4"/>
  <c r="K150" i="4" s="1"/>
  <c r="O151" i="4"/>
  <c r="K151" i="4" s="1"/>
  <c r="O152" i="4"/>
  <c r="K152" i="4" s="1"/>
  <c r="O153" i="4"/>
  <c r="K153" i="4" s="1"/>
  <c r="O154" i="4"/>
  <c r="K154" i="4" s="1"/>
  <c r="O155" i="4"/>
  <c r="K155" i="4" s="1"/>
  <c r="O156" i="4"/>
  <c r="K156" i="4" s="1"/>
  <c r="O157" i="4"/>
  <c r="K157" i="4" s="1"/>
  <c r="O158" i="4"/>
  <c r="K158" i="4" s="1"/>
  <c r="O159" i="4"/>
  <c r="K159" i="4" s="1"/>
  <c r="O160" i="4"/>
  <c r="K160" i="4" s="1"/>
  <c r="O161" i="4"/>
  <c r="K161" i="4" s="1"/>
  <c r="O162" i="4"/>
  <c r="K162" i="4" s="1"/>
  <c r="O163" i="4"/>
  <c r="K163" i="4" s="1"/>
  <c r="O164" i="4"/>
  <c r="K164" i="4" s="1"/>
  <c r="O165" i="4"/>
  <c r="K165" i="4" s="1"/>
  <c r="O166" i="4"/>
  <c r="K166" i="4" s="1"/>
  <c r="O167" i="4"/>
  <c r="K167" i="4" s="1"/>
  <c r="O168" i="4"/>
  <c r="K168" i="4" s="1"/>
  <c r="O169" i="4"/>
  <c r="K169" i="4" s="1"/>
  <c r="O170" i="4"/>
  <c r="K170" i="4" s="1"/>
  <c r="O171" i="4"/>
  <c r="K171" i="4" s="1"/>
  <c r="O172" i="4"/>
  <c r="K172" i="4" s="1"/>
  <c r="O173" i="4"/>
  <c r="K173" i="4" s="1"/>
  <c r="O174" i="4"/>
  <c r="K174" i="4" s="1"/>
  <c r="O175" i="4"/>
  <c r="K175" i="4" s="1"/>
  <c r="O176" i="4"/>
  <c r="K176" i="4" s="1"/>
  <c r="O177" i="4"/>
  <c r="K177" i="4" s="1"/>
  <c r="O178" i="4"/>
  <c r="K178" i="4" s="1"/>
  <c r="O179" i="4"/>
  <c r="K179" i="4" s="1"/>
  <c r="O180" i="4"/>
  <c r="K180" i="4" s="1"/>
  <c r="O181" i="4"/>
  <c r="K181" i="4" s="1"/>
  <c r="O182" i="4"/>
  <c r="K182" i="4" s="1"/>
  <c r="O183" i="4"/>
  <c r="K183" i="4" s="1"/>
  <c r="O184" i="4"/>
  <c r="K184" i="4" s="1"/>
  <c r="O185" i="4"/>
  <c r="K185" i="4" s="1"/>
  <c r="O186" i="4"/>
  <c r="K186" i="4" s="1"/>
  <c r="O187" i="4"/>
  <c r="K187" i="4" s="1"/>
  <c r="O188" i="4"/>
  <c r="K188" i="4" s="1"/>
  <c r="O189" i="4"/>
  <c r="K189" i="4" s="1"/>
  <c r="O190" i="4"/>
  <c r="K190" i="4" s="1"/>
  <c r="O191" i="4"/>
  <c r="K191" i="4" s="1"/>
  <c r="O192" i="4"/>
  <c r="K192" i="4" s="1"/>
  <c r="O193" i="4"/>
  <c r="K193" i="4" s="1"/>
  <c r="O194" i="4"/>
  <c r="K194" i="4" s="1"/>
  <c r="O195" i="4"/>
  <c r="K195" i="4" s="1"/>
  <c r="O196" i="4"/>
  <c r="K196" i="4" s="1"/>
  <c r="O197" i="4"/>
  <c r="K197" i="4" s="1"/>
  <c r="O198" i="4"/>
  <c r="K198" i="4" s="1"/>
  <c r="O199" i="4"/>
  <c r="K199" i="4" s="1"/>
  <c r="O200" i="4"/>
  <c r="K200" i="4" s="1"/>
  <c r="O201" i="4"/>
  <c r="K201" i="4" s="1"/>
  <c r="O202" i="4"/>
  <c r="K202" i="4" s="1"/>
  <c r="O203" i="4"/>
  <c r="K203" i="4" s="1"/>
  <c r="O204" i="4"/>
  <c r="K204" i="4" s="1"/>
  <c r="O205" i="4"/>
  <c r="K205" i="4" s="1"/>
  <c r="O206" i="4"/>
  <c r="K206" i="4" s="1"/>
  <c r="O207" i="4"/>
  <c r="K207" i="4" s="1"/>
  <c r="O208" i="4"/>
  <c r="K208" i="4" s="1"/>
  <c r="O209" i="4"/>
  <c r="K209" i="4" s="1"/>
  <c r="O210" i="4"/>
  <c r="K210" i="4" s="1"/>
  <c r="O211" i="4"/>
  <c r="K211" i="4" s="1"/>
  <c r="O212" i="4"/>
  <c r="K212" i="4" s="1"/>
  <c r="O213" i="4"/>
  <c r="K213" i="4" s="1"/>
  <c r="O214" i="4"/>
  <c r="K214" i="4" s="1"/>
  <c r="O215" i="4"/>
  <c r="K215" i="4" s="1"/>
  <c r="O216" i="4"/>
  <c r="K216" i="4" s="1"/>
  <c r="O217" i="4"/>
  <c r="K217" i="4" s="1"/>
  <c r="O218" i="4"/>
  <c r="K218" i="4" s="1"/>
  <c r="O219" i="4"/>
  <c r="K219" i="4" s="1"/>
  <c r="O220" i="4"/>
  <c r="K220" i="4" s="1"/>
  <c r="O221" i="4"/>
  <c r="K221" i="4" s="1"/>
  <c r="O222" i="4"/>
  <c r="K222" i="4" s="1"/>
  <c r="O223" i="4"/>
  <c r="K223" i="4" s="1"/>
  <c r="O224" i="4"/>
  <c r="K224" i="4" s="1"/>
  <c r="O225" i="4"/>
  <c r="K225" i="4" s="1"/>
  <c r="O226" i="4"/>
  <c r="K226" i="4" s="1"/>
  <c r="O227" i="4"/>
  <c r="K227" i="4" s="1"/>
  <c r="O228" i="4"/>
  <c r="K228" i="4" s="1"/>
  <c r="O229" i="4"/>
  <c r="K229" i="4" s="1"/>
  <c r="O230" i="4"/>
  <c r="K230" i="4" s="1"/>
  <c r="O231" i="4"/>
  <c r="K231" i="4" s="1"/>
  <c r="O232" i="4"/>
  <c r="K232" i="4" s="1"/>
  <c r="O233" i="4"/>
  <c r="K233" i="4" s="1"/>
  <c r="O234" i="4"/>
  <c r="K234" i="4" s="1"/>
  <c r="O235" i="4"/>
  <c r="K235" i="4" s="1"/>
  <c r="O236" i="4"/>
  <c r="K236" i="4" s="1"/>
  <c r="O237" i="4"/>
  <c r="K237" i="4" s="1"/>
  <c r="O238" i="4"/>
  <c r="K238" i="4" s="1"/>
  <c r="O239" i="4"/>
  <c r="K239" i="4" s="1"/>
  <c r="O240" i="4"/>
  <c r="K240" i="4" s="1"/>
  <c r="O241" i="4"/>
  <c r="K241" i="4" s="1"/>
  <c r="O242" i="4"/>
  <c r="K242" i="4" s="1"/>
  <c r="O243" i="4"/>
  <c r="K243" i="4" s="1"/>
  <c r="O244" i="4"/>
  <c r="K244" i="4" s="1"/>
  <c r="O245" i="4"/>
  <c r="K245" i="4" s="1"/>
  <c r="O246" i="4"/>
  <c r="K246" i="4" s="1"/>
  <c r="O247" i="4"/>
  <c r="K247" i="4" s="1"/>
  <c r="O248" i="4"/>
  <c r="K248" i="4" s="1"/>
  <c r="O249" i="4"/>
  <c r="K249" i="4" s="1"/>
  <c r="O250" i="4"/>
  <c r="K250" i="4" s="1"/>
  <c r="O251" i="4"/>
  <c r="K251" i="4" s="1"/>
  <c r="O252" i="4"/>
  <c r="K252" i="4" s="1"/>
  <c r="O253" i="4"/>
  <c r="K253" i="4" s="1"/>
  <c r="O254" i="4"/>
  <c r="K254" i="4" s="1"/>
  <c r="O255" i="4"/>
  <c r="K255" i="4" s="1"/>
  <c r="O256" i="4"/>
  <c r="K256" i="4" s="1"/>
  <c r="O257" i="4"/>
  <c r="K257" i="4" s="1"/>
  <c r="O258" i="4"/>
  <c r="K258" i="4" s="1"/>
  <c r="O259" i="4"/>
  <c r="K259" i="4" s="1"/>
  <c r="O260" i="4"/>
  <c r="K260" i="4" s="1"/>
  <c r="O261" i="4"/>
  <c r="K261" i="4" s="1"/>
  <c r="O262" i="4"/>
  <c r="K262" i="4" s="1"/>
  <c r="O263" i="4"/>
  <c r="K263" i="4" s="1"/>
  <c r="O264" i="4"/>
  <c r="K264" i="4" s="1"/>
  <c r="O265" i="4"/>
  <c r="K265" i="4" s="1"/>
  <c r="O266" i="4"/>
  <c r="K266" i="4" s="1"/>
  <c r="O267" i="4"/>
  <c r="K267" i="4" s="1"/>
  <c r="O268" i="4"/>
  <c r="K268" i="4" s="1"/>
  <c r="O269" i="4"/>
  <c r="K269" i="4" s="1"/>
  <c r="O270" i="4"/>
  <c r="K270" i="4" s="1"/>
  <c r="O271" i="4"/>
  <c r="K271" i="4" s="1"/>
  <c r="O272" i="4"/>
  <c r="K272" i="4" s="1"/>
  <c r="O273" i="4"/>
  <c r="K273" i="4" s="1"/>
  <c r="O274" i="4"/>
  <c r="K274" i="4" s="1"/>
  <c r="O275" i="4"/>
  <c r="K275" i="4" s="1"/>
  <c r="O276" i="4"/>
  <c r="K276" i="4" s="1"/>
  <c r="O277" i="4"/>
  <c r="K277" i="4" s="1"/>
  <c r="O278" i="4"/>
  <c r="K278" i="4" s="1"/>
  <c r="O279" i="4"/>
  <c r="K279" i="4" s="1"/>
  <c r="O280" i="4"/>
  <c r="K280" i="4" s="1"/>
  <c r="O281" i="4"/>
  <c r="K281" i="4" s="1"/>
  <c r="O282" i="4"/>
  <c r="K282" i="4" s="1"/>
  <c r="O283" i="4"/>
  <c r="K283" i="4" s="1"/>
  <c r="O284" i="4"/>
  <c r="K284" i="4" s="1"/>
  <c r="O285" i="4"/>
  <c r="K285" i="4" s="1"/>
  <c r="O286" i="4"/>
  <c r="K286" i="4" s="1"/>
  <c r="O287" i="4"/>
  <c r="K287" i="4" s="1"/>
  <c r="O288" i="4"/>
  <c r="K288" i="4" s="1"/>
  <c r="O289" i="4"/>
  <c r="K289" i="4" s="1"/>
  <c r="O290" i="4"/>
  <c r="K290" i="4" s="1"/>
  <c r="O291" i="4"/>
  <c r="K291" i="4" s="1"/>
  <c r="O292" i="4"/>
  <c r="K292" i="4" s="1"/>
  <c r="O293" i="4"/>
  <c r="K293" i="4" s="1"/>
  <c r="O294" i="4"/>
  <c r="K294" i="4" s="1"/>
  <c r="O295" i="4"/>
  <c r="K295" i="4" s="1"/>
  <c r="O296" i="4"/>
  <c r="K296" i="4" s="1"/>
  <c r="O297" i="4"/>
  <c r="K297" i="4" s="1"/>
  <c r="O298" i="4"/>
  <c r="K298" i="4" s="1"/>
  <c r="O299" i="4"/>
  <c r="K299" i="4" s="1"/>
  <c r="O300" i="4"/>
  <c r="K300" i="4" s="1"/>
  <c r="O301" i="4"/>
  <c r="K301" i="4" s="1"/>
  <c r="O302" i="4"/>
  <c r="K302" i="4" s="1"/>
  <c r="O303" i="4"/>
  <c r="K303" i="4" s="1"/>
  <c r="O304" i="4"/>
  <c r="K304" i="4" s="1"/>
  <c r="O305" i="4"/>
  <c r="K305" i="4" s="1"/>
  <c r="O306" i="4"/>
  <c r="K306" i="4" s="1"/>
  <c r="O307" i="4"/>
  <c r="K307" i="4" s="1"/>
  <c r="O308" i="4"/>
  <c r="K308" i="4" s="1"/>
  <c r="O309" i="4"/>
  <c r="K309" i="4" s="1"/>
  <c r="O310" i="4"/>
  <c r="K310" i="4" s="1"/>
  <c r="O311" i="4"/>
  <c r="K311" i="4" s="1"/>
  <c r="O312" i="4"/>
  <c r="K312" i="4" s="1"/>
  <c r="O313" i="4"/>
  <c r="K313" i="4" s="1"/>
  <c r="O314" i="4"/>
  <c r="K314" i="4" s="1"/>
  <c r="O315" i="4"/>
  <c r="K315" i="4" s="1"/>
  <c r="O316" i="4"/>
  <c r="K316" i="4" s="1"/>
  <c r="O317" i="4"/>
  <c r="K317" i="4" s="1"/>
  <c r="O318" i="4"/>
  <c r="K318" i="4" s="1"/>
  <c r="O319" i="4"/>
  <c r="K319" i="4" s="1"/>
  <c r="O320" i="4"/>
  <c r="K320" i="4" s="1"/>
  <c r="O321" i="4"/>
  <c r="K321" i="4" s="1"/>
  <c r="O322" i="4"/>
  <c r="K322" i="4" s="1"/>
  <c r="O323" i="4"/>
  <c r="K323" i="4" s="1"/>
  <c r="O324" i="4"/>
  <c r="K324" i="4" s="1"/>
  <c r="O325" i="4"/>
  <c r="K325" i="4" s="1"/>
  <c r="O326" i="4"/>
  <c r="K326" i="4" s="1"/>
  <c r="O327" i="4"/>
  <c r="K327" i="4" s="1"/>
  <c r="O328" i="4"/>
  <c r="K328" i="4" s="1"/>
  <c r="O329" i="4"/>
  <c r="K329" i="4" s="1"/>
  <c r="O330" i="4"/>
  <c r="K330" i="4" s="1"/>
  <c r="O331" i="4"/>
  <c r="K331" i="4" s="1"/>
  <c r="O332" i="4"/>
  <c r="K332" i="4" s="1"/>
  <c r="O333" i="4"/>
  <c r="K333" i="4" s="1"/>
  <c r="O334" i="4"/>
  <c r="K334" i="4" s="1"/>
  <c r="O335" i="4"/>
  <c r="K335" i="4" s="1"/>
  <c r="O336" i="4"/>
  <c r="K336" i="4" s="1"/>
  <c r="O337" i="4"/>
  <c r="K337" i="4" s="1"/>
  <c r="O338" i="4"/>
  <c r="K338" i="4" s="1"/>
  <c r="O339" i="4"/>
  <c r="K339" i="4" s="1"/>
  <c r="O340" i="4"/>
  <c r="K340" i="4" s="1"/>
  <c r="O341" i="4"/>
  <c r="K341" i="4" s="1"/>
  <c r="O342" i="4"/>
  <c r="K342" i="4" s="1"/>
  <c r="O343" i="4"/>
  <c r="K343" i="4" s="1"/>
  <c r="O344" i="4"/>
  <c r="K344" i="4" s="1"/>
  <c r="O345" i="4"/>
  <c r="K345" i="4" s="1"/>
  <c r="O346" i="4"/>
  <c r="K346" i="4" s="1"/>
  <c r="O347" i="4"/>
  <c r="K347" i="4" s="1"/>
  <c r="O348" i="4"/>
  <c r="K348" i="4" s="1"/>
  <c r="O349" i="4"/>
  <c r="K349" i="4" s="1"/>
  <c r="O350" i="4"/>
  <c r="K350" i="4" s="1"/>
  <c r="O351" i="4"/>
  <c r="K351" i="4" s="1"/>
  <c r="O352" i="4"/>
  <c r="K352" i="4" s="1"/>
  <c r="O353" i="4"/>
  <c r="K353" i="4" s="1"/>
  <c r="O354" i="4"/>
  <c r="K354" i="4" s="1"/>
  <c r="O355" i="4"/>
  <c r="K355" i="4" s="1"/>
  <c r="O356" i="4"/>
  <c r="K356" i="4" s="1"/>
  <c r="O357" i="4"/>
  <c r="K357" i="4" s="1"/>
  <c r="O358" i="4"/>
  <c r="K358" i="4" s="1"/>
  <c r="O359" i="4"/>
  <c r="K359" i="4" s="1"/>
  <c r="O360" i="4"/>
  <c r="K360" i="4" s="1"/>
  <c r="O361" i="4"/>
  <c r="K361" i="4" s="1"/>
  <c r="O362" i="4"/>
  <c r="K362" i="4" s="1"/>
  <c r="O363" i="4"/>
  <c r="K363" i="4" s="1"/>
  <c r="O364" i="4"/>
  <c r="K364" i="4" s="1"/>
  <c r="O365" i="4"/>
  <c r="K365" i="4" s="1"/>
  <c r="O366" i="4"/>
  <c r="K366" i="4" s="1"/>
  <c r="O367" i="4"/>
  <c r="K367" i="4" s="1"/>
  <c r="O368" i="4"/>
  <c r="K368" i="4" s="1"/>
  <c r="O369" i="4"/>
  <c r="K369" i="4" s="1"/>
  <c r="O370" i="4"/>
  <c r="K370" i="4" s="1"/>
  <c r="O371" i="4"/>
  <c r="K371" i="4" s="1"/>
  <c r="O372" i="4"/>
  <c r="K372" i="4" s="1"/>
  <c r="O373" i="4"/>
  <c r="K373" i="4" s="1"/>
  <c r="O374" i="4"/>
  <c r="K374" i="4" s="1"/>
  <c r="O375" i="4"/>
  <c r="K375" i="4" s="1"/>
  <c r="O376" i="4"/>
  <c r="K376" i="4" s="1"/>
  <c r="O377" i="4"/>
  <c r="K377" i="4" s="1"/>
  <c r="O378" i="4"/>
  <c r="K378" i="4" s="1"/>
  <c r="O379" i="4"/>
  <c r="K379" i="4" s="1"/>
  <c r="O380" i="4"/>
  <c r="K380" i="4" s="1"/>
  <c r="O381" i="4"/>
  <c r="K381" i="4" s="1"/>
  <c r="O382" i="4"/>
  <c r="K382" i="4" s="1"/>
  <c r="O383" i="4"/>
  <c r="K383" i="4" s="1"/>
  <c r="O384" i="4"/>
  <c r="K384" i="4" s="1"/>
  <c r="O385" i="4"/>
  <c r="K385" i="4" s="1"/>
  <c r="O386" i="4"/>
  <c r="K386" i="4" s="1"/>
  <c r="O387" i="4"/>
  <c r="K387" i="4" s="1"/>
  <c r="O388" i="4"/>
  <c r="K388" i="4" s="1"/>
  <c r="O389" i="4"/>
  <c r="K389" i="4" s="1"/>
  <c r="O390" i="4"/>
  <c r="K390" i="4" s="1"/>
  <c r="O391" i="4"/>
  <c r="K391" i="4" s="1"/>
  <c r="O392" i="4"/>
  <c r="K392" i="4" s="1"/>
  <c r="O393" i="4"/>
  <c r="K393" i="4" s="1"/>
  <c r="O394" i="4"/>
  <c r="K394" i="4" s="1"/>
  <c r="O395" i="4"/>
  <c r="K395" i="4" s="1"/>
  <c r="O396" i="4"/>
  <c r="K396" i="4" s="1"/>
  <c r="O397" i="4"/>
  <c r="K397" i="4" s="1"/>
  <c r="O398" i="4"/>
  <c r="K398" i="4" s="1"/>
  <c r="O399" i="4"/>
  <c r="K399" i="4" s="1"/>
  <c r="O400" i="4"/>
  <c r="K400" i="4" s="1"/>
  <c r="O401" i="4"/>
  <c r="K401" i="4" s="1"/>
  <c r="O402" i="4"/>
  <c r="K402" i="4" s="1"/>
  <c r="O403" i="4"/>
  <c r="K403" i="4" s="1"/>
  <c r="O404" i="4"/>
  <c r="K404" i="4" s="1"/>
  <c r="O405" i="4"/>
  <c r="K405" i="4" s="1"/>
  <c r="O406" i="4"/>
  <c r="K406" i="4" s="1"/>
  <c r="O407" i="4"/>
  <c r="K407" i="4" s="1"/>
  <c r="O408" i="4"/>
  <c r="K408" i="4" s="1"/>
  <c r="O409" i="4"/>
  <c r="K409" i="4" s="1"/>
  <c r="O410" i="4"/>
  <c r="K410" i="4" s="1"/>
  <c r="O411" i="4"/>
  <c r="K411" i="4" s="1"/>
  <c r="O412" i="4"/>
  <c r="K412" i="4" s="1"/>
  <c r="O413" i="4"/>
  <c r="K413" i="4" s="1"/>
  <c r="O414" i="4"/>
  <c r="K414" i="4" s="1"/>
  <c r="O415" i="4"/>
  <c r="K415" i="4" s="1"/>
  <c r="O416" i="4"/>
  <c r="K416" i="4" s="1"/>
  <c r="O417" i="4"/>
  <c r="K417" i="4" s="1"/>
  <c r="O418" i="4"/>
  <c r="K418" i="4" s="1"/>
  <c r="O419" i="4"/>
  <c r="K419" i="4" s="1"/>
  <c r="O420" i="4"/>
  <c r="K420" i="4" s="1"/>
  <c r="O421" i="4"/>
  <c r="K421" i="4" s="1"/>
  <c r="O422" i="4"/>
  <c r="K422" i="4" s="1"/>
  <c r="O423" i="4"/>
  <c r="K423" i="4" s="1"/>
  <c r="O424" i="4"/>
  <c r="K424" i="4" s="1"/>
  <c r="O425" i="4"/>
  <c r="K425" i="4" s="1"/>
  <c r="O426" i="4"/>
  <c r="K426" i="4" s="1"/>
  <c r="O427" i="4"/>
  <c r="K427" i="4" s="1"/>
  <c r="O428" i="4"/>
  <c r="K428" i="4" s="1"/>
  <c r="O429" i="4"/>
  <c r="K429" i="4" s="1"/>
  <c r="O430" i="4"/>
  <c r="K430" i="4" s="1"/>
  <c r="O431" i="4"/>
  <c r="K431" i="4" s="1"/>
  <c r="O432" i="4"/>
  <c r="K432" i="4" s="1"/>
  <c r="O433" i="4"/>
  <c r="K433" i="4" s="1"/>
  <c r="O434" i="4"/>
  <c r="K434" i="4" s="1"/>
  <c r="O435" i="4"/>
  <c r="K435" i="4" s="1"/>
  <c r="O436" i="4"/>
  <c r="K436" i="4" s="1"/>
  <c r="O437" i="4"/>
  <c r="K437" i="4" s="1"/>
  <c r="O438" i="4"/>
  <c r="K438" i="4" s="1"/>
  <c r="O439" i="4"/>
  <c r="K439" i="4" s="1"/>
  <c r="O440" i="4"/>
  <c r="K440" i="4" s="1"/>
  <c r="O441" i="4"/>
  <c r="K441" i="4" s="1"/>
  <c r="O442" i="4"/>
  <c r="K442" i="4" s="1"/>
  <c r="O443" i="4"/>
  <c r="K443" i="4" s="1"/>
  <c r="O444" i="4"/>
  <c r="K444" i="4" s="1"/>
  <c r="O445" i="4"/>
  <c r="K445" i="4" s="1"/>
  <c r="O446" i="4"/>
  <c r="K446" i="4" s="1"/>
  <c r="O447" i="4"/>
  <c r="K447" i="4" s="1"/>
  <c r="O448" i="4"/>
  <c r="K448" i="4" s="1"/>
  <c r="O449" i="4"/>
  <c r="K449" i="4" s="1"/>
  <c r="O450" i="4"/>
  <c r="K450" i="4" s="1"/>
  <c r="O451" i="4"/>
  <c r="K451" i="4" s="1"/>
  <c r="O452" i="4"/>
  <c r="K452" i="4" s="1"/>
  <c r="O453" i="4"/>
  <c r="K453" i="4" s="1"/>
  <c r="O454" i="4"/>
  <c r="K454" i="4" s="1"/>
  <c r="O455" i="4"/>
  <c r="K455" i="4" s="1"/>
  <c r="O456" i="4"/>
  <c r="K456" i="4" s="1"/>
  <c r="O457" i="4"/>
  <c r="K457" i="4" s="1"/>
  <c r="O458" i="4"/>
  <c r="K458" i="4" s="1"/>
  <c r="O459" i="4"/>
  <c r="K459" i="4" s="1"/>
  <c r="O460" i="4"/>
  <c r="K460" i="4" s="1"/>
  <c r="O461" i="4"/>
  <c r="K461" i="4" s="1"/>
  <c r="O462" i="4"/>
  <c r="K462" i="4" s="1"/>
  <c r="O463" i="4"/>
  <c r="K463" i="4" s="1"/>
  <c r="O464" i="4"/>
  <c r="K464" i="4" s="1"/>
  <c r="O465" i="4"/>
  <c r="K465" i="4" s="1"/>
  <c r="O466" i="4"/>
  <c r="K466" i="4" s="1"/>
  <c r="O467" i="4"/>
  <c r="K467" i="4" s="1"/>
  <c r="O468" i="4"/>
  <c r="K468" i="4" s="1"/>
  <c r="O469" i="4"/>
  <c r="K469" i="4" s="1"/>
  <c r="O470" i="4"/>
  <c r="K470" i="4" s="1"/>
  <c r="O471" i="4"/>
  <c r="K471" i="4" s="1"/>
  <c r="O472" i="4"/>
  <c r="K472" i="4" s="1"/>
  <c r="O473" i="4"/>
  <c r="K473" i="4" s="1"/>
  <c r="O474" i="4"/>
  <c r="K474" i="4" s="1"/>
  <c r="O475" i="4"/>
  <c r="K475" i="4" s="1"/>
  <c r="O476" i="4"/>
  <c r="K476" i="4" s="1"/>
  <c r="O477" i="4"/>
  <c r="K477" i="4" s="1"/>
  <c r="O478" i="4"/>
  <c r="K478" i="4" s="1"/>
  <c r="O479" i="4"/>
  <c r="K479" i="4" s="1"/>
  <c r="O480" i="4"/>
  <c r="K480" i="4" s="1"/>
  <c r="O481" i="4"/>
  <c r="K481" i="4" s="1"/>
  <c r="O482" i="4"/>
  <c r="K482" i="4" s="1"/>
  <c r="O483" i="4"/>
  <c r="K483" i="4" s="1"/>
  <c r="O484" i="4"/>
  <c r="K484" i="4" s="1"/>
  <c r="O485" i="4"/>
  <c r="K485" i="4" s="1"/>
  <c r="O486" i="4"/>
  <c r="K486" i="4" s="1"/>
  <c r="O487" i="4"/>
  <c r="K487" i="4" s="1"/>
  <c r="O488" i="4"/>
  <c r="K488" i="4" s="1"/>
  <c r="O489" i="4"/>
  <c r="K489" i="4" s="1"/>
  <c r="O490" i="4"/>
  <c r="K490" i="4" s="1"/>
  <c r="O491" i="4"/>
  <c r="K491" i="4" s="1"/>
  <c r="O492" i="4"/>
  <c r="K492" i="4" s="1"/>
  <c r="O493" i="4"/>
  <c r="K493" i="4" s="1"/>
  <c r="O494" i="4"/>
  <c r="K494" i="4" s="1"/>
  <c r="O495" i="4"/>
  <c r="K495" i="4" s="1"/>
  <c r="O496" i="4"/>
  <c r="K496" i="4" s="1"/>
  <c r="O497" i="4"/>
  <c r="K497" i="4" s="1"/>
  <c r="O498" i="4"/>
  <c r="K498" i="4" s="1"/>
  <c r="O499" i="4"/>
  <c r="K499" i="4" s="1"/>
  <c r="O500" i="4"/>
  <c r="K500" i="4" s="1"/>
  <c r="O501" i="4"/>
  <c r="K501" i="4" s="1"/>
  <c r="O502" i="4"/>
  <c r="K502" i="4" s="1"/>
  <c r="O503" i="4"/>
  <c r="K503" i="4" s="1"/>
  <c r="O504" i="4"/>
  <c r="K504" i="4" s="1"/>
  <c r="O505" i="4"/>
  <c r="K505" i="4" s="1"/>
  <c r="O506" i="4"/>
  <c r="K506" i="4" s="1"/>
  <c r="O507" i="4"/>
  <c r="K507" i="4" s="1"/>
  <c r="O508" i="4"/>
  <c r="K508" i="4" s="1"/>
  <c r="O509" i="4"/>
  <c r="K509" i="4" s="1"/>
  <c r="O510" i="4"/>
  <c r="K510" i="4" s="1"/>
  <c r="O511" i="4"/>
  <c r="K511" i="4" s="1"/>
  <c r="O512" i="4"/>
  <c r="K512" i="4" s="1"/>
  <c r="O513" i="4"/>
  <c r="K513" i="4" s="1"/>
  <c r="O514" i="4"/>
  <c r="K514" i="4" s="1"/>
  <c r="O515" i="4"/>
  <c r="K515" i="4" s="1"/>
  <c r="O516" i="4"/>
  <c r="K516" i="4" s="1"/>
  <c r="O517" i="4"/>
  <c r="K517" i="4" s="1"/>
  <c r="O518" i="4"/>
  <c r="K518" i="4" s="1"/>
  <c r="O519" i="4"/>
  <c r="K519" i="4" s="1"/>
  <c r="O520" i="4"/>
  <c r="K520" i="4" s="1"/>
  <c r="O521" i="4"/>
  <c r="K521" i="4" s="1"/>
  <c r="O522" i="4"/>
  <c r="K522" i="4" s="1"/>
  <c r="O523" i="4"/>
  <c r="K523" i="4" s="1"/>
  <c r="O524" i="4"/>
  <c r="K524" i="4" s="1"/>
  <c r="O525" i="4"/>
  <c r="K525" i="4" s="1"/>
  <c r="O526" i="4"/>
  <c r="K526" i="4" s="1"/>
  <c r="O527" i="4"/>
  <c r="K527" i="4" s="1"/>
  <c r="O528" i="4"/>
  <c r="K528" i="4" s="1"/>
  <c r="O529" i="4"/>
  <c r="K529" i="4" s="1"/>
  <c r="O530" i="4"/>
  <c r="K530" i="4" s="1"/>
  <c r="O531" i="4"/>
  <c r="K531" i="4" s="1"/>
  <c r="O532" i="4"/>
  <c r="K532" i="4" s="1"/>
  <c r="O533" i="4"/>
  <c r="K533" i="4" s="1"/>
  <c r="O534" i="4"/>
  <c r="K534" i="4" s="1"/>
  <c r="O535" i="4"/>
  <c r="K535" i="4" s="1"/>
  <c r="O536" i="4"/>
  <c r="K536" i="4" s="1"/>
  <c r="O537" i="4"/>
  <c r="K537" i="4" s="1"/>
  <c r="O538" i="4"/>
  <c r="K538" i="4" s="1"/>
  <c r="O539" i="4"/>
  <c r="K539" i="4" s="1"/>
  <c r="O540" i="4"/>
  <c r="K540" i="4" s="1"/>
  <c r="O541" i="4"/>
  <c r="K541" i="4" s="1"/>
  <c r="O542" i="4"/>
  <c r="K542" i="4" s="1"/>
  <c r="O543" i="4"/>
  <c r="K543" i="4" s="1"/>
  <c r="O544" i="4"/>
  <c r="K544" i="4" s="1"/>
  <c r="O545" i="4"/>
  <c r="K545" i="4" s="1"/>
  <c r="O546" i="4"/>
  <c r="K546" i="4" s="1"/>
  <c r="O547" i="4"/>
  <c r="K547" i="4" s="1"/>
  <c r="O548" i="4"/>
  <c r="K548" i="4" s="1"/>
  <c r="O549" i="4"/>
  <c r="K549" i="4" s="1"/>
  <c r="O550" i="4"/>
  <c r="K550" i="4" s="1"/>
  <c r="O551" i="4"/>
  <c r="K551" i="4" s="1"/>
  <c r="O552" i="4"/>
  <c r="K552" i="4" s="1"/>
  <c r="O553" i="4"/>
  <c r="K553" i="4" s="1"/>
  <c r="O554" i="4"/>
  <c r="K554" i="4" s="1"/>
  <c r="O555" i="4"/>
  <c r="K555" i="4" s="1"/>
  <c r="O556" i="4"/>
  <c r="K556" i="4" s="1"/>
  <c r="O557" i="4"/>
  <c r="K557" i="4" s="1"/>
  <c r="O558" i="4"/>
  <c r="K558" i="4" s="1"/>
  <c r="O559" i="4"/>
  <c r="K559" i="4" s="1"/>
  <c r="O560" i="4"/>
  <c r="K560" i="4" s="1"/>
  <c r="O561" i="4"/>
  <c r="K561" i="4" s="1"/>
  <c r="O562" i="4"/>
  <c r="K562" i="4" s="1"/>
  <c r="O563" i="4"/>
  <c r="K563" i="4" s="1"/>
  <c r="O564" i="4"/>
  <c r="K564" i="4" s="1"/>
  <c r="O565" i="4"/>
  <c r="K565" i="4" s="1"/>
  <c r="O566" i="4"/>
  <c r="K566" i="4" s="1"/>
  <c r="O567" i="4"/>
  <c r="K567" i="4" s="1"/>
  <c r="O568" i="4"/>
  <c r="K568" i="4" s="1"/>
  <c r="O569" i="4"/>
  <c r="K569" i="4" s="1"/>
  <c r="O570" i="4"/>
  <c r="K570" i="4" s="1"/>
  <c r="O571" i="4"/>
  <c r="K571" i="4" s="1"/>
  <c r="O572" i="4"/>
  <c r="K572" i="4" s="1"/>
  <c r="O573" i="4"/>
  <c r="K573" i="4" s="1"/>
  <c r="O574" i="4"/>
  <c r="K574" i="4" s="1"/>
  <c r="O575" i="4"/>
  <c r="K575" i="4" s="1"/>
  <c r="O576" i="4"/>
  <c r="K576" i="4" s="1"/>
  <c r="O577" i="4"/>
  <c r="K577" i="4" s="1"/>
  <c r="O578" i="4"/>
  <c r="K578" i="4" s="1"/>
  <c r="O579" i="4"/>
  <c r="K579" i="4" s="1"/>
  <c r="O580" i="4"/>
  <c r="K580" i="4" s="1"/>
  <c r="O581" i="4"/>
  <c r="K581" i="4" s="1"/>
  <c r="O582" i="4"/>
  <c r="K582" i="4" s="1"/>
  <c r="O583" i="4"/>
  <c r="K583" i="4" s="1"/>
  <c r="O584" i="4"/>
  <c r="K584" i="4" s="1"/>
  <c r="O585" i="4"/>
  <c r="K585" i="4" s="1"/>
  <c r="O586" i="4"/>
  <c r="K586" i="4" s="1"/>
  <c r="O587" i="4"/>
  <c r="K587" i="4" s="1"/>
  <c r="O588" i="4"/>
  <c r="K588" i="4" s="1"/>
  <c r="O589" i="4"/>
  <c r="K589" i="4" s="1"/>
  <c r="O590" i="4"/>
  <c r="K590" i="4" s="1"/>
  <c r="O591" i="4"/>
  <c r="K591" i="4" s="1"/>
  <c r="O592" i="4"/>
  <c r="K592" i="4" s="1"/>
  <c r="O593" i="4"/>
  <c r="K593" i="4" s="1"/>
  <c r="O594" i="4"/>
  <c r="K594" i="4" s="1"/>
  <c r="O595" i="4"/>
  <c r="K595" i="4" s="1"/>
  <c r="O596" i="4"/>
  <c r="K596" i="4" s="1"/>
  <c r="O597" i="4"/>
  <c r="K597" i="4" s="1"/>
  <c r="O598" i="4"/>
  <c r="K598" i="4" s="1"/>
  <c r="O599" i="4"/>
  <c r="K599" i="4" s="1"/>
  <c r="O600" i="4"/>
  <c r="K600" i="4" s="1"/>
  <c r="O601" i="4"/>
  <c r="K601" i="4" s="1"/>
  <c r="O602" i="4"/>
  <c r="K602" i="4" s="1"/>
  <c r="O603" i="4"/>
  <c r="K603" i="4" s="1"/>
  <c r="O604" i="4"/>
  <c r="K604" i="4" s="1"/>
  <c r="O605" i="4"/>
  <c r="K605" i="4" s="1"/>
  <c r="O606" i="4"/>
  <c r="K606" i="4" s="1"/>
  <c r="O607" i="4"/>
  <c r="K607" i="4" s="1"/>
  <c r="O608" i="4"/>
  <c r="K608" i="4" s="1"/>
  <c r="O609" i="4"/>
  <c r="K609" i="4" s="1"/>
  <c r="O610" i="4"/>
  <c r="K610" i="4" s="1"/>
  <c r="O611" i="4"/>
  <c r="K611" i="4" s="1"/>
  <c r="O612" i="4"/>
  <c r="K612" i="4" s="1"/>
  <c r="O613" i="4"/>
  <c r="K613" i="4" s="1"/>
  <c r="O614" i="4"/>
  <c r="K614" i="4" s="1"/>
  <c r="O615" i="4"/>
  <c r="K615" i="4" s="1"/>
  <c r="O616" i="4"/>
  <c r="K616" i="4" s="1"/>
  <c r="O617" i="4"/>
  <c r="K617" i="4" s="1"/>
  <c r="O618" i="4"/>
  <c r="K618" i="4" s="1"/>
  <c r="O619" i="4"/>
  <c r="K619" i="4" s="1"/>
  <c r="O620" i="4"/>
  <c r="K620" i="4" s="1"/>
  <c r="O621" i="4"/>
  <c r="K621" i="4" s="1"/>
  <c r="O622" i="4"/>
  <c r="K622" i="4" s="1"/>
  <c r="O623" i="4"/>
  <c r="K623" i="4" s="1"/>
  <c r="O624" i="4"/>
  <c r="K624" i="4" s="1"/>
  <c r="O625" i="4"/>
  <c r="K625" i="4" s="1"/>
  <c r="O626" i="4"/>
  <c r="K626" i="4" s="1"/>
  <c r="O627" i="4"/>
  <c r="K627" i="4" s="1"/>
  <c r="O628" i="4"/>
  <c r="K628" i="4" s="1"/>
  <c r="O629" i="4"/>
  <c r="K629" i="4" s="1"/>
  <c r="O630" i="4"/>
  <c r="K630" i="4" s="1"/>
  <c r="O631" i="4"/>
  <c r="K631" i="4" s="1"/>
  <c r="O632" i="4"/>
  <c r="K632" i="4" s="1"/>
  <c r="O633" i="4"/>
  <c r="K633" i="4" s="1"/>
  <c r="O634" i="4"/>
  <c r="K634" i="4" s="1"/>
  <c r="O635" i="4"/>
  <c r="K635" i="4" s="1"/>
  <c r="O636" i="4"/>
  <c r="K636" i="4" s="1"/>
  <c r="O637" i="4"/>
  <c r="K637" i="4" s="1"/>
  <c r="O638" i="4"/>
  <c r="K638" i="4" s="1"/>
  <c r="O639" i="4"/>
  <c r="K639" i="4" s="1"/>
  <c r="O640" i="4"/>
  <c r="K640" i="4" s="1"/>
  <c r="O641" i="4"/>
  <c r="K641" i="4" s="1"/>
  <c r="O642" i="4"/>
  <c r="K642" i="4" s="1"/>
  <c r="O643" i="4"/>
  <c r="K643" i="4" s="1"/>
  <c r="O644" i="4"/>
  <c r="K644" i="4" s="1"/>
  <c r="O645" i="4"/>
  <c r="K645" i="4" s="1"/>
  <c r="O646" i="4"/>
  <c r="K646" i="4" s="1"/>
  <c r="O647" i="4"/>
  <c r="K647" i="4" s="1"/>
  <c r="O648" i="4"/>
  <c r="K648" i="4" s="1"/>
  <c r="O649" i="4"/>
  <c r="K649" i="4" s="1"/>
  <c r="O650" i="4"/>
  <c r="K650" i="4" s="1"/>
  <c r="O651" i="4"/>
  <c r="K651" i="4" s="1"/>
  <c r="O652" i="4"/>
  <c r="K652" i="4" s="1"/>
  <c r="O653" i="4"/>
  <c r="K653" i="4" s="1"/>
  <c r="O654" i="4"/>
  <c r="K654" i="4" s="1"/>
  <c r="O655" i="4"/>
  <c r="K655" i="4" s="1"/>
  <c r="O656" i="4"/>
  <c r="K656" i="4" s="1"/>
  <c r="O657" i="4"/>
  <c r="K657" i="4" s="1"/>
  <c r="O658" i="4"/>
  <c r="K658" i="4" s="1"/>
  <c r="O659" i="4"/>
  <c r="K659" i="4" s="1"/>
  <c r="O660" i="4"/>
  <c r="K660" i="4" s="1"/>
  <c r="O661" i="4"/>
  <c r="K661" i="4" s="1"/>
  <c r="O662" i="4"/>
  <c r="K662" i="4" s="1"/>
  <c r="O663" i="4"/>
  <c r="K663" i="4" s="1"/>
  <c r="O664" i="4"/>
  <c r="K664" i="4" s="1"/>
  <c r="O665" i="4"/>
  <c r="K665" i="4" s="1"/>
  <c r="O666" i="4"/>
  <c r="K666" i="4" s="1"/>
  <c r="O667" i="4"/>
  <c r="K667" i="4" s="1"/>
  <c r="O668" i="4"/>
  <c r="K668" i="4" s="1"/>
  <c r="O669" i="4"/>
  <c r="K669" i="4" s="1"/>
  <c r="O670" i="4"/>
  <c r="K670" i="4" s="1"/>
  <c r="O671" i="4"/>
  <c r="K671" i="4" s="1"/>
  <c r="O672" i="4"/>
  <c r="K672" i="4" s="1"/>
  <c r="O673" i="4"/>
  <c r="K673" i="4" s="1"/>
  <c r="O674" i="4"/>
  <c r="K674" i="4" s="1"/>
  <c r="O675" i="4"/>
  <c r="K675" i="4" s="1"/>
  <c r="O676" i="4"/>
  <c r="K676" i="4" s="1"/>
  <c r="O677" i="4"/>
  <c r="K677" i="4" s="1"/>
  <c r="O678" i="4"/>
  <c r="K678" i="4" s="1"/>
  <c r="O679" i="4"/>
  <c r="K679" i="4" s="1"/>
  <c r="O680" i="4"/>
  <c r="K680" i="4" s="1"/>
  <c r="O681" i="4"/>
  <c r="K681" i="4" s="1"/>
  <c r="O682" i="4"/>
  <c r="K682" i="4" s="1"/>
  <c r="O683" i="4"/>
  <c r="K683" i="4" s="1"/>
  <c r="O684" i="4"/>
  <c r="K684" i="4" s="1"/>
  <c r="O685" i="4"/>
  <c r="K685" i="4" s="1"/>
  <c r="O686" i="4"/>
  <c r="K686" i="4" s="1"/>
  <c r="O687" i="4"/>
  <c r="K687" i="4" s="1"/>
  <c r="O688" i="4"/>
  <c r="K688" i="4" s="1"/>
  <c r="O689" i="4"/>
  <c r="K689" i="4" s="1"/>
  <c r="O690" i="4"/>
  <c r="K690" i="4" s="1"/>
  <c r="O691" i="4"/>
  <c r="K691" i="4" s="1"/>
  <c r="O692" i="4"/>
  <c r="K692" i="4" s="1"/>
  <c r="O693" i="4"/>
  <c r="K693" i="4" s="1"/>
  <c r="O694" i="4"/>
  <c r="K694" i="4" s="1"/>
  <c r="O695" i="4"/>
  <c r="K695" i="4" s="1"/>
  <c r="O696" i="4"/>
  <c r="K696" i="4" s="1"/>
  <c r="O697" i="4"/>
  <c r="K697" i="4" s="1"/>
  <c r="O698" i="4"/>
  <c r="K698" i="4" s="1"/>
  <c r="O699" i="4"/>
  <c r="K699" i="4" s="1"/>
  <c r="O700" i="4"/>
  <c r="K700" i="4" s="1"/>
  <c r="O701" i="4"/>
  <c r="K701" i="4" s="1"/>
  <c r="O702" i="4"/>
  <c r="K702" i="4" s="1"/>
  <c r="O703" i="4"/>
  <c r="K703" i="4" s="1"/>
  <c r="O704" i="4"/>
  <c r="K704" i="4" s="1"/>
  <c r="O705" i="4"/>
  <c r="K705" i="4" s="1"/>
  <c r="O706" i="4"/>
  <c r="K706" i="4" s="1"/>
  <c r="O707" i="4"/>
  <c r="K707" i="4" s="1"/>
  <c r="O708" i="4"/>
  <c r="K708" i="4" s="1"/>
  <c r="O709" i="4"/>
  <c r="K709" i="4" s="1"/>
  <c r="O710" i="4"/>
  <c r="K710" i="4" s="1"/>
  <c r="O711" i="4"/>
  <c r="K711" i="4" s="1"/>
  <c r="O712" i="4"/>
  <c r="K712" i="4" s="1"/>
  <c r="O713" i="4"/>
  <c r="K713" i="4" s="1"/>
  <c r="O714" i="4"/>
  <c r="K714" i="4" s="1"/>
  <c r="O715" i="4"/>
  <c r="K715" i="4" s="1"/>
  <c r="O716" i="4"/>
  <c r="K716" i="4" s="1"/>
  <c r="O717" i="4"/>
  <c r="K717" i="4" s="1"/>
  <c r="O718" i="4"/>
  <c r="K718" i="4" s="1"/>
  <c r="O719" i="4"/>
  <c r="K719" i="4" s="1"/>
  <c r="O720" i="4"/>
  <c r="K720" i="4" s="1"/>
  <c r="O721" i="4"/>
  <c r="K721" i="4" s="1"/>
  <c r="O722" i="4"/>
  <c r="K722" i="4" s="1"/>
  <c r="O723" i="4"/>
  <c r="K723" i="4" s="1"/>
  <c r="O724" i="4"/>
  <c r="K724" i="4" s="1"/>
  <c r="O725" i="4"/>
  <c r="K725" i="4" s="1"/>
  <c r="O726" i="4"/>
  <c r="K726" i="4" s="1"/>
  <c r="O727" i="4"/>
  <c r="K727" i="4" s="1"/>
  <c r="O728" i="4"/>
  <c r="K728" i="4" s="1"/>
  <c r="O729" i="4"/>
  <c r="K729" i="4" s="1"/>
  <c r="O730" i="4"/>
  <c r="K730" i="4" s="1"/>
  <c r="O731" i="4"/>
  <c r="K731" i="4" s="1"/>
  <c r="O732" i="4"/>
  <c r="K732" i="4" s="1"/>
  <c r="O733" i="4"/>
  <c r="K733" i="4" s="1"/>
  <c r="O734" i="4"/>
  <c r="K734" i="4" s="1"/>
  <c r="O735" i="4"/>
  <c r="K735" i="4" s="1"/>
  <c r="O736" i="4"/>
  <c r="K736" i="4" s="1"/>
  <c r="O737" i="4"/>
  <c r="K737" i="4" s="1"/>
  <c r="O738" i="4"/>
  <c r="K738" i="4" s="1"/>
  <c r="O739" i="4"/>
  <c r="K739" i="4" s="1"/>
  <c r="O740" i="4"/>
  <c r="K740" i="4" s="1"/>
  <c r="O741" i="4"/>
  <c r="K741" i="4" s="1"/>
  <c r="O742" i="4"/>
  <c r="K742" i="4" s="1"/>
  <c r="O743" i="4"/>
  <c r="K743" i="4" s="1"/>
  <c r="O744" i="4"/>
  <c r="K744" i="4" s="1"/>
  <c r="O745" i="4"/>
  <c r="K745" i="4" s="1"/>
  <c r="O746" i="4"/>
  <c r="K746" i="4" s="1"/>
  <c r="O747" i="4"/>
  <c r="K747" i="4" s="1"/>
  <c r="O748" i="4"/>
  <c r="K748" i="4" s="1"/>
  <c r="O749" i="4"/>
  <c r="K749" i="4" s="1"/>
  <c r="O750" i="4"/>
  <c r="K750" i="4" s="1"/>
  <c r="O751" i="4"/>
  <c r="K751" i="4" s="1"/>
  <c r="O752" i="4"/>
  <c r="K752" i="4" s="1"/>
  <c r="O753" i="4"/>
  <c r="K753" i="4" s="1"/>
  <c r="O754" i="4"/>
  <c r="K754" i="4" s="1"/>
  <c r="O755" i="4"/>
  <c r="K755" i="4" s="1"/>
  <c r="O756" i="4"/>
  <c r="K756" i="4" s="1"/>
  <c r="O757" i="4"/>
  <c r="K757" i="4" s="1"/>
  <c r="O758" i="4"/>
  <c r="K758" i="4" s="1"/>
  <c r="O759" i="4"/>
  <c r="K759" i="4" s="1"/>
  <c r="O760" i="4"/>
  <c r="K760" i="4" s="1"/>
  <c r="O761" i="4"/>
  <c r="K761" i="4" s="1"/>
  <c r="O762" i="4"/>
  <c r="K762" i="4" s="1"/>
  <c r="O763" i="4"/>
  <c r="K763" i="4" s="1"/>
  <c r="O764" i="4"/>
  <c r="K764" i="4" s="1"/>
  <c r="O765" i="4"/>
  <c r="K765" i="4" s="1"/>
  <c r="O766" i="4"/>
  <c r="K766" i="4" s="1"/>
  <c r="O767" i="4"/>
  <c r="K767" i="4" s="1"/>
  <c r="O768" i="4"/>
  <c r="K768" i="4" s="1"/>
  <c r="O769" i="4"/>
  <c r="K769" i="4" s="1"/>
  <c r="O770" i="4"/>
  <c r="K770" i="4" s="1"/>
  <c r="O771" i="4"/>
  <c r="K771" i="4" s="1"/>
  <c r="O772" i="4"/>
  <c r="K772" i="4" s="1"/>
  <c r="O773" i="4"/>
  <c r="K773" i="4" s="1"/>
  <c r="O774" i="4"/>
  <c r="K774" i="4" s="1"/>
  <c r="O775" i="4"/>
  <c r="K775" i="4" s="1"/>
  <c r="O776" i="4"/>
  <c r="K776" i="4" s="1"/>
  <c r="O777" i="4"/>
  <c r="K777" i="4" s="1"/>
  <c r="O778" i="4"/>
  <c r="K778" i="4" s="1"/>
  <c r="O779" i="4"/>
  <c r="K779" i="4" s="1"/>
  <c r="O780" i="4"/>
  <c r="K780" i="4" s="1"/>
  <c r="O781" i="4"/>
  <c r="K781" i="4" s="1"/>
  <c r="O782" i="4"/>
  <c r="K782" i="4" s="1"/>
  <c r="O783" i="4"/>
  <c r="K783" i="4" s="1"/>
  <c r="O784" i="4"/>
  <c r="K784" i="4" s="1"/>
  <c r="O785" i="4"/>
  <c r="K785" i="4" s="1"/>
  <c r="O786" i="4"/>
  <c r="K786" i="4" s="1"/>
  <c r="O787" i="4"/>
  <c r="K787" i="4" s="1"/>
  <c r="O788" i="4"/>
  <c r="K788" i="4" s="1"/>
  <c r="O789" i="4"/>
  <c r="K789" i="4" s="1"/>
  <c r="O790" i="4"/>
  <c r="K790" i="4" s="1"/>
  <c r="O791" i="4"/>
  <c r="K791" i="4" s="1"/>
  <c r="O792" i="4"/>
  <c r="K792" i="4" s="1"/>
  <c r="O793" i="4"/>
  <c r="K793" i="4" s="1"/>
  <c r="O794" i="4"/>
  <c r="K794" i="4" s="1"/>
  <c r="O795" i="4"/>
  <c r="K795" i="4" s="1"/>
  <c r="O796" i="4"/>
  <c r="K796" i="4" s="1"/>
  <c r="O797" i="4"/>
  <c r="K797" i="4" s="1"/>
  <c r="O798" i="4"/>
  <c r="K798" i="4" s="1"/>
  <c r="O799" i="4"/>
  <c r="K799" i="4" s="1"/>
  <c r="O800" i="4"/>
  <c r="K800" i="4" s="1"/>
  <c r="O801" i="4"/>
  <c r="K801" i="4" s="1"/>
  <c r="O802" i="4"/>
  <c r="K802" i="4" s="1"/>
  <c r="O803" i="4"/>
  <c r="K803" i="4" s="1"/>
  <c r="O804" i="4"/>
  <c r="K804" i="4" s="1"/>
  <c r="O805" i="4"/>
  <c r="K805" i="4" s="1"/>
  <c r="O806" i="4"/>
  <c r="K806" i="4" s="1"/>
  <c r="O807" i="4"/>
  <c r="K807" i="4" s="1"/>
  <c r="O808" i="4"/>
  <c r="K808" i="4" s="1"/>
  <c r="O809" i="4"/>
  <c r="K809" i="4" s="1"/>
  <c r="O810" i="4"/>
  <c r="K810" i="4" s="1"/>
  <c r="O811" i="4"/>
  <c r="K811" i="4" s="1"/>
  <c r="O812" i="4"/>
  <c r="K812" i="4" s="1"/>
  <c r="O813" i="4"/>
  <c r="K813" i="4" s="1"/>
  <c r="O814" i="4"/>
  <c r="K814" i="4" s="1"/>
  <c r="O815" i="4"/>
  <c r="K815" i="4" s="1"/>
  <c r="O816" i="4"/>
  <c r="K816" i="4" s="1"/>
  <c r="O817" i="4"/>
  <c r="K817" i="4" s="1"/>
  <c r="O818" i="4"/>
  <c r="K818" i="4" s="1"/>
  <c r="O819" i="4"/>
  <c r="K819" i="4" s="1"/>
  <c r="O820" i="4"/>
  <c r="K820" i="4" s="1"/>
  <c r="O821" i="4"/>
  <c r="K821" i="4" s="1"/>
  <c r="O822" i="4"/>
  <c r="K822" i="4" s="1"/>
  <c r="O823" i="4"/>
  <c r="K823" i="4" s="1"/>
  <c r="O824" i="4"/>
  <c r="K824" i="4" s="1"/>
  <c r="O825" i="4"/>
  <c r="K825" i="4" s="1"/>
  <c r="O826" i="4"/>
  <c r="K826" i="4" s="1"/>
  <c r="O827" i="4"/>
  <c r="K827" i="4" s="1"/>
  <c r="O828" i="4"/>
  <c r="K828" i="4" s="1"/>
  <c r="O829" i="4"/>
  <c r="K829" i="4" s="1"/>
  <c r="O830" i="4"/>
  <c r="K830" i="4" s="1"/>
  <c r="O831" i="4"/>
  <c r="K831" i="4" s="1"/>
  <c r="O832" i="4"/>
  <c r="K832" i="4" s="1"/>
  <c r="O833" i="4"/>
  <c r="K833" i="4" s="1"/>
  <c r="O834" i="4"/>
  <c r="K834" i="4" s="1"/>
  <c r="O835" i="4"/>
  <c r="K835" i="4" s="1"/>
  <c r="O836" i="4"/>
  <c r="K836" i="4" s="1"/>
  <c r="O837" i="4"/>
  <c r="K837" i="4" s="1"/>
  <c r="O838" i="4"/>
  <c r="K838" i="4" s="1"/>
  <c r="O839" i="4"/>
  <c r="K839" i="4" s="1"/>
  <c r="O840" i="4"/>
  <c r="K840" i="4" s="1"/>
  <c r="O841" i="4"/>
  <c r="K841" i="4" s="1"/>
  <c r="O842" i="4"/>
  <c r="K842" i="4" s="1"/>
  <c r="O843" i="4"/>
  <c r="K843" i="4" s="1"/>
  <c r="O844" i="4"/>
  <c r="K844" i="4" s="1"/>
  <c r="O845" i="4"/>
  <c r="K845" i="4" s="1"/>
  <c r="O846" i="4"/>
  <c r="K846" i="4" s="1"/>
  <c r="O847" i="4"/>
  <c r="K847" i="4" s="1"/>
  <c r="O848" i="4"/>
  <c r="K848" i="4" s="1"/>
  <c r="O849" i="4"/>
  <c r="K849" i="4" s="1"/>
  <c r="O850" i="4"/>
  <c r="K850" i="4" s="1"/>
  <c r="O851" i="4"/>
  <c r="K851" i="4" s="1"/>
  <c r="O852" i="4"/>
  <c r="K852" i="4" s="1"/>
  <c r="O853" i="4"/>
  <c r="K853" i="4" s="1"/>
  <c r="O854" i="4"/>
  <c r="K854" i="4" s="1"/>
  <c r="O855" i="4"/>
  <c r="K855" i="4" s="1"/>
  <c r="O856" i="4"/>
  <c r="K856" i="4" s="1"/>
  <c r="O857" i="4"/>
  <c r="K857" i="4" s="1"/>
  <c r="O858" i="4"/>
  <c r="K858" i="4" s="1"/>
  <c r="O859" i="4"/>
  <c r="K859" i="4" s="1"/>
  <c r="O860" i="4"/>
  <c r="K860" i="4" s="1"/>
  <c r="O861" i="4"/>
  <c r="K861" i="4" s="1"/>
  <c r="O862" i="4"/>
  <c r="K862" i="4" s="1"/>
  <c r="O863" i="4"/>
  <c r="K863" i="4" s="1"/>
  <c r="O864" i="4"/>
  <c r="K864" i="4" s="1"/>
  <c r="O865" i="4"/>
  <c r="K865" i="4" s="1"/>
  <c r="O866" i="4"/>
  <c r="K866" i="4" s="1"/>
  <c r="O867" i="4"/>
  <c r="K867" i="4" s="1"/>
  <c r="O868" i="4"/>
  <c r="K868" i="4" s="1"/>
  <c r="O869" i="4"/>
  <c r="K869" i="4" s="1"/>
  <c r="O870" i="4"/>
  <c r="K870" i="4" s="1"/>
  <c r="O871" i="4"/>
  <c r="K871" i="4" s="1"/>
  <c r="O872" i="4"/>
  <c r="K872" i="4" s="1"/>
  <c r="O873" i="4"/>
  <c r="K873" i="4" s="1"/>
  <c r="O874" i="4"/>
  <c r="K874" i="4" s="1"/>
  <c r="O875" i="4"/>
  <c r="K875" i="4" s="1"/>
  <c r="O876" i="4"/>
  <c r="K876" i="4" s="1"/>
  <c r="O877" i="4"/>
  <c r="K877" i="4" s="1"/>
  <c r="O878" i="4"/>
  <c r="K878" i="4" s="1"/>
  <c r="O879" i="4"/>
  <c r="K879" i="4" s="1"/>
  <c r="O880" i="4"/>
  <c r="K880" i="4" s="1"/>
  <c r="O881" i="4"/>
  <c r="K881" i="4" s="1"/>
  <c r="O882" i="4"/>
  <c r="K882" i="4" s="1"/>
  <c r="O883" i="4"/>
  <c r="K883" i="4" s="1"/>
  <c r="O884" i="4"/>
  <c r="K884" i="4" s="1"/>
  <c r="O885" i="4"/>
  <c r="K885" i="4" s="1"/>
  <c r="O886" i="4"/>
  <c r="K886" i="4" s="1"/>
  <c r="O887" i="4"/>
  <c r="K887" i="4" s="1"/>
  <c r="O888" i="4"/>
  <c r="K888" i="4" s="1"/>
  <c r="O889" i="4"/>
  <c r="K889" i="4" s="1"/>
  <c r="O890" i="4"/>
  <c r="K890" i="4" s="1"/>
  <c r="O891" i="4"/>
  <c r="K891" i="4" s="1"/>
  <c r="O892" i="4"/>
  <c r="K892" i="4" s="1"/>
  <c r="O893" i="4"/>
  <c r="K893" i="4" s="1"/>
  <c r="O894" i="4"/>
  <c r="K894" i="4" s="1"/>
  <c r="O895" i="4"/>
  <c r="K895" i="4" s="1"/>
  <c r="O896" i="4"/>
  <c r="K896" i="4" s="1"/>
  <c r="O897" i="4"/>
  <c r="K897" i="4" s="1"/>
  <c r="O898" i="4"/>
  <c r="K898" i="4" s="1"/>
  <c r="O899" i="4"/>
  <c r="K899" i="4" s="1"/>
  <c r="O900" i="4"/>
  <c r="K900" i="4" s="1"/>
  <c r="O901" i="4"/>
  <c r="K901" i="4" s="1"/>
  <c r="O902" i="4"/>
  <c r="K902" i="4" s="1"/>
  <c r="O903" i="4"/>
  <c r="K903" i="4" s="1"/>
  <c r="O904" i="4"/>
  <c r="K904" i="4" s="1"/>
  <c r="O905" i="4"/>
  <c r="K905" i="4" s="1"/>
  <c r="O906" i="4"/>
  <c r="K906" i="4" s="1"/>
  <c r="O907" i="4"/>
  <c r="K907" i="4" s="1"/>
  <c r="O908" i="4"/>
  <c r="K908" i="4" s="1"/>
  <c r="O909" i="4"/>
  <c r="K909" i="4" s="1"/>
  <c r="O910" i="4"/>
  <c r="K910" i="4" s="1"/>
  <c r="O911" i="4"/>
  <c r="K911" i="4" s="1"/>
  <c r="O912" i="4"/>
  <c r="K912" i="4" s="1"/>
  <c r="O913" i="4"/>
  <c r="K913" i="4" s="1"/>
  <c r="O914" i="4"/>
  <c r="K914" i="4" s="1"/>
  <c r="O915" i="4"/>
  <c r="K915" i="4" s="1"/>
  <c r="O916" i="4"/>
  <c r="K916" i="4" s="1"/>
  <c r="O917" i="4"/>
  <c r="K917" i="4" s="1"/>
  <c r="O918" i="4"/>
  <c r="K918" i="4" s="1"/>
  <c r="O919" i="4"/>
  <c r="K919" i="4" s="1"/>
  <c r="O920" i="4"/>
  <c r="K920" i="4" s="1"/>
  <c r="O921" i="4"/>
  <c r="K921" i="4" s="1"/>
  <c r="O922" i="4"/>
  <c r="K922" i="4" s="1"/>
  <c r="O923" i="4"/>
  <c r="K923" i="4" s="1"/>
  <c r="O924" i="4"/>
  <c r="K924" i="4" s="1"/>
  <c r="O925" i="4"/>
  <c r="K925" i="4" s="1"/>
  <c r="O926" i="4"/>
  <c r="K926" i="4" s="1"/>
  <c r="O927" i="4"/>
  <c r="K927" i="4" s="1"/>
  <c r="O928" i="4"/>
  <c r="K928" i="4" s="1"/>
  <c r="O929" i="4"/>
  <c r="K929" i="4" s="1"/>
  <c r="O930" i="4"/>
  <c r="K930" i="4" s="1"/>
  <c r="O931" i="4"/>
  <c r="K931" i="4" s="1"/>
  <c r="O932" i="4"/>
  <c r="K932" i="4" s="1"/>
  <c r="O933" i="4"/>
  <c r="K933" i="4" s="1"/>
  <c r="O934" i="4"/>
  <c r="K934" i="4" s="1"/>
  <c r="O935" i="4"/>
  <c r="K935" i="4" s="1"/>
  <c r="O936" i="4"/>
  <c r="K936" i="4" s="1"/>
  <c r="O937" i="4"/>
  <c r="K937" i="4" s="1"/>
  <c r="O938" i="4"/>
  <c r="K938" i="4" s="1"/>
  <c r="O939" i="4"/>
  <c r="K939" i="4" s="1"/>
  <c r="O940" i="4"/>
  <c r="K940" i="4" s="1"/>
  <c r="O941" i="4"/>
  <c r="K941" i="4" s="1"/>
  <c r="O942" i="4"/>
  <c r="K942" i="4" s="1"/>
  <c r="O943" i="4"/>
  <c r="K943" i="4" s="1"/>
  <c r="O944" i="4"/>
  <c r="K944" i="4" s="1"/>
  <c r="O945" i="4"/>
  <c r="K945" i="4" s="1"/>
  <c r="O946" i="4"/>
  <c r="K946" i="4" s="1"/>
  <c r="O947" i="4"/>
  <c r="K947" i="4" s="1"/>
  <c r="O948" i="4"/>
  <c r="K948" i="4" s="1"/>
  <c r="O949" i="4"/>
  <c r="K949" i="4" s="1"/>
  <c r="O950" i="4"/>
  <c r="K950" i="4" s="1"/>
  <c r="O951" i="4"/>
  <c r="K951" i="4" s="1"/>
  <c r="O952" i="4"/>
  <c r="K952" i="4" s="1"/>
  <c r="O953" i="4"/>
  <c r="K953" i="4" s="1"/>
  <c r="O954" i="4"/>
  <c r="K954" i="4" s="1"/>
  <c r="O955" i="4"/>
  <c r="K955" i="4" s="1"/>
  <c r="O956" i="4"/>
  <c r="K956" i="4" s="1"/>
  <c r="O957" i="4"/>
  <c r="K957" i="4" s="1"/>
  <c r="O958" i="4"/>
  <c r="K958" i="4" s="1"/>
  <c r="O959" i="4"/>
  <c r="K959" i="4" s="1"/>
  <c r="O960" i="4"/>
  <c r="K960" i="4" s="1"/>
  <c r="O961" i="4"/>
  <c r="K961" i="4" s="1"/>
  <c r="O962" i="4"/>
  <c r="K962" i="4" s="1"/>
  <c r="O963" i="4"/>
  <c r="K963" i="4" s="1"/>
  <c r="O964" i="4"/>
  <c r="K964" i="4" s="1"/>
  <c r="O965" i="4"/>
  <c r="K965" i="4" s="1"/>
  <c r="O966" i="4"/>
  <c r="K966" i="4" s="1"/>
  <c r="O967" i="4"/>
  <c r="K967" i="4" s="1"/>
  <c r="O968" i="4"/>
  <c r="K968" i="4" s="1"/>
  <c r="O969" i="4"/>
  <c r="K969" i="4" s="1"/>
  <c r="O970" i="4"/>
  <c r="K970" i="4" s="1"/>
  <c r="O971" i="4"/>
  <c r="K971" i="4" s="1"/>
  <c r="O972" i="4"/>
  <c r="K972" i="4" s="1"/>
  <c r="O973" i="4"/>
  <c r="K973" i="4" s="1"/>
  <c r="O974" i="4"/>
  <c r="K974" i="4" s="1"/>
  <c r="O975" i="4"/>
  <c r="K975" i="4" s="1"/>
  <c r="O976" i="4"/>
  <c r="K976" i="4" s="1"/>
  <c r="O977" i="4"/>
  <c r="K977" i="4" s="1"/>
  <c r="O978" i="4"/>
  <c r="K978" i="4" s="1"/>
  <c r="O979" i="4"/>
  <c r="K979" i="4" s="1"/>
  <c r="O980" i="4"/>
  <c r="K980" i="4" s="1"/>
  <c r="O981" i="4"/>
  <c r="K981" i="4" s="1"/>
  <c r="O982" i="4"/>
  <c r="K982" i="4" s="1"/>
  <c r="O983" i="4"/>
  <c r="K983" i="4" s="1"/>
  <c r="O984" i="4"/>
  <c r="K984" i="4" s="1"/>
  <c r="O985" i="4"/>
  <c r="K985" i="4" s="1"/>
  <c r="O986" i="4"/>
  <c r="K986" i="4" s="1"/>
  <c r="O987" i="4"/>
  <c r="K987" i="4" s="1"/>
  <c r="O988" i="4"/>
  <c r="K988" i="4" s="1"/>
  <c r="O989" i="4"/>
  <c r="K989" i="4" s="1"/>
  <c r="O990" i="4"/>
  <c r="K990" i="4" s="1"/>
  <c r="O991" i="4"/>
  <c r="K991" i="4" s="1"/>
  <c r="O992" i="4"/>
  <c r="K992" i="4" s="1"/>
  <c r="O993" i="4"/>
  <c r="K993" i="4" s="1"/>
  <c r="O994" i="4"/>
  <c r="K994" i="4" s="1"/>
  <c r="O995" i="4"/>
  <c r="K995" i="4" s="1"/>
  <c r="O996" i="4"/>
  <c r="K996" i="4" s="1"/>
  <c r="O997" i="4"/>
  <c r="K997" i="4" s="1"/>
  <c r="O998" i="4"/>
  <c r="K998" i="4" s="1"/>
  <c r="O999" i="4"/>
  <c r="K999" i="4" s="1"/>
  <c r="O1000" i="4"/>
  <c r="K1000" i="4" s="1"/>
  <c r="O1001" i="4"/>
  <c r="K1001" i="4" s="1"/>
  <c r="O1002" i="4"/>
  <c r="K1002" i="4" s="1"/>
  <c r="O3" i="4"/>
  <c r="K3" i="4" s="1"/>
  <c r="O2" i="4"/>
  <c r="K2" i="4" s="1"/>
  <c r="R10" i="4" l="1"/>
  <c r="R9" i="4"/>
  <c r="R8" i="4"/>
  <c r="B19" i="4"/>
  <c r="B1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88FE17-4C8C-4054-938B-50A51C568C58}" keepAlive="1" name="Query - Append1" description="Connection to the 'Append1' query in the workbook." type="5" refreshedVersion="7" background="1" saveData="1">
    <dbPr connection="Provider=Microsoft.Mashup.OleDb.1;Data Source=$Workbook$;Location=Append1;Extended Properties=&quot;&quot;" command="SELECT * FROM [Append1]"/>
  </connection>
  <connection id="2" xr16:uid="{B722DC6C-05CB-4298-BE5C-F0BBF5911CDB}" keepAlive="1" name="Query - f data 1" description="Connection to the 'f data 1' query in the workbook." type="5" refreshedVersion="7" background="1" saveData="1">
    <dbPr connection="Provider=Microsoft.Mashup.OleDb.1;Data Source=$Workbook$;Location=&quot;f data 1&quot;;Extended Properties=&quot;&quot;" command="SELECT * FROM [f data 1]"/>
  </connection>
  <connection id="3" xr16:uid="{719B138F-ADC2-4810-8307-0EC371141DE8}" keepAlive="1" name="Query - fdata 2" description="Connection to the 'fdata 2' query in the workbook." type="5" refreshedVersion="7" background="1" saveData="1">
    <dbPr connection="Provider=Microsoft.Mashup.OleDb.1;Data Source=$Workbook$;Location=&quot;fdata 2&quot;;Extended Properties=&quot;&quot;" command="SELECT * FROM [fdata 2]"/>
  </connection>
</connections>
</file>

<file path=xl/sharedStrings.xml><?xml version="1.0" encoding="utf-8"?>
<sst xmlns="http://schemas.openxmlformats.org/spreadsheetml/2006/main" count="133" uniqueCount="79">
  <si>
    <t>Unnamed: 0</t>
  </si>
  <si>
    <t>instant</t>
  </si>
  <si>
    <t>atemp</t>
  </si>
  <si>
    <t>hum</t>
  </si>
  <si>
    <t>windspeed</t>
  </si>
  <si>
    <t>casual</t>
  </si>
  <si>
    <t>registered</t>
  </si>
  <si>
    <t>cnt</t>
  </si>
  <si>
    <t>instant_1</t>
  </si>
  <si>
    <t>dteday</t>
  </si>
  <si>
    <t>season</t>
  </si>
  <si>
    <t>yr</t>
  </si>
  <si>
    <t>mnth</t>
  </si>
  <si>
    <t>hr</t>
  </si>
  <si>
    <t>holiday</t>
  </si>
  <si>
    <t>weekday</t>
  </si>
  <si>
    <t>weathersit</t>
  </si>
  <si>
    <t>temp</t>
  </si>
  <si>
    <t>days</t>
  </si>
  <si>
    <t>weekends</t>
  </si>
  <si>
    <t>working day</t>
  </si>
  <si>
    <t>Total Rental</t>
  </si>
  <si>
    <t>AVG Hourly</t>
  </si>
  <si>
    <t>holiday if condition if working day false if weekend of holiday then true</t>
  </si>
  <si>
    <t>weather</t>
  </si>
  <si>
    <t>sunny</t>
  </si>
  <si>
    <t>mist</t>
  </si>
  <si>
    <t>light rain</t>
  </si>
  <si>
    <t>3 or other</t>
  </si>
  <si>
    <t>extreme rain</t>
  </si>
  <si>
    <t>weekdays are as 0=holiday,1&gt;and&lt;7 is working day and others are weekend</t>
  </si>
  <si>
    <t xml:space="preserve">filled atemp b10 and b19 by average formula as </t>
  </si>
  <si>
    <t>Sum of cnt</t>
  </si>
  <si>
    <t>Row Labels</t>
  </si>
  <si>
    <t>(blank)</t>
  </si>
  <si>
    <t>Grand Total</t>
  </si>
  <si>
    <t>Jan</t>
  </si>
  <si>
    <t>weekend</t>
  </si>
  <si>
    <t>extremerain</t>
  </si>
  <si>
    <t>lightrain</t>
  </si>
  <si>
    <t>Report on total bikes booked for rent</t>
  </si>
  <si>
    <t>Uploaded data by below steps:</t>
  </si>
  <si>
    <t>Go to Data</t>
  </si>
  <si>
    <t>Get Data</t>
  </si>
  <si>
    <t>From File</t>
  </si>
  <si>
    <t>From Workbook</t>
  </si>
  <si>
    <t>Import</t>
  </si>
  <si>
    <t>Clicked on data</t>
  </si>
  <si>
    <t>Transform data</t>
  </si>
  <si>
    <t>Ok</t>
  </si>
  <si>
    <t>Cleaned data of all 3 sheets by below steps:</t>
  </si>
  <si>
    <t>Select Data by cntrl + A</t>
  </si>
  <si>
    <t>Remove duplicates</t>
  </si>
  <si>
    <t>Click on done</t>
  </si>
  <si>
    <t>Days were in number from 0-6:</t>
  </si>
  <si>
    <t>0 was considered as holiday</t>
  </si>
  <si>
    <t>1 was Sunday and so on…</t>
  </si>
  <si>
    <t>Added one more row to make group of working days, weekends and holidays by below formula:</t>
  </si>
  <si>
    <t>.=If([@weekday]=0,"holiday",if(and([@weekday]&gt;1,[@weekday]&lt;7,"working day","weekend"))</t>
  </si>
  <si>
    <t>Counted all weekday, weekend, and holiday by formula:</t>
  </si>
  <si>
    <t>.=countif(02:01002,"weekend")</t>
  </si>
  <si>
    <t>.=countif(05:01002,"holiday")</t>
  </si>
  <si>
    <t>.=countif(02:01002,"working day")</t>
  </si>
  <si>
    <t>Weather was also given in celcius so made group by formula:</t>
  </si>
  <si>
    <t>.=if([@weatherlist]=0,"Sunny"if([@weatherlist]=1,"mist",if([@weatherlist]=2,"lightrain","extremerain")))</t>
  </si>
  <si>
    <t>Assumed temperature's column B10 and B19 were blank so filled by average formula:</t>
  </si>
  <si>
    <t>.=if(B10="",average(b2:b1002),b10)</t>
  </si>
  <si>
    <t>.=if(B19="",average(b2:b1002),b19)</t>
  </si>
  <si>
    <t>In holidays formula applied in boolean as true or false:</t>
  </si>
  <si>
    <t>.=if([@days]="working day,"false,true]</t>
  </si>
  <si>
    <t>Go to append sheet and selected all data by cntrl+A</t>
  </si>
  <si>
    <t>Insert</t>
  </si>
  <si>
    <t>pivot chart</t>
  </si>
  <si>
    <t>chose hours in row and count in value to compare bikes booked as per hour and same did to make other charts as booked as per months, weather, windspeed, and as per days</t>
  </si>
  <si>
    <t>Created new sheet:</t>
  </si>
  <si>
    <t>named it report on bike registered to show dashboard:</t>
  </si>
  <si>
    <t>copy paste all charts on this page</t>
  </si>
  <si>
    <t>added slicer by clicking on one chart then pivot chart analyze then insert slicer and then selected windspeed,registered, temp,days and weather</t>
  </si>
  <si>
    <t>then right clicked on one slicer and click on report connections so that all charts are interconnected and same did for all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</si>
</sst>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0"/>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2" xfId="0" applyBorder="1"/>
    <xf numFmtId="0" fontId="0" fillId="0" borderId="3" xfId="0" applyBorder="1"/>
    <xf numFmtId="0" fontId="0" fillId="0" borderId="1" xfId="0" applyBorder="1"/>
    <xf numFmtId="14" fontId="0" fillId="0" borderId="1" xfId="0" applyNumberFormat="1"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0" fillId="0" borderId="0" xfId="0" pivotButton="1"/>
    <xf numFmtId="0" fontId="0" fillId="0" borderId="0" xfId="0" applyAlignment="1">
      <alignment horizontal="left"/>
    </xf>
    <xf numFmtId="0" fontId="0" fillId="2" borderId="7" xfId="0" applyFill="1" applyBorder="1"/>
    <xf numFmtId="0" fontId="0" fillId="2" borderId="9" xfId="0" applyFill="1" applyBorder="1"/>
    <xf numFmtId="0" fontId="0" fillId="2" borderId="10" xfId="0" applyFill="1" applyBorder="1"/>
    <xf numFmtId="0" fontId="0" fillId="2" borderId="0" xfId="0" applyFill="1"/>
    <xf numFmtId="0" fontId="1" fillId="2" borderId="0" xfId="0" applyFont="1" applyFill="1"/>
    <xf numFmtId="0" fontId="2" fillId="2" borderId="8" xfId="0" applyFont="1" applyFill="1" applyBorder="1"/>
  </cellXfs>
  <cellStyles count="1">
    <cellStyle name="Normal" xfId="0" builtinId="0"/>
  </cellStyles>
  <dxfs count="22">
    <dxf>
      <numFmt numFmtId="19" formatCode="m/d/yyyy"/>
    </dxf>
    <dxf>
      <numFmt numFmtId="19" formatCode="m/d/yyyy"/>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1.xlsx]bikes booked as per hour!PivotTable1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booked </a:t>
            </a:r>
            <a:endParaRPr lang="en-US"/>
          </a:p>
        </c:rich>
      </c:tx>
      <c:layout>
        <c:manualLayout>
          <c:xMode val="edge"/>
          <c:yMode val="edge"/>
          <c:x val="0.439722222222222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'bikes booked as per hour'!$B$3</c:f>
              <c:strCache>
                <c:ptCount val="1"/>
                <c:pt idx="0">
                  <c:v>Total</c:v>
                </c:pt>
              </c:strCache>
            </c:strRef>
          </c:tx>
          <c:spPr>
            <a:solidFill>
              <a:schemeClr val="accent1"/>
            </a:solidFill>
            <a:ln>
              <a:noFill/>
            </a:ln>
            <a:effectLst/>
          </c:spPr>
          <c:invertIfNegative val="0"/>
          <c:cat>
            <c:strRef>
              <c:f>'bikes booked as per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'bikes booked as per hour'!$B$4:$B$29</c:f>
              <c:numCache>
                <c:formatCode>General</c:formatCode>
                <c:ptCount val="25"/>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6966-4F57-81B7-343CFAAF03C4}"/>
            </c:ext>
          </c:extLst>
        </c:ser>
        <c:dLbls>
          <c:showLegendKey val="0"/>
          <c:showVal val="0"/>
          <c:showCatName val="0"/>
          <c:showSerName val="0"/>
          <c:showPercent val="0"/>
          <c:showBubbleSize val="0"/>
        </c:dLbls>
        <c:gapWidth val="219"/>
        <c:overlap val="-27"/>
        <c:axId val="274836495"/>
        <c:axId val="274851855"/>
      </c:barChart>
      <c:catAx>
        <c:axId val="2748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51855"/>
        <c:crosses val="autoZero"/>
        <c:auto val="1"/>
        <c:lblAlgn val="ctr"/>
        <c:lblOffset val="100"/>
        <c:noMultiLvlLbl val="0"/>
      </c:catAx>
      <c:valAx>
        <c:axId val="27485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3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1.xlsx]bikes booked as per dates!PivotTable2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booked</a:t>
            </a:r>
            <a:r>
              <a:rPr lang="en-US" baseline="0"/>
              <a:t> as per month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'bikes booked as per dates'!$B$3</c:f>
              <c:strCache>
                <c:ptCount val="1"/>
                <c:pt idx="0">
                  <c:v>Total</c:v>
                </c:pt>
              </c:strCache>
            </c:strRef>
          </c:tx>
          <c:spPr>
            <a:solidFill>
              <a:schemeClr val="accent1"/>
            </a:solidFill>
            <a:ln>
              <a:noFill/>
            </a:ln>
            <a:effectLst/>
          </c:spPr>
          <c:invertIfNegative val="0"/>
          <c:cat>
            <c:strRef>
              <c:f>'bikes booked as per dates'!$A$4:$A$5</c:f>
              <c:strCache>
                <c:ptCount val="1"/>
                <c:pt idx="0">
                  <c:v>Jan</c:v>
                </c:pt>
              </c:strCache>
            </c:strRef>
          </c:cat>
          <c:val>
            <c:numRef>
              <c:f>'bikes booked as per dates'!$B$4:$B$5</c:f>
              <c:numCache>
                <c:formatCode>General</c:formatCode>
                <c:ptCount val="1"/>
                <c:pt idx="0">
                  <c:v>1162</c:v>
                </c:pt>
              </c:numCache>
            </c:numRef>
          </c:val>
          <c:extLst>
            <c:ext xmlns:c16="http://schemas.microsoft.com/office/drawing/2014/chart" uri="{C3380CC4-5D6E-409C-BE32-E72D297353CC}">
              <c16:uniqueId val="{00000002-D5B4-48B6-86D0-07286C6AC9B1}"/>
            </c:ext>
          </c:extLst>
        </c:ser>
        <c:dLbls>
          <c:showLegendKey val="0"/>
          <c:showVal val="0"/>
          <c:showCatName val="0"/>
          <c:showSerName val="0"/>
          <c:showPercent val="0"/>
          <c:showBubbleSize val="0"/>
        </c:dLbls>
        <c:gapWidth val="219"/>
        <c:overlap val="-27"/>
        <c:axId val="274815855"/>
        <c:axId val="274808175"/>
      </c:barChart>
      <c:catAx>
        <c:axId val="27481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08175"/>
        <c:crosses val="autoZero"/>
        <c:auto val="1"/>
        <c:lblAlgn val="ctr"/>
        <c:lblOffset val="100"/>
        <c:noMultiLvlLbl val="0"/>
      </c:catAx>
      <c:valAx>
        <c:axId val="27480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1.xlsx]booked as per windspeed!PivotTable3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booked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'booked as per windspeed'!$B$3</c:f>
              <c:strCache>
                <c:ptCount val="1"/>
                <c:pt idx="0">
                  <c:v>Total</c:v>
                </c:pt>
              </c:strCache>
            </c:strRef>
          </c:tx>
          <c:spPr>
            <a:ln w="28575" cap="rnd">
              <a:solidFill>
                <a:schemeClr val="accent1"/>
              </a:solidFill>
              <a:round/>
            </a:ln>
            <a:effectLst/>
          </c:spPr>
          <c:marker>
            <c:symbol val="none"/>
          </c:marker>
          <c:cat>
            <c:strRef>
              <c:f>'booked as per windspeed'!$A$4:$A$25</c:f>
              <c:strCache>
                <c:ptCount val="21"/>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pt idx="20">
                  <c:v>(blank)</c:v>
                </c:pt>
              </c:strCache>
            </c:strRef>
          </c:cat>
          <c:val>
            <c:numRef>
              <c:f>'booked as per windspeed'!$B$4:$B$25</c:f>
              <c:numCache>
                <c:formatCode>General</c:formatCode>
                <c:ptCount val="21"/>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smooth val="0"/>
          <c:extLst>
            <c:ext xmlns:c16="http://schemas.microsoft.com/office/drawing/2014/chart" uri="{C3380CC4-5D6E-409C-BE32-E72D297353CC}">
              <c16:uniqueId val="{00000000-F50E-400F-B444-7F2E809725CA}"/>
            </c:ext>
          </c:extLst>
        </c:ser>
        <c:dLbls>
          <c:showLegendKey val="0"/>
          <c:showVal val="0"/>
          <c:showCatName val="0"/>
          <c:showSerName val="0"/>
          <c:showPercent val="0"/>
          <c:showBubbleSize val="0"/>
        </c:dLbls>
        <c:smooth val="0"/>
        <c:axId val="181221599"/>
        <c:axId val="181225439"/>
      </c:lineChart>
      <c:catAx>
        <c:axId val="18122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5439"/>
        <c:crosses val="autoZero"/>
        <c:auto val="1"/>
        <c:lblAlgn val="ctr"/>
        <c:lblOffset val="100"/>
        <c:noMultiLvlLbl val="0"/>
      </c:catAx>
      <c:valAx>
        <c:axId val="18122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1.xlsx]booked as per days!PivotTable4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booked as</a:t>
            </a:r>
            <a:r>
              <a:rPr lang="en-US" baseline="0"/>
              <a:t> per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'booked as per days'!$B$3</c:f>
              <c:strCache>
                <c:ptCount val="1"/>
                <c:pt idx="0">
                  <c:v>Total</c:v>
                </c:pt>
              </c:strCache>
            </c:strRef>
          </c:tx>
          <c:spPr>
            <a:solidFill>
              <a:schemeClr val="accent1"/>
            </a:solidFill>
            <a:ln>
              <a:noFill/>
            </a:ln>
            <a:effectLst/>
          </c:spPr>
          <c:invertIfNegative val="0"/>
          <c:cat>
            <c:strRef>
              <c:f>'booked as per days'!$A$4:$A$8</c:f>
              <c:strCache>
                <c:ptCount val="4"/>
                <c:pt idx="0">
                  <c:v>holiday</c:v>
                </c:pt>
                <c:pt idx="1">
                  <c:v>weekend</c:v>
                </c:pt>
                <c:pt idx="2">
                  <c:v>working day</c:v>
                </c:pt>
                <c:pt idx="3">
                  <c:v>(blank)</c:v>
                </c:pt>
              </c:strCache>
            </c:strRef>
          </c:cat>
          <c:val>
            <c:numRef>
              <c:f>'booked as per days'!$B$4:$B$8</c:f>
              <c:numCache>
                <c:formatCode>General</c:formatCode>
                <c:ptCount val="4"/>
                <c:pt idx="0">
                  <c:v>8121</c:v>
                </c:pt>
                <c:pt idx="1">
                  <c:v>8450</c:v>
                </c:pt>
                <c:pt idx="2">
                  <c:v>41733</c:v>
                </c:pt>
              </c:numCache>
            </c:numRef>
          </c:val>
          <c:extLst>
            <c:ext xmlns:c16="http://schemas.microsoft.com/office/drawing/2014/chart" uri="{C3380CC4-5D6E-409C-BE32-E72D297353CC}">
              <c16:uniqueId val="{00000000-E293-4821-9C50-5D956ED92B14}"/>
            </c:ext>
          </c:extLst>
        </c:ser>
        <c:dLbls>
          <c:showLegendKey val="0"/>
          <c:showVal val="0"/>
          <c:showCatName val="0"/>
          <c:showSerName val="0"/>
          <c:showPercent val="0"/>
          <c:showBubbleSize val="0"/>
        </c:dLbls>
        <c:gapWidth val="219"/>
        <c:overlap val="-27"/>
        <c:axId val="2074131759"/>
        <c:axId val="2074133679"/>
      </c:barChart>
      <c:catAx>
        <c:axId val="207413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33679"/>
        <c:crosses val="autoZero"/>
        <c:auto val="1"/>
        <c:lblAlgn val="ctr"/>
        <c:lblOffset val="100"/>
        <c:noMultiLvlLbl val="0"/>
      </c:catAx>
      <c:valAx>
        <c:axId val="20741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3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1.xlsx]as per weather!PivotTable1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Bike booked as per</a:t>
            </a:r>
            <a:r>
              <a:rPr lang="en-US" baseline="0"/>
              <a:t> weather</a:t>
            </a:r>
            <a:endParaRPr lang="en-US"/>
          </a:p>
        </c:rich>
      </c:tx>
      <c:layout>
        <c:manualLayout>
          <c:xMode val="edge"/>
          <c:yMode val="edge"/>
          <c:x val="0.239424242424242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'as per weather'!$B$3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10-4B41-B0B9-48A4BCC07C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10-4B41-B0B9-48A4BCC07C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10-4B41-B0B9-48A4BCC07C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10-4B41-B0B9-48A4BCC07C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10-4B41-B0B9-48A4BCC07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 per weather'!$A$4:$A$9</c:f>
              <c:strCache>
                <c:ptCount val="5"/>
                <c:pt idx="0">
                  <c:v>extremerain</c:v>
                </c:pt>
                <c:pt idx="1">
                  <c:v>lightrain</c:v>
                </c:pt>
                <c:pt idx="2">
                  <c:v>mist</c:v>
                </c:pt>
                <c:pt idx="3">
                  <c:v>sunny</c:v>
                </c:pt>
                <c:pt idx="4">
                  <c:v>(blank)</c:v>
                </c:pt>
              </c:strCache>
            </c:strRef>
          </c:cat>
          <c:val>
            <c:numRef>
              <c:f>'as per weather'!$B$4:$B$9</c:f>
              <c:numCache>
                <c:formatCode>General</c:formatCode>
                <c:ptCount val="5"/>
                <c:pt idx="0">
                  <c:v>2825</c:v>
                </c:pt>
                <c:pt idx="1">
                  <c:v>18106</c:v>
                </c:pt>
                <c:pt idx="2">
                  <c:v>37373</c:v>
                </c:pt>
              </c:numCache>
            </c:numRef>
          </c:val>
          <c:extLst>
            <c:ext xmlns:c16="http://schemas.microsoft.com/office/drawing/2014/chart" uri="{C3380CC4-5D6E-409C-BE32-E72D297353CC}">
              <c16:uniqueId val="{00000000-01E1-4765-9C08-32F9D9DF74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1.xlsx]bikes booked as per hour!PivotTable1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booked as per hour</a:t>
            </a:r>
            <a:endParaRPr lang="en-US"/>
          </a:p>
        </c:rich>
      </c:tx>
      <c:layout>
        <c:manualLayout>
          <c:xMode val="edge"/>
          <c:yMode val="edge"/>
          <c:x val="0.28237231215663261"/>
          <c:y val="0.112023881630180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'bikes booked as per hour'!$B$3</c:f>
              <c:strCache>
                <c:ptCount val="1"/>
                <c:pt idx="0">
                  <c:v>Total</c:v>
                </c:pt>
              </c:strCache>
            </c:strRef>
          </c:tx>
          <c:spPr>
            <a:solidFill>
              <a:schemeClr val="accent1"/>
            </a:solidFill>
            <a:ln>
              <a:noFill/>
            </a:ln>
            <a:effectLst/>
          </c:spPr>
          <c:invertIfNegative val="0"/>
          <c:cat>
            <c:strRef>
              <c:f>'bikes booked as per hour'!$A$4:$A$29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'bikes booked as per hour'!$B$4:$B$29</c:f>
              <c:numCache>
                <c:formatCode>General</c:formatCode>
                <c:ptCount val="25"/>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2411-4540-BA97-9D9E19005428}"/>
            </c:ext>
          </c:extLst>
        </c:ser>
        <c:dLbls>
          <c:showLegendKey val="0"/>
          <c:showVal val="0"/>
          <c:showCatName val="0"/>
          <c:showSerName val="0"/>
          <c:showPercent val="0"/>
          <c:showBubbleSize val="0"/>
        </c:dLbls>
        <c:gapWidth val="219"/>
        <c:overlap val="-27"/>
        <c:axId val="274836495"/>
        <c:axId val="274851855"/>
      </c:barChart>
      <c:catAx>
        <c:axId val="2748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51855"/>
        <c:crosses val="autoZero"/>
        <c:auto val="1"/>
        <c:lblAlgn val="ctr"/>
        <c:lblOffset val="100"/>
        <c:noMultiLvlLbl val="0"/>
      </c:catAx>
      <c:valAx>
        <c:axId val="27485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3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1.xlsx]bikes booked as per dates!PivotTable2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booked</a:t>
            </a:r>
            <a:r>
              <a:rPr lang="en-US" baseline="0"/>
              <a:t> as per month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29549091085836493"/>
          <c:w val="0.74845603674540684"/>
          <c:h val="0.38365850102070576"/>
        </c:manualLayout>
      </c:layout>
      <c:barChart>
        <c:barDir val="col"/>
        <c:grouping val="clustered"/>
        <c:varyColors val="0"/>
        <c:ser>
          <c:idx val="0"/>
          <c:order val="0"/>
          <c:tx>
            <c:strRef>
              <c:f>'bikes booked as per dates'!$B$3</c:f>
              <c:strCache>
                <c:ptCount val="1"/>
                <c:pt idx="0">
                  <c:v>Total</c:v>
                </c:pt>
              </c:strCache>
            </c:strRef>
          </c:tx>
          <c:spPr>
            <a:solidFill>
              <a:schemeClr val="accent1"/>
            </a:solidFill>
            <a:ln>
              <a:noFill/>
            </a:ln>
            <a:effectLst/>
          </c:spPr>
          <c:invertIfNegative val="0"/>
          <c:cat>
            <c:strRef>
              <c:f>'bikes booked as per dates'!$A$4:$A$5</c:f>
              <c:strCache>
                <c:ptCount val="1"/>
                <c:pt idx="0">
                  <c:v>Jan</c:v>
                </c:pt>
              </c:strCache>
            </c:strRef>
          </c:cat>
          <c:val>
            <c:numRef>
              <c:f>'bikes booked as per dates'!$B$4:$B$5</c:f>
              <c:numCache>
                <c:formatCode>General</c:formatCode>
                <c:ptCount val="1"/>
                <c:pt idx="0">
                  <c:v>1162</c:v>
                </c:pt>
              </c:numCache>
            </c:numRef>
          </c:val>
          <c:extLst>
            <c:ext xmlns:c16="http://schemas.microsoft.com/office/drawing/2014/chart" uri="{C3380CC4-5D6E-409C-BE32-E72D297353CC}">
              <c16:uniqueId val="{00000000-119B-49CA-85EE-F56CD85B0CB3}"/>
            </c:ext>
          </c:extLst>
        </c:ser>
        <c:dLbls>
          <c:showLegendKey val="0"/>
          <c:showVal val="0"/>
          <c:showCatName val="0"/>
          <c:showSerName val="0"/>
          <c:showPercent val="0"/>
          <c:showBubbleSize val="0"/>
        </c:dLbls>
        <c:gapWidth val="219"/>
        <c:overlap val="-27"/>
        <c:axId val="274815855"/>
        <c:axId val="274808175"/>
      </c:barChart>
      <c:catAx>
        <c:axId val="27481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08175"/>
        <c:crosses val="autoZero"/>
        <c:auto val="1"/>
        <c:lblAlgn val="ctr"/>
        <c:lblOffset val="100"/>
        <c:noMultiLvlLbl val="0"/>
      </c:catAx>
      <c:valAx>
        <c:axId val="27480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81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1.xlsx]booked as per windspeed!PivotTable3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bikes booked as per windspeed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'booked as per windspeed'!$B$3</c:f>
              <c:strCache>
                <c:ptCount val="1"/>
                <c:pt idx="0">
                  <c:v>Total</c:v>
                </c:pt>
              </c:strCache>
            </c:strRef>
          </c:tx>
          <c:spPr>
            <a:ln w="28575" cap="rnd">
              <a:solidFill>
                <a:schemeClr val="accent1"/>
              </a:solidFill>
              <a:round/>
            </a:ln>
            <a:effectLst/>
          </c:spPr>
          <c:marker>
            <c:symbol val="none"/>
          </c:marker>
          <c:cat>
            <c:strRef>
              <c:f>'booked as per windspeed'!$A$4:$A$25</c:f>
              <c:strCache>
                <c:ptCount val="21"/>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pt idx="20">
                  <c:v>(blank)</c:v>
                </c:pt>
              </c:strCache>
            </c:strRef>
          </c:cat>
          <c:val>
            <c:numRef>
              <c:f>'booked as per windspeed'!$B$4:$B$25</c:f>
              <c:numCache>
                <c:formatCode>General</c:formatCode>
                <c:ptCount val="21"/>
                <c:pt idx="0">
                  <c:v>7845</c:v>
                </c:pt>
                <c:pt idx="1">
                  <c:v>4149</c:v>
                </c:pt>
                <c:pt idx="2">
                  <c:v>4350</c:v>
                </c:pt>
                <c:pt idx="3">
                  <c:v>5261</c:v>
                </c:pt>
                <c:pt idx="4">
                  <c:v>5609</c:v>
                </c:pt>
                <c:pt idx="5">
                  <c:v>4668</c:v>
                </c:pt>
                <c:pt idx="6">
                  <c:v>3546</c:v>
                </c:pt>
                <c:pt idx="7">
                  <c:v>4074</c:v>
                </c:pt>
                <c:pt idx="8">
                  <c:v>3516</c:v>
                </c:pt>
                <c:pt idx="9">
                  <c:v>2872</c:v>
                </c:pt>
                <c:pt idx="10">
                  <c:v>3608</c:v>
                </c:pt>
                <c:pt idx="11">
                  <c:v>2069</c:v>
                </c:pt>
                <c:pt idx="12">
                  <c:v>1250</c:v>
                </c:pt>
                <c:pt idx="13">
                  <c:v>1432</c:v>
                </c:pt>
                <c:pt idx="14">
                  <c:v>1107</c:v>
                </c:pt>
                <c:pt idx="15">
                  <c:v>881</c:v>
                </c:pt>
                <c:pt idx="16">
                  <c:v>629</c:v>
                </c:pt>
                <c:pt idx="17">
                  <c:v>682</c:v>
                </c:pt>
                <c:pt idx="18">
                  <c:v>374</c:v>
                </c:pt>
                <c:pt idx="19">
                  <c:v>382</c:v>
                </c:pt>
              </c:numCache>
            </c:numRef>
          </c:val>
          <c:smooth val="0"/>
          <c:extLst>
            <c:ext xmlns:c16="http://schemas.microsoft.com/office/drawing/2014/chart" uri="{C3380CC4-5D6E-409C-BE32-E72D297353CC}">
              <c16:uniqueId val="{00000000-AB79-47DF-AD22-E4B1D5307CCB}"/>
            </c:ext>
          </c:extLst>
        </c:ser>
        <c:dLbls>
          <c:showLegendKey val="0"/>
          <c:showVal val="0"/>
          <c:showCatName val="0"/>
          <c:showSerName val="0"/>
          <c:showPercent val="0"/>
          <c:showBubbleSize val="0"/>
        </c:dLbls>
        <c:smooth val="0"/>
        <c:axId val="181221599"/>
        <c:axId val="181225439"/>
      </c:lineChart>
      <c:catAx>
        <c:axId val="18122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5439"/>
        <c:crosses val="autoZero"/>
        <c:auto val="1"/>
        <c:lblAlgn val="ctr"/>
        <c:lblOffset val="100"/>
        <c:noMultiLvlLbl val="0"/>
      </c:catAx>
      <c:valAx>
        <c:axId val="18122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1.xlsx]booked as per days!PivotTable4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booked as</a:t>
            </a:r>
            <a:r>
              <a:rPr lang="en-US" baseline="0"/>
              <a:t> per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'booked as per days'!$B$3</c:f>
              <c:strCache>
                <c:ptCount val="1"/>
                <c:pt idx="0">
                  <c:v>Total</c:v>
                </c:pt>
              </c:strCache>
            </c:strRef>
          </c:tx>
          <c:spPr>
            <a:solidFill>
              <a:schemeClr val="accent1"/>
            </a:solidFill>
            <a:ln>
              <a:noFill/>
            </a:ln>
            <a:effectLst/>
          </c:spPr>
          <c:invertIfNegative val="0"/>
          <c:cat>
            <c:strRef>
              <c:f>'booked as per days'!$A$4:$A$8</c:f>
              <c:strCache>
                <c:ptCount val="4"/>
                <c:pt idx="0">
                  <c:v>holiday</c:v>
                </c:pt>
                <c:pt idx="1">
                  <c:v>weekend</c:v>
                </c:pt>
                <c:pt idx="2">
                  <c:v>working day</c:v>
                </c:pt>
                <c:pt idx="3">
                  <c:v>(blank)</c:v>
                </c:pt>
              </c:strCache>
            </c:strRef>
          </c:cat>
          <c:val>
            <c:numRef>
              <c:f>'booked as per days'!$B$4:$B$8</c:f>
              <c:numCache>
                <c:formatCode>General</c:formatCode>
                <c:ptCount val="4"/>
                <c:pt idx="0">
                  <c:v>8121</c:v>
                </c:pt>
                <c:pt idx="1">
                  <c:v>8450</c:v>
                </c:pt>
                <c:pt idx="2">
                  <c:v>41733</c:v>
                </c:pt>
              </c:numCache>
            </c:numRef>
          </c:val>
          <c:extLst>
            <c:ext xmlns:c16="http://schemas.microsoft.com/office/drawing/2014/chart" uri="{C3380CC4-5D6E-409C-BE32-E72D297353CC}">
              <c16:uniqueId val="{00000000-0701-40F2-97E4-2852F14EFCB6}"/>
            </c:ext>
          </c:extLst>
        </c:ser>
        <c:dLbls>
          <c:showLegendKey val="0"/>
          <c:showVal val="0"/>
          <c:showCatName val="0"/>
          <c:showSerName val="0"/>
          <c:showPercent val="0"/>
          <c:showBubbleSize val="0"/>
        </c:dLbls>
        <c:gapWidth val="219"/>
        <c:overlap val="-27"/>
        <c:axId val="2074131759"/>
        <c:axId val="2074133679"/>
      </c:barChart>
      <c:catAx>
        <c:axId val="207413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33679"/>
        <c:crosses val="autoZero"/>
        <c:auto val="1"/>
        <c:lblAlgn val="ctr"/>
        <c:lblOffset val="100"/>
        <c:noMultiLvlLbl val="0"/>
      </c:catAx>
      <c:valAx>
        <c:axId val="207413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3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 1.xlsx]as per weather!PivotTable1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Bike booked as per</a:t>
            </a:r>
            <a:r>
              <a:rPr lang="en-US" baseline="0"/>
              <a:t> weather</a:t>
            </a:r>
            <a:endParaRPr lang="en-US"/>
          </a:p>
        </c:rich>
      </c:tx>
      <c:layout>
        <c:manualLayout>
          <c:xMode val="edge"/>
          <c:yMode val="edge"/>
          <c:x val="0.239424242424242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'as per weather'!$B$3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DC-46F2-BFE4-D9030AF6A2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DC-46F2-BFE4-D9030AF6A2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DC-46F2-BFE4-D9030AF6A2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DC-46F2-BFE4-D9030AF6A2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DC-46F2-BFE4-D9030AF6A2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 per weather'!$A$4:$A$9</c:f>
              <c:strCache>
                <c:ptCount val="5"/>
                <c:pt idx="0">
                  <c:v>extremerain</c:v>
                </c:pt>
                <c:pt idx="1">
                  <c:v>lightrain</c:v>
                </c:pt>
                <c:pt idx="2">
                  <c:v>mist</c:v>
                </c:pt>
                <c:pt idx="3">
                  <c:v>sunny</c:v>
                </c:pt>
                <c:pt idx="4">
                  <c:v>(blank)</c:v>
                </c:pt>
              </c:strCache>
            </c:strRef>
          </c:cat>
          <c:val>
            <c:numRef>
              <c:f>'as per weather'!$B$4:$B$9</c:f>
              <c:numCache>
                <c:formatCode>General</c:formatCode>
                <c:ptCount val="5"/>
                <c:pt idx="0">
                  <c:v>2825</c:v>
                </c:pt>
                <c:pt idx="1">
                  <c:v>18106</c:v>
                </c:pt>
                <c:pt idx="2">
                  <c:v>37373</c:v>
                </c:pt>
              </c:numCache>
            </c:numRef>
          </c:val>
          <c:extLst>
            <c:ext xmlns:c16="http://schemas.microsoft.com/office/drawing/2014/chart" uri="{C3380CC4-5D6E-409C-BE32-E72D297353CC}">
              <c16:uniqueId val="{0000000A-F4DC-46F2-BFE4-D9030AF6A2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295275</xdr:colOff>
      <xdr:row>2</xdr:row>
      <xdr:rowOff>14287</xdr:rowOff>
    </xdr:from>
    <xdr:to>
      <xdr:col>10</xdr:col>
      <xdr:colOff>219075</xdr:colOff>
      <xdr:row>16</xdr:row>
      <xdr:rowOff>90487</xdr:rowOff>
    </xdr:to>
    <xdr:graphicFrame macro="">
      <xdr:nvGraphicFramePr>
        <xdr:cNvPr id="2" name="Chart 1">
          <a:extLst>
            <a:ext uri="{FF2B5EF4-FFF2-40B4-BE49-F238E27FC236}">
              <a16:creationId xmlns:a16="http://schemas.microsoft.com/office/drawing/2014/main" id="{EC3EE98B-B467-962E-BE26-ACB7FD5F2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4</xdr:row>
      <xdr:rowOff>90487</xdr:rowOff>
    </xdr:from>
    <xdr:to>
      <xdr:col>9</xdr:col>
      <xdr:colOff>514350</xdr:colOff>
      <xdr:row>18</xdr:row>
      <xdr:rowOff>166687</xdr:rowOff>
    </xdr:to>
    <xdr:graphicFrame macro="">
      <xdr:nvGraphicFramePr>
        <xdr:cNvPr id="2" name="Chart 1">
          <a:extLst>
            <a:ext uri="{FF2B5EF4-FFF2-40B4-BE49-F238E27FC236}">
              <a16:creationId xmlns:a16="http://schemas.microsoft.com/office/drawing/2014/main" id="{5D207399-8242-F3D0-63DE-F74E41335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6</xdr:row>
      <xdr:rowOff>33337</xdr:rowOff>
    </xdr:from>
    <xdr:to>
      <xdr:col>10</xdr:col>
      <xdr:colOff>457200</xdr:colOff>
      <xdr:row>20</xdr:row>
      <xdr:rowOff>109537</xdr:rowOff>
    </xdr:to>
    <xdr:graphicFrame macro="">
      <xdr:nvGraphicFramePr>
        <xdr:cNvPr id="2" name="Chart 1">
          <a:extLst>
            <a:ext uri="{FF2B5EF4-FFF2-40B4-BE49-F238E27FC236}">
              <a16:creationId xmlns:a16="http://schemas.microsoft.com/office/drawing/2014/main" id="{4613C286-21D0-7B67-7540-E1C853B01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6</xdr:row>
      <xdr:rowOff>33337</xdr:rowOff>
    </xdr:from>
    <xdr:to>
      <xdr:col>10</xdr:col>
      <xdr:colOff>457200</xdr:colOff>
      <xdr:row>20</xdr:row>
      <xdr:rowOff>109537</xdr:rowOff>
    </xdr:to>
    <xdr:graphicFrame macro="">
      <xdr:nvGraphicFramePr>
        <xdr:cNvPr id="3" name="Chart 2">
          <a:extLst>
            <a:ext uri="{FF2B5EF4-FFF2-40B4-BE49-F238E27FC236}">
              <a16:creationId xmlns:a16="http://schemas.microsoft.com/office/drawing/2014/main" id="{96467913-F711-DB0A-16F9-AC494A720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3</xdr:row>
      <xdr:rowOff>128587</xdr:rowOff>
    </xdr:from>
    <xdr:to>
      <xdr:col>10</xdr:col>
      <xdr:colOff>457200</xdr:colOff>
      <xdr:row>18</xdr:row>
      <xdr:rowOff>14287</xdr:rowOff>
    </xdr:to>
    <xdr:graphicFrame macro="">
      <xdr:nvGraphicFramePr>
        <xdr:cNvPr id="5" name="Chart 4">
          <a:extLst>
            <a:ext uri="{FF2B5EF4-FFF2-40B4-BE49-F238E27FC236}">
              <a16:creationId xmlns:a16="http://schemas.microsoft.com/office/drawing/2014/main" id="{2ECE944C-9060-BE23-C379-041FC41AE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295276</xdr:colOff>
      <xdr:row>2</xdr:row>
      <xdr:rowOff>161925</xdr:rowOff>
    </xdr:from>
    <xdr:to>
      <xdr:col>5</xdr:col>
      <xdr:colOff>314326</xdr:colOff>
      <xdr:row>11</xdr:row>
      <xdr:rowOff>180975</xdr:rowOff>
    </xdr:to>
    <xdr:graphicFrame macro="">
      <xdr:nvGraphicFramePr>
        <xdr:cNvPr id="2" name="Chart 1">
          <a:extLst>
            <a:ext uri="{FF2B5EF4-FFF2-40B4-BE49-F238E27FC236}">
              <a16:creationId xmlns:a16="http://schemas.microsoft.com/office/drawing/2014/main" id="{403CB8D8-5873-495B-B44E-EE32FEC19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3</xdr:row>
      <xdr:rowOff>1</xdr:rowOff>
    </xdr:from>
    <xdr:to>
      <xdr:col>10</xdr:col>
      <xdr:colOff>247650</xdr:colOff>
      <xdr:row>12</xdr:row>
      <xdr:rowOff>1</xdr:rowOff>
    </xdr:to>
    <xdr:graphicFrame macro="">
      <xdr:nvGraphicFramePr>
        <xdr:cNvPr id="3" name="Chart 2">
          <a:extLst>
            <a:ext uri="{FF2B5EF4-FFF2-40B4-BE49-F238E27FC236}">
              <a16:creationId xmlns:a16="http://schemas.microsoft.com/office/drawing/2014/main" id="{403B4CDE-8A5C-4F64-B115-41A3B2C4F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352424</xdr:colOff>
      <xdr:row>13</xdr:row>
      <xdr:rowOff>95251</xdr:rowOff>
    </xdr:from>
    <xdr:to>
      <xdr:col>8</xdr:col>
      <xdr:colOff>0</xdr:colOff>
      <xdr:row>23</xdr:row>
      <xdr:rowOff>57151</xdr:rowOff>
    </xdr:to>
    <xdr:graphicFrame macro="">
      <xdr:nvGraphicFramePr>
        <xdr:cNvPr id="4" name="Chart 3">
          <a:extLst>
            <a:ext uri="{FF2B5EF4-FFF2-40B4-BE49-F238E27FC236}">
              <a16:creationId xmlns:a16="http://schemas.microsoft.com/office/drawing/2014/main" id="{05BFBB98-8903-4752-A911-6F247E71B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409575</xdr:colOff>
      <xdr:row>13</xdr:row>
      <xdr:rowOff>171450</xdr:rowOff>
    </xdr:from>
    <xdr:to>
      <xdr:col>14</xdr:col>
      <xdr:colOff>476249</xdr:colOff>
      <xdr:row>22</xdr:row>
      <xdr:rowOff>142875</xdr:rowOff>
    </xdr:to>
    <xdr:graphicFrame macro="">
      <xdr:nvGraphicFramePr>
        <xdr:cNvPr id="5" name="Chart 4">
          <a:extLst>
            <a:ext uri="{FF2B5EF4-FFF2-40B4-BE49-F238E27FC236}">
              <a16:creationId xmlns:a16="http://schemas.microsoft.com/office/drawing/2014/main" id="{10D8249F-D4A7-469B-B158-76A35F2B1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428626</xdr:colOff>
      <xdr:row>3</xdr:row>
      <xdr:rowOff>19050</xdr:rowOff>
    </xdr:from>
    <xdr:to>
      <xdr:col>14</xdr:col>
      <xdr:colOff>495300</xdr:colOff>
      <xdr:row>13</xdr:row>
      <xdr:rowOff>142875</xdr:rowOff>
    </xdr:to>
    <xdr:graphicFrame macro="">
      <xdr:nvGraphicFramePr>
        <xdr:cNvPr id="12" name="Chart 11">
          <a:extLst>
            <a:ext uri="{FF2B5EF4-FFF2-40B4-BE49-F238E27FC236}">
              <a16:creationId xmlns:a16="http://schemas.microsoft.com/office/drawing/2014/main" id="{83A2732D-8495-410A-A7D8-FCA2A8DDB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38100</xdr:colOff>
      <xdr:row>0</xdr:row>
      <xdr:rowOff>0</xdr:rowOff>
    </xdr:from>
    <xdr:to>
      <xdr:col>18</xdr:col>
      <xdr:colOff>38100</xdr:colOff>
      <xdr:row>11</xdr:row>
      <xdr:rowOff>133350</xdr:rowOff>
    </xdr:to>
    <mc:AlternateContent xmlns:mc="http://schemas.openxmlformats.org/markup-compatibility/2006" xmlns:a14="http://schemas.microsoft.com/office/drawing/2010/main">
      <mc:Choice Requires="a14">
        <xdr:graphicFrame macro="">
          <xdr:nvGraphicFramePr>
            <xdr:cNvPr id="14" name="windspeed">
              <a:extLst>
                <a:ext uri="{FF2B5EF4-FFF2-40B4-BE49-F238E27FC236}">
                  <a16:creationId xmlns:a16="http://schemas.microsoft.com/office/drawing/2014/main" id="{7AB2155D-D4C2-694C-3A9E-304115589C7A}"/>
                </a:ext>
              </a:extLst>
            </xdr:cNvPr>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mlns="">
        <xdr:sp macro="" textlink="">
          <xdr:nvSpPr>
            <xdr:cNvPr id="0" name=""/>
            <xdr:cNvSpPr>
              <a:spLocks noTextEdit="1"/>
            </xdr:cNvSpPr>
          </xdr:nvSpPr>
          <xdr:spPr>
            <a:xfrm>
              <a:off x="91821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0</xdr:row>
      <xdr:rowOff>19050</xdr:rowOff>
    </xdr:from>
    <xdr:to>
      <xdr:col>21</xdr:col>
      <xdr:colOff>38100</xdr:colOff>
      <xdr:row>11</xdr:row>
      <xdr:rowOff>152400</xdr:rowOff>
    </xdr:to>
    <mc:AlternateContent xmlns:mc="http://schemas.openxmlformats.org/markup-compatibility/2006" xmlns:a14="http://schemas.microsoft.com/office/drawing/2010/main">
      <mc:Choice Requires="a14">
        <xdr:graphicFrame macro="">
          <xdr:nvGraphicFramePr>
            <xdr:cNvPr id="15" name="registered">
              <a:extLst>
                <a:ext uri="{FF2B5EF4-FFF2-40B4-BE49-F238E27FC236}">
                  <a16:creationId xmlns:a16="http://schemas.microsoft.com/office/drawing/2014/main" id="{4BFE3B5C-8C61-CDEE-BD7C-A5860EEFCDE3}"/>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1010900"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10</xdr:row>
      <xdr:rowOff>142875</xdr:rowOff>
    </xdr:from>
    <xdr:to>
      <xdr:col>18</xdr:col>
      <xdr:colOff>47625</xdr:colOff>
      <xdr:row>24</xdr:row>
      <xdr:rowOff>0</xdr:rowOff>
    </xdr:to>
    <mc:AlternateContent xmlns:mc="http://schemas.openxmlformats.org/markup-compatibility/2006" xmlns:a14="http://schemas.microsoft.com/office/drawing/2010/main">
      <mc:Choice Requires="a14">
        <xdr:graphicFrame macro="">
          <xdr:nvGraphicFramePr>
            <xdr:cNvPr id="16" name="temp">
              <a:extLst>
                <a:ext uri="{FF2B5EF4-FFF2-40B4-BE49-F238E27FC236}">
                  <a16:creationId xmlns:a16="http://schemas.microsoft.com/office/drawing/2014/main" id="{A1A8B713-0D0B-0978-A42B-75F22F5D88CA}"/>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9191625" y="2057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13</xdr:row>
      <xdr:rowOff>85725</xdr:rowOff>
    </xdr:from>
    <xdr:to>
      <xdr:col>21</xdr:col>
      <xdr:colOff>38100</xdr:colOff>
      <xdr:row>26</xdr:row>
      <xdr:rowOff>133350</xdr:rowOff>
    </xdr:to>
    <mc:AlternateContent xmlns:mc="http://schemas.openxmlformats.org/markup-compatibility/2006" xmlns:a14="http://schemas.microsoft.com/office/drawing/2010/main">
      <mc:Choice Requires="a14">
        <xdr:graphicFrame macro="">
          <xdr:nvGraphicFramePr>
            <xdr:cNvPr id="17" name="days">
              <a:extLst>
                <a:ext uri="{FF2B5EF4-FFF2-40B4-BE49-F238E27FC236}">
                  <a16:creationId xmlns:a16="http://schemas.microsoft.com/office/drawing/2014/main" id="{5F135D0B-EE55-748D-74C5-3868E335F4C7}"/>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1010900" y="257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xdr:colOff>
      <xdr:row>20</xdr:row>
      <xdr:rowOff>123825</xdr:rowOff>
    </xdr:from>
    <xdr:to>
      <xdr:col>18</xdr:col>
      <xdr:colOff>57150</xdr:colOff>
      <xdr:row>33</xdr:row>
      <xdr:rowOff>171450</xdr:rowOff>
    </xdr:to>
    <mc:AlternateContent xmlns:mc="http://schemas.openxmlformats.org/markup-compatibility/2006" xmlns:a14="http://schemas.microsoft.com/office/drawing/2010/main">
      <mc:Choice Requires="a14">
        <xdr:graphicFrame macro="">
          <xdr:nvGraphicFramePr>
            <xdr:cNvPr id="19" name="weather">
              <a:extLst>
                <a:ext uri="{FF2B5EF4-FFF2-40B4-BE49-F238E27FC236}">
                  <a16:creationId xmlns:a16="http://schemas.microsoft.com/office/drawing/2014/main" id="{9ABA8035-477F-7CEA-8E57-AFC428B3290D}"/>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9201150" y="394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6.045589930553" createdVersion="8" refreshedVersion="8" minRefreshableVersion="3" recordCount="1011" xr:uid="{91D05AD4-DBE9-455E-BB98-A5D93B2F7D32}">
  <cacheSource type="worksheet">
    <worksheetSource name="Append1"/>
  </cacheSource>
  <cacheFields count="18">
    <cacheField name="instant" numFmtId="0">
      <sharedItems containsString="0" containsBlank="1" containsNumber="1" containsInteger="1" minValue="1" maxValue="1000"/>
    </cacheField>
    <cacheField name="atemp" numFmtId="0">
      <sharedItems containsString="0" containsBlank="1" containsNumber="1" minValue="0" maxValue="0.45450000000000002"/>
    </cacheField>
    <cacheField name="hum" numFmtId="0">
      <sharedItems containsString="0" containsBlank="1" containsNumber="1" minValue="0.21" maxValue="1" count="65">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m/>
        <n v="0.31"/>
        <n v="0.73"/>
        <n v="0.24"/>
      </sharedItems>
    </cacheField>
    <cacheField name="windspeed" numFmtId="0">
      <sharedItems containsString="0" containsBlank="1" containsNumber="1" minValue="0" maxValue="0.58209999999999995" count="21">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m/>
      </sharedItems>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ount="187">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m/>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m/>
        <n v="149"/>
        <n v="107"/>
        <n v="156"/>
        <n v="111"/>
        <n v="135"/>
        <n v="176"/>
        <n v="168"/>
        <n v="175"/>
        <n v="147"/>
        <n v="220"/>
        <n v="127"/>
        <n v="205"/>
        <n v="174"/>
        <n v="121"/>
        <n v="230"/>
        <n v="66"/>
        <n v="114"/>
        <n v="216"/>
        <n v="243"/>
        <n v="199"/>
        <n v="170"/>
        <n v="165"/>
        <n v="160"/>
        <n v="140"/>
        <n v="211"/>
        <n v="145"/>
      </sharedItems>
    </cacheField>
    <cacheField name="dteday" numFmtId="14">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m/>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4">
        <n v="0.24"/>
        <n v="0.22"/>
        <n v="0.2"/>
        <n v="0.32"/>
        <n v="0.38"/>
        <n v="0.36"/>
        <n v="0.42"/>
        <n v="0.46"/>
        <n v="0.44"/>
        <n v="0.4"/>
        <n v="0.34"/>
        <n v="0.3"/>
        <n v="0.26"/>
        <n v="0.16"/>
        <n v="0.14000000000000001"/>
        <n v="0.18"/>
        <n v="0.12"/>
        <n v="0.28000000000000003"/>
        <n v="0.1"/>
        <n v="0.08"/>
        <n v="0.06"/>
        <n v="0.04"/>
        <n v="0.02"/>
        <m/>
      </sharedItems>
    </cacheField>
    <cacheField name="days" numFmtId="0">
      <sharedItems containsBlank="1" count="4">
        <s v="working day"/>
        <s v="holiday"/>
        <s v="weekend"/>
        <m/>
      </sharedItems>
    </cacheField>
    <cacheField name="weather" numFmtId="0">
      <sharedItems containsBlank="1" count="5">
        <s v="mist"/>
        <s v="lightrain"/>
        <s v="extremerain"/>
        <s v="sunny"/>
        <m/>
      </sharedItems>
    </cacheField>
    <cacheField name="Days (dteday)" numFmtId="0" databaseField="0">
      <fieldGroup base="7">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Months (dteday)" numFmtId="0" databaseField="0">
      <fieldGroup base="7">
        <rangePr groupBy="months" startDate="2011-01-01T00:00:00" endDate="2011-02-15T00:00:00"/>
        <groupItems count="14">
          <s v="&lt;1/1/2011"/>
          <s v="Jan"/>
          <s v="Feb"/>
          <s v="Mar"/>
          <s v="Apr"/>
          <s v="May"/>
          <s v="Jun"/>
          <s v="Jul"/>
          <s v="Aug"/>
          <s v="Sep"/>
          <s v="Oct"/>
          <s v="Nov"/>
          <s v="Dec"/>
          <s v="&gt;2/15/2011"/>
        </groupItems>
      </fieldGroup>
    </cacheField>
  </cacheFields>
  <extLst>
    <ext xmlns:x14="http://schemas.microsoft.com/office/spreadsheetml/2009/9/main" uri="{725AE2AE-9491-48be-B2B4-4EB974FC3084}">
      <x14:pivotCacheDefinition pivotCacheId="1077728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1">
  <r>
    <n v="1"/>
    <n v="0.28789999999999999"/>
    <x v="0"/>
    <x v="0"/>
    <n v="3"/>
    <x v="0"/>
    <x v="0"/>
    <x v="0"/>
    <n v="1"/>
    <x v="0"/>
    <b v="0"/>
    <x v="0"/>
    <x v="0"/>
    <x v="0"/>
    <x v="0"/>
    <x v="0"/>
  </r>
  <r>
    <n v="2"/>
    <n v="0.2727"/>
    <x v="1"/>
    <x v="0"/>
    <n v="8"/>
    <x v="1"/>
    <x v="1"/>
    <x v="0"/>
    <n v="1"/>
    <x v="1"/>
    <b v="0"/>
    <x v="0"/>
    <x v="0"/>
    <x v="1"/>
    <x v="0"/>
    <x v="0"/>
  </r>
  <r>
    <n v="3"/>
    <n v="0.2727"/>
    <x v="1"/>
    <x v="0"/>
    <n v="5"/>
    <x v="2"/>
    <x v="2"/>
    <x v="0"/>
    <n v="1"/>
    <x v="2"/>
    <b v="0"/>
    <x v="0"/>
    <x v="0"/>
    <x v="1"/>
    <x v="0"/>
    <x v="0"/>
  </r>
  <r>
    <n v="4"/>
    <n v="0.28789999999999999"/>
    <x v="2"/>
    <x v="0"/>
    <n v="3"/>
    <x v="3"/>
    <x v="3"/>
    <x v="0"/>
    <n v="1"/>
    <x v="3"/>
    <b v="0"/>
    <x v="0"/>
    <x v="0"/>
    <x v="0"/>
    <x v="0"/>
    <x v="0"/>
  </r>
  <r>
    <n v="5"/>
    <n v="0.28789999999999999"/>
    <x v="2"/>
    <x v="0"/>
    <n v="0"/>
    <x v="4"/>
    <x v="4"/>
    <x v="0"/>
    <n v="1"/>
    <x v="4"/>
    <b v="0"/>
    <x v="0"/>
    <x v="0"/>
    <x v="0"/>
    <x v="0"/>
    <x v="0"/>
  </r>
  <r>
    <n v="6"/>
    <n v="0.2576"/>
    <x v="2"/>
    <x v="1"/>
    <n v="0"/>
    <x v="4"/>
    <x v="4"/>
    <x v="0"/>
    <n v="1"/>
    <x v="5"/>
    <b v="0"/>
    <x v="0"/>
    <x v="1"/>
    <x v="0"/>
    <x v="0"/>
    <x v="1"/>
  </r>
  <r>
    <n v="7"/>
    <n v="0.2727"/>
    <x v="1"/>
    <x v="0"/>
    <n v="2"/>
    <x v="5"/>
    <x v="5"/>
    <x v="0"/>
    <n v="1"/>
    <x v="6"/>
    <b v="0"/>
    <x v="0"/>
    <x v="0"/>
    <x v="1"/>
    <x v="0"/>
    <x v="0"/>
  </r>
  <r>
    <n v="8"/>
    <n v="0.2576"/>
    <x v="3"/>
    <x v="0"/>
    <n v="1"/>
    <x v="6"/>
    <x v="6"/>
    <x v="0"/>
    <n v="1"/>
    <x v="7"/>
    <b v="0"/>
    <x v="0"/>
    <x v="0"/>
    <x v="2"/>
    <x v="0"/>
    <x v="0"/>
  </r>
  <r>
    <n v="9"/>
    <n v="0"/>
    <x v="2"/>
    <x v="0"/>
    <n v="1"/>
    <x v="7"/>
    <x v="7"/>
    <x v="0"/>
    <n v="1"/>
    <x v="8"/>
    <b v="0"/>
    <x v="0"/>
    <x v="0"/>
    <x v="0"/>
    <x v="0"/>
    <x v="0"/>
  </r>
  <r>
    <n v="10"/>
    <n v="0.34849999999999998"/>
    <x v="4"/>
    <x v="0"/>
    <n v="8"/>
    <x v="8"/>
    <x v="8"/>
    <x v="0"/>
    <n v="1"/>
    <x v="9"/>
    <b v="0"/>
    <x v="0"/>
    <x v="0"/>
    <x v="3"/>
    <x v="0"/>
    <x v="0"/>
  </r>
  <r>
    <n v="11"/>
    <n v="0.39389999999999997"/>
    <x v="4"/>
    <x v="2"/>
    <n v="12"/>
    <x v="9"/>
    <x v="9"/>
    <x v="0"/>
    <n v="1"/>
    <x v="10"/>
    <b v="0"/>
    <x v="0"/>
    <x v="0"/>
    <x v="4"/>
    <x v="0"/>
    <x v="0"/>
  </r>
  <r>
    <n v="12"/>
    <n v="0.33329999999999999"/>
    <x v="0"/>
    <x v="3"/>
    <n v="26"/>
    <x v="10"/>
    <x v="10"/>
    <x v="0"/>
    <n v="1"/>
    <x v="11"/>
    <b v="0"/>
    <x v="0"/>
    <x v="0"/>
    <x v="5"/>
    <x v="0"/>
    <x v="0"/>
  </r>
  <r>
    <n v="13"/>
    <n v="0.42420000000000002"/>
    <x v="5"/>
    <x v="3"/>
    <n v="29"/>
    <x v="11"/>
    <x v="11"/>
    <x v="0"/>
    <n v="1"/>
    <x v="12"/>
    <b v="0"/>
    <x v="0"/>
    <x v="0"/>
    <x v="6"/>
    <x v="0"/>
    <x v="0"/>
  </r>
  <r>
    <n v="14"/>
    <n v="0.45450000000000002"/>
    <x v="6"/>
    <x v="4"/>
    <n v="47"/>
    <x v="12"/>
    <x v="12"/>
    <x v="0"/>
    <n v="1"/>
    <x v="13"/>
    <b v="0"/>
    <x v="0"/>
    <x v="1"/>
    <x v="7"/>
    <x v="0"/>
    <x v="1"/>
  </r>
  <r>
    <n v="15"/>
    <n v="0.45450000000000002"/>
    <x v="6"/>
    <x v="3"/>
    <n v="35"/>
    <x v="13"/>
    <x v="13"/>
    <x v="0"/>
    <n v="1"/>
    <x v="14"/>
    <b v="0"/>
    <x v="0"/>
    <x v="1"/>
    <x v="7"/>
    <x v="0"/>
    <x v="1"/>
  </r>
  <r>
    <n v="16"/>
    <n v="0.43940000000000001"/>
    <x v="5"/>
    <x v="4"/>
    <n v="40"/>
    <x v="14"/>
    <x v="14"/>
    <x v="0"/>
    <n v="1"/>
    <x v="15"/>
    <b v="0"/>
    <x v="0"/>
    <x v="1"/>
    <x v="8"/>
    <x v="0"/>
    <x v="1"/>
  </r>
  <r>
    <n v="17"/>
    <n v="0.42420000000000002"/>
    <x v="7"/>
    <x v="4"/>
    <n v="41"/>
    <x v="15"/>
    <x v="15"/>
    <x v="0"/>
    <n v="1"/>
    <x v="16"/>
    <b v="0"/>
    <x v="0"/>
    <x v="1"/>
    <x v="6"/>
    <x v="0"/>
    <x v="1"/>
  </r>
  <r>
    <n v="18"/>
    <n v="0"/>
    <x v="7"/>
    <x v="3"/>
    <n v="15"/>
    <x v="15"/>
    <x v="16"/>
    <x v="0"/>
    <n v="1"/>
    <x v="17"/>
    <b v="0"/>
    <x v="0"/>
    <x v="1"/>
    <x v="8"/>
    <x v="0"/>
    <x v="1"/>
  </r>
  <r>
    <n v="19"/>
    <n v="0.42420000000000002"/>
    <x v="8"/>
    <x v="2"/>
    <n v="9"/>
    <x v="16"/>
    <x v="17"/>
    <x v="0"/>
    <n v="1"/>
    <x v="18"/>
    <b v="0"/>
    <x v="0"/>
    <x v="2"/>
    <x v="6"/>
    <x v="0"/>
    <x v="2"/>
  </r>
  <r>
    <n v="20"/>
    <n v="0.42420000000000002"/>
    <x v="8"/>
    <x v="2"/>
    <n v="6"/>
    <x v="17"/>
    <x v="18"/>
    <x v="0"/>
    <n v="1"/>
    <x v="19"/>
    <b v="0"/>
    <x v="0"/>
    <x v="2"/>
    <x v="6"/>
    <x v="0"/>
    <x v="2"/>
  </r>
  <r>
    <n v="21"/>
    <n v="0.40910000000000002"/>
    <x v="9"/>
    <x v="2"/>
    <n v="11"/>
    <x v="18"/>
    <x v="9"/>
    <x v="0"/>
    <n v="1"/>
    <x v="20"/>
    <b v="0"/>
    <x v="0"/>
    <x v="1"/>
    <x v="9"/>
    <x v="0"/>
    <x v="1"/>
  </r>
  <r>
    <n v="22"/>
    <n v="0.40910000000000002"/>
    <x v="9"/>
    <x v="5"/>
    <n v="3"/>
    <x v="17"/>
    <x v="19"/>
    <x v="0"/>
    <n v="1"/>
    <x v="21"/>
    <b v="0"/>
    <x v="0"/>
    <x v="1"/>
    <x v="9"/>
    <x v="0"/>
    <x v="1"/>
  </r>
  <r>
    <n v="23"/>
    <n v="0.40910000000000002"/>
    <x v="10"/>
    <x v="6"/>
    <n v="11"/>
    <x v="19"/>
    <x v="20"/>
    <x v="0"/>
    <n v="1"/>
    <x v="22"/>
    <b v="0"/>
    <x v="0"/>
    <x v="1"/>
    <x v="9"/>
    <x v="0"/>
    <x v="1"/>
  </r>
  <r>
    <n v="24"/>
    <m/>
    <x v="8"/>
    <x v="4"/>
    <n v="15"/>
    <x v="9"/>
    <x v="21"/>
    <x v="0"/>
    <n v="1"/>
    <x v="23"/>
    <b v="0"/>
    <x v="0"/>
    <x v="1"/>
    <x v="7"/>
    <x v="0"/>
    <x v="1"/>
  </r>
  <r>
    <n v="25"/>
    <n v="0.45450000000000002"/>
    <x v="8"/>
    <x v="4"/>
    <n v="4"/>
    <x v="0"/>
    <x v="22"/>
    <x v="1"/>
    <n v="1"/>
    <x v="0"/>
    <b v="1"/>
    <x v="1"/>
    <x v="1"/>
    <x v="7"/>
    <x v="1"/>
    <x v="1"/>
  </r>
  <r>
    <n v="26"/>
    <n v="0.43940000000000001"/>
    <x v="10"/>
    <x v="2"/>
    <n v="1"/>
    <x v="20"/>
    <x v="22"/>
    <x v="1"/>
    <n v="1"/>
    <x v="1"/>
    <b v="1"/>
    <x v="1"/>
    <x v="1"/>
    <x v="8"/>
    <x v="1"/>
    <x v="1"/>
  </r>
  <r>
    <n v="27"/>
    <n v="0.42420000000000002"/>
    <x v="11"/>
    <x v="3"/>
    <n v="1"/>
    <x v="21"/>
    <x v="23"/>
    <x v="1"/>
    <n v="1"/>
    <x v="2"/>
    <b v="1"/>
    <x v="1"/>
    <x v="1"/>
    <x v="6"/>
    <x v="1"/>
    <x v="1"/>
  </r>
  <r>
    <n v="28"/>
    <n v="0.45450000000000002"/>
    <x v="10"/>
    <x v="5"/>
    <n v="2"/>
    <x v="22"/>
    <x v="24"/>
    <x v="1"/>
    <n v="1"/>
    <x v="3"/>
    <b v="1"/>
    <x v="1"/>
    <x v="1"/>
    <x v="7"/>
    <x v="1"/>
    <x v="1"/>
  </r>
  <r>
    <n v="29"/>
    <m/>
    <x v="10"/>
    <x v="5"/>
    <n v="2"/>
    <x v="4"/>
    <x v="6"/>
    <x v="1"/>
    <n v="1"/>
    <x v="4"/>
    <b v="1"/>
    <x v="1"/>
    <x v="1"/>
    <x v="7"/>
    <x v="1"/>
    <x v="1"/>
  </r>
  <r>
    <n v="30"/>
    <n v="0.42420000000000002"/>
    <x v="5"/>
    <x v="4"/>
    <n v="0"/>
    <x v="6"/>
    <x v="5"/>
    <x v="1"/>
    <n v="1"/>
    <x v="6"/>
    <b v="1"/>
    <x v="1"/>
    <x v="2"/>
    <x v="6"/>
    <x v="1"/>
    <x v="2"/>
  </r>
  <r>
    <n v="31"/>
    <n v="0.40910000000000002"/>
    <x v="4"/>
    <x v="5"/>
    <n v="0"/>
    <x v="4"/>
    <x v="4"/>
    <x v="1"/>
    <n v="1"/>
    <x v="7"/>
    <b v="1"/>
    <x v="1"/>
    <x v="1"/>
    <x v="9"/>
    <x v="1"/>
    <x v="1"/>
  </r>
  <r>
    <n v="32"/>
    <n v="0.40910000000000002"/>
    <x v="12"/>
    <x v="6"/>
    <n v="0"/>
    <x v="21"/>
    <x v="7"/>
    <x v="1"/>
    <n v="1"/>
    <x v="8"/>
    <b v="1"/>
    <x v="1"/>
    <x v="2"/>
    <x v="9"/>
    <x v="1"/>
    <x v="2"/>
  </r>
  <r>
    <n v="33"/>
    <m/>
    <x v="4"/>
    <x v="6"/>
    <n v="1"/>
    <x v="23"/>
    <x v="25"/>
    <x v="1"/>
    <n v="1"/>
    <x v="9"/>
    <b v="1"/>
    <x v="1"/>
    <x v="1"/>
    <x v="4"/>
    <x v="1"/>
    <x v="1"/>
  </r>
  <r>
    <n v="34"/>
    <n v="0.34849999999999998"/>
    <x v="0"/>
    <x v="6"/>
    <n v="7"/>
    <x v="24"/>
    <x v="26"/>
    <x v="1"/>
    <n v="1"/>
    <x v="10"/>
    <b v="1"/>
    <x v="1"/>
    <x v="1"/>
    <x v="5"/>
    <x v="1"/>
    <x v="1"/>
  </r>
  <r>
    <n v="35"/>
    <n v="0.33329999999999999"/>
    <x v="12"/>
    <x v="2"/>
    <n v="16"/>
    <x v="25"/>
    <x v="27"/>
    <x v="1"/>
    <n v="1"/>
    <x v="11"/>
    <b v="1"/>
    <x v="1"/>
    <x v="1"/>
    <x v="5"/>
    <x v="1"/>
    <x v="1"/>
  </r>
  <r>
    <n v="36"/>
    <n v="0.33329999999999999"/>
    <x v="13"/>
    <x v="4"/>
    <n v="20"/>
    <x v="26"/>
    <x v="15"/>
    <x v="1"/>
    <n v="1"/>
    <x v="12"/>
    <b v="1"/>
    <x v="1"/>
    <x v="1"/>
    <x v="5"/>
    <x v="1"/>
    <x v="1"/>
  </r>
  <r>
    <n v="37"/>
    <n v="0.34849999999999998"/>
    <x v="13"/>
    <x v="7"/>
    <n v="11"/>
    <x v="27"/>
    <x v="28"/>
    <x v="1"/>
    <n v="1"/>
    <x v="13"/>
    <b v="1"/>
    <x v="1"/>
    <x v="1"/>
    <x v="5"/>
    <x v="1"/>
    <x v="1"/>
  </r>
  <r>
    <n v="38"/>
    <m/>
    <x v="4"/>
    <x v="5"/>
    <n v="4"/>
    <x v="11"/>
    <x v="29"/>
    <x v="1"/>
    <n v="1"/>
    <x v="14"/>
    <b v="1"/>
    <x v="1"/>
    <x v="2"/>
    <x v="5"/>
    <x v="1"/>
    <x v="2"/>
  </r>
  <r>
    <n v="39"/>
    <n v="0.33329999999999999"/>
    <x v="0"/>
    <x v="8"/>
    <n v="19"/>
    <x v="11"/>
    <x v="30"/>
    <x v="1"/>
    <n v="1"/>
    <x v="15"/>
    <b v="1"/>
    <x v="1"/>
    <x v="2"/>
    <x v="10"/>
    <x v="1"/>
    <x v="2"/>
  </r>
  <r>
    <n v="40"/>
    <n v="0.33329999999999999"/>
    <x v="12"/>
    <x v="8"/>
    <n v="9"/>
    <x v="28"/>
    <x v="31"/>
    <x v="1"/>
    <n v="1"/>
    <x v="16"/>
    <b v="1"/>
    <x v="1"/>
    <x v="2"/>
    <x v="10"/>
    <x v="1"/>
    <x v="2"/>
  </r>
  <r>
    <n v="41"/>
    <n v="0.33329999999999999"/>
    <x v="14"/>
    <x v="5"/>
    <n v="7"/>
    <x v="29"/>
    <x v="32"/>
    <x v="1"/>
    <n v="1"/>
    <x v="17"/>
    <b v="1"/>
    <x v="1"/>
    <x v="0"/>
    <x v="10"/>
    <x v="1"/>
    <x v="0"/>
  </r>
  <r>
    <n v="42"/>
    <n v="0.33329999999999999"/>
    <x v="15"/>
    <x v="9"/>
    <n v="10"/>
    <x v="30"/>
    <x v="26"/>
    <x v="1"/>
    <n v="1"/>
    <x v="18"/>
    <b v="1"/>
    <x v="1"/>
    <x v="1"/>
    <x v="5"/>
    <x v="1"/>
    <x v="1"/>
  </r>
  <r>
    <n v="43"/>
    <n v="0.28789999999999999"/>
    <x v="16"/>
    <x v="10"/>
    <n v="1"/>
    <x v="31"/>
    <x v="33"/>
    <x v="1"/>
    <n v="1"/>
    <x v="19"/>
    <b v="1"/>
    <x v="1"/>
    <x v="0"/>
    <x v="3"/>
    <x v="1"/>
    <x v="0"/>
  </r>
  <r>
    <n v="44"/>
    <m/>
    <x v="17"/>
    <x v="11"/>
    <n v="5"/>
    <x v="19"/>
    <x v="34"/>
    <x v="1"/>
    <n v="1"/>
    <x v="20"/>
    <b v="1"/>
    <x v="1"/>
    <x v="0"/>
    <x v="11"/>
    <x v="1"/>
    <x v="0"/>
  </r>
  <r>
    <n v="45"/>
    <n v="0.2273"/>
    <x v="18"/>
    <x v="9"/>
    <n v="11"/>
    <x v="32"/>
    <x v="35"/>
    <x v="1"/>
    <n v="1"/>
    <x v="21"/>
    <b v="1"/>
    <x v="1"/>
    <x v="0"/>
    <x v="12"/>
    <x v="1"/>
    <x v="0"/>
  </r>
  <r>
    <n v="46"/>
    <n v="0.21210000000000001"/>
    <x v="18"/>
    <x v="4"/>
    <n v="0"/>
    <x v="33"/>
    <x v="23"/>
    <x v="1"/>
    <n v="1"/>
    <x v="22"/>
    <b v="1"/>
    <x v="1"/>
    <x v="0"/>
    <x v="0"/>
    <x v="1"/>
    <x v="0"/>
  </r>
  <r>
    <n v="47"/>
    <n v="0.2273"/>
    <x v="19"/>
    <x v="8"/>
    <n v="0"/>
    <x v="21"/>
    <x v="7"/>
    <x v="1"/>
    <n v="1"/>
    <x v="23"/>
    <b v="1"/>
    <x v="1"/>
    <x v="0"/>
    <x v="1"/>
    <x v="1"/>
    <x v="0"/>
  </r>
  <r>
    <n v="48"/>
    <n v="0.19700000000000001"/>
    <x v="18"/>
    <x v="11"/>
    <n v="0"/>
    <x v="34"/>
    <x v="36"/>
    <x v="2"/>
    <n v="1"/>
    <x v="0"/>
    <b v="1"/>
    <x v="2"/>
    <x v="0"/>
    <x v="1"/>
    <x v="2"/>
    <x v="0"/>
  </r>
  <r>
    <n v="49"/>
    <m/>
    <x v="18"/>
    <x v="12"/>
    <n v="0"/>
    <x v="6"/>
    <x v="5"/>
    <x v="2"/>
    <n v="1"/>
    <x v="1"/>
    <b v="1"/>
    <x v="2"/>
    <x v="0"/>
    <x v="2"/>
    <x v="2"/>
    <x v="0"/>
  </r>
  <r>
    <n v="50"/>
    <n v="0.13639999999999999"/>
    <x v="19"/>
    <x v="13"/>
    <n v="0"/>
    <x v="4"/>
    <x v="4"/>
    <x v="2"/>
    <n v="1"/>
    <x v="4"/>
    <b v="1"/>
    <x v="2"/>
    <x v="0"/>
    <x v="13"/>
    <x v="2"/>
    <x v="0"/>
  </r>
  <r>
    <n v="51"/>
    <n v="0.13639999999999999"/>
    <x v="19"/>
    <x v="3"/>
    <n v="0"/>
    <x v="35"/>
    <x v="6"/>
    <x v="2"/>
    <n v="1"/>
    <x v="5"/>
    <b v="1"/>
    <x v="2"/>
    <x v="0"/>
    <x v="13"/>
    <x v="2"/>
    <x v="0"/>
  </r>
  <r>
    <n v="52"/>
    <n v="0.1061"/>
    <x v="20"/>
    <x v="13"/>
    <n v="0"/>
    <x v="10"/>
    <x v="33"/>
    <x v="2"/>
    <n v="1"/>
    <x v="6"/>
    <b v="1"/>
    <x v="2"/>
    <x v="0"/>
    <x v="14"/>
    <x v="2"/>
    <x v="0"/>
  </r>
  <r>
    <n v="53"/>
    <n v="0.13639999999999999"/>
    <x v="20"/>
    <x v="5"/>
    <n v="1"/>
    <x v="36"/>
    <x v="37"/>
    <x v="2"/>
    <n v="1"/>
    <x v="7"/>
    <b v="1"/>
    <x v="2"/>
    <x v="0"/>
    <x v="14"/>
    <x v="2"/>
    <x v="0"/>
  </r>
  <r>
    <n v="54"/>
    <n v="0.1212"/>
    <x v="20"/>
    <x v="3"/>
    <n v="1"/>
    <x v="37"/>
    <x v="38"/>
    <x v="2"/>
    <n v="1"/>
    <x v="8"/>
    <b v="1"/>
    <x v="2"/>
    <x v="0"/>
    <x v="14"/>
    <x v="2"/>
    <x v="0"/>
  </r>
  <r>
    <n v="55"/>
    <n v="0.13639999999999999"/>
    <x v="21"/>
    <x v="13"/>
    <n v="7"/>
    <x v="38"/>
    <x v="39"/>
    <x v="2"/>
    <n v="1"/>
    <x v="9"/>
    <b v="1"/>
    <x v="2"/>
    <x v="0"/>
    <x v="13"/>
    <x v="2"/>
    <x v="0"/>
  </r>
  <r>
    <n v="56"/>
    <n v="0.16669999999999999"/>
    <x v="21"/>
    <x v="2"/>
    <n v="11"/>
    <x v="39"/>
    <x v="40"/>
    <x v="2"/>
    <n v="1"/>
    <x v="10"/>
    <b v="1"/>
    <x v="2"/>
    <x v="0"/>
    <x v="15"/>
    <x v="2"/>
    <x v="0"/>
  </r>
  <r>
    <n v="57"/>
    <n v="0.18179999999999999"/>
    <x v="22"/>
    <x v="9"/>
    <n v="10"/>
    <x v="40"/>
    <x v="41"/>
    <x v="2"/>
    <n v="1"/>
    <x v="11"/>
    <b v="1"/>
    <x v="2"/>
    <x v="0"/>
    <x v="2"/>
    <x v="2"/>
    <x v="0"/>
  </r>
  <r>
    <n v="58"/>
    <n v="0.21210000000000001"/>
    <x v="23"/>
    <x v="4"/>
    <n v="13"/>
    <x v="41"/>
    <x v="42"/>
    <x v="2"/>
    <n v="1"/>
    <x v="12"/>
    <b v="1"/>
    <x v="2"/>
    <x v="0"/>
    <x v="1"/>
    <x v="2"/>
    <x v="0"/>
  </r>
  <r>
    <n v="59"/>
    <m/>
    <x v="23"/>
    <x v="3"/>
    <n v="8"/>
    <x v="42"/>
    <x v="42"/>
    <x v="2"/>
    <n v="1"/>
    <x v="13"/>
    <b v="1"/>
    <x v="2"/>
    <x v="0"/>
    <x v="0"/>
    <x v="2"/>
    <x v="0"/>
  </r>
  <r>
    <n v="60"/>
    <n v="0.2424"/>
    <x v="24"/>
    <x v="3"/>
    <n v="11"/>
    <x v="43"/>
    <x v="43"/>
    <x v="2"/>
    <n v="1"/>
    <x v="14"/>
    <b v="1"/>
    <x v="2"/>
    <x v="0"/>
    <x v="12"/>
    <x v="2"/>
    <x v="0"/>
  </r>
  <r>
    <n v="61"/>
    <n v="0.2424"/>
    <x v="24"/>
    <x v="2"/>
    <n v="14"/>
    <x v="29"/>
    <x v="44"/>
    <x v="2"/>
    <n v="1"/>
    <x v="15"/>
    <b v="1"/>
    <x v="2"/>
    <x v="0"/>
    <x v="12"/>
    <x v="2"/>
    <x v="0"/>
  </r>
  <r>
    <n v="62"/>
    <n v="0.2424"/>
    <x v="24"/>
    <x v="2"/>
    <n v="9"/>
    <x v="28"/>
    <x v="31"/>
    <x v="2"/>
    <n v="1"/>
    <x v="16"/>
    <b v="1"/>
    <x v="2"/>
    <x v="0"/>
    <x v="12"/>
    <x v="2"/>
    <x v="0"/>
  </r>
  <r>
    <n v="63"/>
    <n v="0.2273"/>
    <x v="24"/>
    <x v="6"/>
    <n v="11"/>
    <x v="44"/>
    <x v="45"/>
    <x v="2"/>
    <n v="1"/>
    <x v="17"/>
    <b v="1"/>
    <x v="2"/>
    <x v="0"/>
    <x v="0"/>
    <x v="2"/>
    <x v="0"/>
  </r>
  <r>
    <n v="64"/>
    <n v="0.2576"/>
    <x v="25"/>
    <x v="14"/>
    <n v="9"/>
    <x v="45"/>
    <x v="45"/>
    <x v="2"/>
    <n v="1"/>
    <x v="18"/>
    <b v="1"/>
    <x v="2"/>
    <x v="0"/>
    <x v="0"/>
    <x v="2"/>
    <x v="0"/>
  </r>
  <r>
    <n v="65"/>
    <n v="0.2576"/>
    <x v="19"/>
    <x v="0"/>
    <n v="8"/>
    <x v="46"/>
    <x v="14"/>
    <x v="2"/>
    <n v="1"/>
    <x v="19"/>
    <b v="1"/>
    <x v="2"/>
    <x v="0"/>
    <x v="2"/>
    <x v="2"/>
    <x v="0"/>
  </r>
  <r>
    <n v="66"/>
    <m/>
    <x v="19"/>
    <x v="14"/>
    <n v="3"/>
    <x v="47"/>
    <x v="46"/>
    <x v="2"/>
    <n v="1"/>
    <x v="20"/>
    <b v="1"/>
    <x v="2"/>
    <x v="0"/>
    <x v="2"/>
    <x v="2"/>
    <x v="0"/>
  </r>
  <r>
    <n v="67"/>
    <n v="0.19700000000000001"/>
    <x v="26"/>
    <x v="7"/>
    <n v="3"/>
    <x v="47"/>
    <x v="46"/>
    <x v="2"/>
    <n v="1"/>
    <x v="21"/>
    <b v="1"/>
    <x v="2"/>
    <x v="0"/>
    <x v="15"/>
    <x v="2"/>
    <x v="0"/>
  </r>
  <r>
    <n v="68"/>
    <n v="0.1515"/>
    <x v="27"/>
    <x v="7"/>
    <n v="0"/>
    <x v="32"/>
    <x v="25"/>
    <x v="2"/>
    <n v="1"/>
    <x v="22"/>
    <b v="1"/>
    <x v="2"/>
    <x v="0"/>
    <x v="14"/>
    <x v="2"/>
    <x v="0"/>
  </r>
  <r>
    <n v="69"/>
    <n v="0.21210000000000001"/>
    <x v="28"/>
    <x v="14"/>
    <n v="1"/>
    <x v="48"/>
    <x v="47"/>
    <x v="2"/>
    <n v="1"/>
    <x v="23"/>
    <b v="1"/>
    <x v="2"/>
    <x v="0"/>
    <x v="15"/>
    <x v="2"/>
    <x v="0"/>
  </r>
  <r>
    <n v="70"/>
    <m/>
    <x v="28"/>
    <x v="14"/>
    <n v="0"/>
    <x v="34"/>
    <x v="36"/>
    <x v="3"/>
    <n v="1"/>
    <x v="0"/>
    <b v="0"/>
    <x v="3"/>
    <x v="0"/>
    <x v="13"/>
    <x v="0"/>
    <x v="0"/>
  </r>
  <r>
    <n v="71"/>
    <n v="0.18179999999999999"/>
    <x v="29"/>
    <x v="14"/>
    <n v="0"/>
    <x v="6"/>
    <x v="5"/>
    <x v="3"/>
    <n v="1"/>
    <x v="1"/>
    <b v="0"/>
    <x v="3"/>
    <x v="0"/>
    <x v="13"/>
    <x v="0"/>
    <x v="0"/>
  </r>
  <r>
    <n v="72"/>
    <n v="0.1515"/>
    <x v="30"/>
    <x v="7"/>
    <n v="0"/>
    <x v="4"/>
    <x v="4"/>
    <x v="3"/>
    <n v="1"/>
    <x v="2"/>
    <b v="0"/>
    <x v="3"/>
    <x v="0"/>
    <x v="14"/>
    <x v="0"/>
    <x v="0"/>
  </r>
  <r>
    <n v="73"/>
    <n v="0.18179999999999999"/>
    <x v="30"/>
    <x v="1"/>
    <n v="0"/>
    <x v="6"/>
    <x v="5"/>
    <x v="3"/>
    <n v="1"/>
    <x v="4"/>
    <b v="0"/>
    <x v="3"/>
    <x v="0"/>
    <x v="14"/>
    <x v="0"/>
    <x v="0"/>
  </r>
  <r>
    <n v="74"/>
    <n v="0.1515"/>
    <x v="31"/>
    <x v="14"/>
    <n v="0"/>
    <x v="22"/>
    <x v="48"/>
    <x v="3"/>
    <n v="1"/>
    <x v="5"/>
    <b v="0"/>
    <x v="3"/>
    <x v="0"/>
    <x v="16"/>
    <x v="0"/>
    <x v="0"/>
  </r>
  <r>
    <n v="75"/>
    <n v="0.1515"/>
    <x v="32"/>
    <x v="14"/>
    <n v="0"/>
    <x v="49"/>
    <x v="9"/>
    <x v="3"/>
    <n v="1"/>
    <x v="6"/>
    <b v="0"/>
    <x v="3"/>
    <x v="0"/>
    <x v="16"/>
    <x v="0"/>
    <x v="0"/>
  </r>
  <r>
    <n v="76"/>
    <n v="0.1515"/>
    <x v="32"/>
    <x v="7"/>
    <n v="2"/>
    <x v="50"/>
    <x v="12"/>
    <x v="3"/>
    <n v="1"/>
    <x v="7"/>
    <b v="0"/>
    <x v="3"/>
    <x v="0"/>
    <x v="16"/>
    <x v="0"/>
    <x v="0"/>
  </r>
  <r>
    <n v="77"/>
    <n v="0.1515"/>
    <x v="27"/>
    <x v="8"/>
    <n v="2"/>
    <x v="51"/>
    <x v="49"/>
    <x v="3"/>
    <n v="1"/>
    <x v="8"/>
    <b v="0"/>
    <x v="3"/>
    <x v="0"/>
    <x v="14"/>
    <x v="0"/>
    <x v="0"/>
  </r>
  <r>
    <n v="78"/>
    <n v="0.1515"/>
    <x v="26"/>
    <x v="6"/>
    <n v="2"/>
    <x v="52"/>
    <x v="50"/>
    <x v="3"/>
    <n v="1"/>
    <x v="9"/>
    <b v="0"/>
    <x v="3"/>
    <x v="0"/>
    <x v="13"/>
    <x v="0"/>
    <x v="0"/>
  </r>
  <r>
    <n v="79"/>
    <n v="0.13639999999999999"/>
    <x v="27"/>
    <x v="9"/>
    <n v="5"/>
    <x v="53"/>
    <x v="51"/>
    <x v="3"/>
    <n v="1"/>
    <x v="10"/>
    <b v="0"/>
    <x v="3"/>
    <x v="1"/>
    <x v="13"/>
    <x v="0"/>
    <x v="1"/>
  </r>
  <r>
    <n v="80"/>
    <n v="0.21210000000000001"/>
    <x v="33"/>
    <x v="4"/>
    <n v="7"/>
    <x v="54"/>
    <x v="52"/>
    <x v="3"/>
    <n v="1"/>
    <x v="11"/>
    <b v="0"/>
    <x v="3"/>
    <x v="0"/>
    <x v="1"/>
    <x v="0"/>
    <x v="0"/>
  </r>
  <r>
    <n v="81"/>
    <n v="0.2273"/>
    <x v="33"/>
    <x v="8"/>
    <n v="12"/>
    <x v="43"/>
    <x v="53"/>
    <x v="3"/>
    <n v="1"/>
    <x v="12"/>
    <b v="0"/>
    <x v="3"/>
    <x v="0"/>
    <x v="1"/>
    <x v="0"/>
    <x v="0"/>
  </r>
  <r>
    <n v="82"/>
    <n v="0.2273"/>
    <x v="34"/>
    <x v="5"/>
    <n v="18"/>
    <x v="55"/>
    <x v="54"/>
    <x v="3"/>
    <n v="1"/>
    <x v="13"/>
    <b v="0"/>
    <x v="3"/>
    <x v="0"/>
    <x v="0"/>
    <x v="0"/>
    <x v="0"/>
  </r>
  <r>
    <n v="83"/>
    <n v="0.2576"/>
    <x v="35"/>
    <x v="6"/>
    <n v="9"/>
    <x v="25"/>
    <x v="55"/>
    <x v="3"/>
    <n v="1"/>
    <x v="14"/>
    <b v="0"/>
    <x v="3"/>
    <x v="0"/>
    <x v="12"/>
    <x v="0"/>
    <x v="0"/>
  </r>
  <r>
    <n v="84"/>
    <n v="0.2727"/>
    <x v="35"/>
    <x v="2"/>
    <n v="17"/>
    <x v="41"/>
    <x v="32"/>
    <x v="3"/>
    <n v="1"/>
    <x v="15"/>
    <b v="0"/>
    <x v="3"/>
    <x v="0"/>
    <x v="17"/>
    <x v="0"/>
    <x v="0"/>
  </r>
  <r>
    <n v="85"/>
    <n v="0.28789999999999999"/>
    <x v="36"/>
    <x v="2"/>
    <n v="15"/>
    <x v="56"/>
    <x v="56"/>
    <x v="3"/>
    <n v="1"/>
    <x v="16"/>
    <b v="0"/>
    <x v="3"/>
    <x v="0"/>
    <x v="11"/>
    <x v="0"/>
    <x v="0"/>
  </r>
  <r>
    <n v="86"/>
    <n v="0.2727"/>
    <x v="37"/>
    <x v="6"/>
    <n v="10"/>
    <x v="57"/>
    <x v="57"/>
    <x v="3"/>
    <n v="1"/>
    <x v="17"/>
    <b v="0"/>
    <x v="3"/>
    <x v="0"/>
    <x v="17"/>
    <x v="0"/>
    <x v="0"/>
  </r>
  <r>
    <n v="87"/>
    <n v="0.2576"/>
    <x v="37"/>
    <x v="5"/>
    <n v="3"/>
    <x v="58"/>
    <x v="58"/>
    <x v="3"/>
    <n v="1"/>
    <x v="18"/>
    <b v="0"/>
    <x v="3"/>
    <x v="0"/>
    <x v="12"/>
    <x v="0"/>
    <x v="0"/>
  </r>
  <r>
    <n v="88"/>
    <n v="0.2576"/>
    <x v="37"/>
    <x v="14"/>
    <n v="2"/>
    <x v="59"/>
    <x v="59"/>
    <x v="3"/>
    <n v="1"/>
    <x v="19"/>
    <b v="0"/>
    <x v="3"/>
    <x v="0"/>
    <x v="0"/>
    <x v="0"/>
    <x v="0"/>
  </r>
  <r>
    <n v="89"/>
    <n v="0.2576"/>
    <x v="37"/>
    <x v="14"/>
    <n v="1"/>
    <x v="42"/>
    <x v="60"/>
    <x v="3"/>
    <n v="1"/>
    <x v="20"/>
    <b v="0"/>
    <x v="3"/>
    <x v="0"/>
    <x v="0"/>
    <x v="0"/>
    <x v="0"/>
  </r>
  <r>
    <n v="90"/>
    <n v="0.2727"/>
    <x v="26"/>
    <x v="0"/>
    <n v="0"/>
    <x v="41"/>
    <x v="61"/>
    <x v="3"/>
    <n v="1"/>
    <x v="21"/>
    <b v="0"/>
    <x v="3"/>
    <x v="0"/>
    <x v="1"/>
    <x v="0"/>
    <x v="0"/>
  </r>
  <r>
    <n v="91"/>
    <n v="0.2576"/>
    <x v="26"/>
    <x v="1"/>
    <n v="1"/>
    <x v="60"/>
    <x v="17"/>
    <x v="3"/>
    <n v="1"/>
    <x v="22"/>
    <b v="0"/>
    <x v="3"/>
    <x v="0"/>
    <x v="1"/>
    <x v="0"/>
    <x v="0"/>
  </r>
  <r>
    <n v="92"/>
    <n v="0.2273"/>
    <x v="27"/>
    <x v="1"/>
    <n v="2"/>
    <x v="33"/>
    <x v="62"/>
    <x v="3"/>
    <n v="1"/>
    <x v="23"/>
    <b v="0"/>
    <x v="3"/>
    <x v="0"/>
    <x v="2"/>
    <x v="0"/>
    <x v="0"/>
  </r>
  <r>
    <n v="93"/>
    <n v="0.2576"/>
    <x v="26"/>
    <x v="0"/>
    <n v="0"/>
    <x v="8"/>
    <x v="24"/>
    <x v="4"/>
    <n v="1"/>
    <x v="0"/>
    <b v="0"/>
    <x v="4"/>
    <x v="0"/>
    <x v="2"/>
    <x v="0"/>
    <x v="0"/>
  </r>
  <r>
    <n v="94"/>
    <n v="0.19700000000000001"/>
    <x v="32"/>
    <x v="1"/>
    <n v="0"/>
    <x v="8"/>
    <x v="24"/>
    <x v="4"/>
    <n v="1"/>
    <x v="1"/>
    <b v="0"/>
    <x v="4"/>
    <x v="0"/>
    <x v="13"/>
    <x v="0"/>
    <x v="0"/>
  </r>
  <r>
    <n v="95"/>
    <n v="0.19700000000000001"/>
    <x v="32"/>
    <x v="1"/>
    <n v="0"/>
    <x v="6"/>
    <x v="5"/>
    <x v="4"/>
    <n v="1"/>
    <x v="2"/>
    <b v="0"/>
    <x v="4"/>
    <x v="0"/>
    <x v="13"/>
    <x v="0"/>
    <x v="0"/>
  </r>
  <r>
    <n v="96"/>
    <n v="0.2273"/>
    <x v="37"/>
    <x v="6"/>
    <n v="0"/>
    <x v="6"/>
    <x v="5"/>
    <x v="4"/>
    <n v="1"/>
    <x v="4"/>
    <b v="0"/>
    <x v="4"/>
    <x v="0"/>
    <x v="0"/>
    <x v="0"/>
    <x v="0"/>
  </r>
  <r>
    <n v="97"/>
    <n v="0.2273"/>
    <x v="19"/>
    <x v="8"/>
    <n v="0"/>
    <x v="35"/>
    <x v="6"/>
    <x v="4"/>
    <n v="1"/>
    <x v="5"/>
    <b v="0"/>
    <x v="4"/>
    <x v="0"/>
    <x v="1"/>
    <x v="0"/>
    <x v="0"/>
  </r>
  <r>
    <n v="98"/>
    <n v="0.19700000000000001"/>
    <x v="19"/>
    <x v="6"/>
    <n v="0"/>
    <x v="39"/>
    <x v="63"/>
    <x v="4"/>
    <n v="1"/>
    <x v="6"/>
    <b v="0"/>
    <x v="4"/>
    <x v="0"/>
    <x v="2"/>
    <x v="0"/>
    <x v="0"/>
  </r>
  <r>
    <n v="99"/>
    <n v="0.18179999999999999"/>
    <x v="21"/>
    <x v="5"/>
    <n v="1"/>
    <x v="61"/>
    <x v="39"/>
    <x v="4"/>
    <n v="1"/>
    <x v="7"/>
    <b v="0"/>
    <x v="4"/>
    <x v="0"/>
    <x v="15"/>
    <x v="0"/>
    <x v="0"/>
  </r>
  <r>
    <n v="100"/>
    <n v="0.18179999999999999"/>
    <x v="22"/>
    <x v="4"/>
    <n v="3"/>
    <x v="62"/>
    <x v="64"/>
    <x v="4"/>
    <n v="1"/>
    <x v="8"/>
    <b v="0"/>
    <x v="4"/>
    <x v="0"/>
    <x v="2"/>
    <x v="0"/>
    <x v="0"/>
  </r>
  <r>
    <n v="101"/>
    <n v="0.19700000000000001"/>
    <x v="38"/>
    <x v="9"/>
    <n v="6"/>
    <x v="63"/>
    <x v="65"/>
    <x v="4"/>
    <n v="1"/>
    <x v="9"/>
    <b v="0"/>
    <x v="4"/>
    <x v="0"/>
    <x v="1"/>
    <x v="0"/>
    <x v="0"/>
  </r>
  <r>
    <n v="102"/>
    <n v="0.19700000000000001"/>
    <x v="38"/>
    <x v="9"/>
    <n v="4"/>
    <x v="42"/>
    <x v="52"/>
    <x v="4"/>
    <n v="1"/>
    <x v="10"/>
    <b v="0"/>
    <x v="4"/>
    <x v="0"/>
    <x v="1"/>
    <x v="0"/>
    <x v="0"/>
  </r>
  <r>
    <n v="103"/>
    <n v="0.2273"/>
    <x v="39"/>
    <x v="9"/>
    <n v="12"/>
    <x v="60"/>
    <x v="66"/>
    <x v="4"/>
    <n v="1"/>
    <x v="11"/>
    <b v="0"/>
    <x v="4"/>
    <x v="0"/>
    <x v="12"/>
    <x v="0"/>
    <x v="0"/>
  </r>
  <r>
    <n v="104"/>
    <n v="0.2273"/>
    <x v="39"/>
    <x v="9"/>
    <n v="5"/>
    <x v="64"/>
    <x v="67"/>
    <x v="4"/>
    <n v="1"/>
    <x v="12"/>
    <b v="0"/>
    <x v="4"/>
    <x v="0"/>
    <x v="12"/>
    <x v="0"/>
    <x v="0"/>
  </r>
  <r>
    <n v="105"/>
    <n v="0.2576"/>
    <x v="24"/>
    <x v="4"/>
    <n v="6"/>
    <x v="65"/>
    <x v="68"/>
    <x v="4"/>
    <n v="1"/>
    <x v="13"/>
    <b v="0"/>
    <x v="4"/>
    <x v="0"/>
    <x v="17"/>
    <x v="0"/>
    <x v="0"/>
  </r>
  <r>
    <n v="106"/>
    <n v="0.28789999999999999"/>
    <x v="40"/>
    <x v="5"/>
    <n v="10"/>
    <x v="15"/>
    <x v="69"/>
    <x v="4"/>
    <n v="1"/>
    <x v="14"/>
    <b v="0"/>
    <x v="4"/>
    <x v="0"/>
    <x v="11"/>
    <x v="0"/>
    <x v="0"/>
  </r>
  <r>
    <n v="107"/>
    <n v="0.28789999999999999"/>
    <x v="40"/>
    <x v="5"/>
    <n v="7"/>
    <x v="11"/>
    <x v="69"/>
    <x v="4"/>
    <n v="1"/>
    <x v="15"/>
    <b v="0"/>
    <x v="4"/>
    <x v="0"/>
    <x v="11"/>
    <x v="0"/>
    <x v="0"/>
  </r>
  <r>
    <n v="108"/>
    <n v="0.31819999999999998"/>
    <x v="40"/>
    <x v="1"/>
    <n v="4"/>
    <x v="66"/>
    <x v="70"/>
    <x v="4"/>
    <n v="1"/>
    <x v="16"/>
    <b v="0"/>
    <x v="4"/>
    <x v="0"/>
    <x v="11"/>
    <x v="0"/>
    <x v="0"/>
  </r>
  <r>
    <n v="109"/>
    <n v="0.2273"/>
    <x v="41"/>
    <x v="5"/>
    <n v="4"/>
    <x v="67"/>
    <x v="71"/>
    <x v="4"/>
    <n v="1"/>
    <x v="17"/>
    <b v="0"/>
    <x v="4"/>
    <x v="0"/>
    <x v="0"/>
    <x v="0"/>
    <x v="0"/>
  </r>
  <r>
    <n v="110"/>
    <n v="0.2424"/>
    <x v="41"/>
    <x v="7"/>
    <n v="3"/>
    <x v="68"/>
    <x v="72"/>
    <x v="4"/>
    <n v="1"/>
    <x v="18"/>
    <b v="0"/>
    <x v="4"/>
    <x v="0"/>
    <x v="0"/>
    <x v="0"/>
    <x v="0"/>
  </r>
  <r>
    <n v="111"/>
    <n v="0.2576"/>
    <x v="41"/>
    <x v="14"/>
    <n v="5"/>
    <x v="69"/>
    <x v="73"/>
    <x v="4"/>
    <n v="1"/>
    <x v="19"/>
    <b v="0"/>
    <x v="4"/>
    <x v="0"/>
    <x v="0"/>
    <x v="0"/>
    <x v="0"/>
  </r>
  <r>
    <n v="112"/>
    <n v="0.2273"/>
    <x v="19"/>
    <x v="8"/>
    <n v="7"/>
    <x v="70"/>
    <x v="70"/>
    <x v="4"/>
    <n v="1"/>
    <x v="20"/>
    <b v="0"/>
    <x v="4"/>
    <x v="0"/>
    <x v="1"/>
    <x v="0"/>
    <x v="0"/>
  </r>
  <r>
    <n v="113"/>
    <n v="0.19700000000000001"/>
    <x v="33"/>
    <x v="5"/>
    <n v="3"/>
    <x v="71"/>
    <x v="74"/>
    <x v="4"/>
    <n v="1"/>
    <x v="21"/>
    <b v="0"/>
    <x v="4"/>
    <x v="0"/>
    <x v="2"/>
    <x v="0"/>
    <x v="0"/>
  </r>
  <r>
    <n v="114"/>
    <n v="0.19700000000000001"/>
    <x v="28"/>
    <x v="7"/>
    <n v="1"/>
    <x v="40"/>
    <x v="51"/>
    <x v="4"/>
    <n v="1"/>
    <x v="22"/>
    <b v="0"/>
    <x v="4"/>
    <x v="0"/>
    <x v="15"/>
    <x v="0"/>
    <x v="0"/>
  </r>
  <r>
    <n v="115"/>
    <n v="0.2576"/>
    <x v="19"/>
    <x v="0"/>
    <n v="1"/>
    <x v="72"/>
    <x v="75"/>
    <x v="4"/>
    <n v="1"/>
    <x v="23"/>
    <b v="0"/>
    <x v="4"/>
    <x v="0"/>
    <x v="2"/>
    <x v="0"/>
    <x v="0"/>
  </r>
  <r>
    <n v="116"/>
    <n v="0.2424"/>
    <x v="28"/>
    <x v="0"/>
    <n v="0"/>
    <x v="48"/>
    <x v="62"/>
    <x v="5"/>
    <n v="1"/>
    <x v="0"/>
    <b v="0"/>
    <x v="5"/>
    <x v="0"/>
    <x v="15"/>
    <x v="0"/>
    <x v="0"/>
  </r>
  <r>
    <n v="117"/>
    <n v="0.2273"/>
    <x v="26"/>
    <x v="0"/>
    <n v="0"/>
    <x v="22"/>
    <x v="48"/>
    <x v="5"/>
    <n v="1"/>
    <x v="1"/>
    <b v="0"/>
    <x v="5"/>
    <x v="0"/>
    <x v="13"/>
    <x v="0"/>
    <x v="0"/>
  </r>
  <r>
    <n v="118"/>
    <n v="0.2273"/>
    <x v="26"/>
    <x v="0"/>
    <n v="0"/>
    <x v="6"/>
    <x v="5"/>
    <x v="5"/>
    <n v="1"/>
    <x v="2"/>
    <b v="0"/>
    <x v="5"/>
    <x v="0"/>
    <x v="13"/>
    <x v="0"/>
    <x v="0"/>
  </r>
  <r>
    <n v="119"/>
    <n v="0.19700000000000001"/>
    <x v="26"/>
    <x v="1"/>
    <n v="0"/>
    <x v="4"/>
    <x v="4"/>
    <x v="5"/>
    <n v="1"/>
    <x v="4"/>
    <b v="0"/>
    <x v="5"/>
    <x v="1"/>
    <x v="13"/>
    <x v="0"/>
    <x v="1"/>
  </r>
  <r>
    <n v="120"/>
    <n v="0.18179999999999999"/>
    <x v="27"/>
    <x v="1"/>
    <n v="0"/>
    <x v="22"/>
    <x v="48"/>
    <x v="5"/>
    <n v="1"/>
    <x v="5"/>
    <b v="0"/>
    <x v="5"/>
    <x v="1"/>
    <x v="14"/>
    <x v="0"/>
    <x v="1"/>
  </r>
  <r>
    <n v="121"/>
    <n v="0.16669999999999999"/>
    <x v="30"/>
    <x v="14"/>
    <n v="0"/>
    <x v="49"/>
    <x v="9"/>
    <x v="5"/>
    <n v="1"/>
    <x v="6"/>
    <b v="0"/>
    <x v="5"/>
    <x v="1"/>
    <x v="14"/>
    <x v="0"/>
    <x v="1"/>
  </r>
  <r>
    <n v="122"/>
    <n v="0.2273"/>
    <x v="29"/>
    <x v="0"/>
    <n v="0"/>
    <x v="73"/>
    <x v="76"/>
    <x v="5"/>
    <n v="1"/>
    <x v="7"/>
    <b v="0"/>
    <x v="5"/>
    <x v="1"/>
    <x v="13"/>
    <x v="0"/>
    <x v="1"/>
  </r>
  <r>
    <n v="123"/>
    <n v="0.2273"/>
    <x v="29"/>
    <x v="0"/>
    <n v="3"/>
    <x v="74"/>
    <x v="77"/>
    <x v="5"/>
    <n v="1"/>
    <x v="8"/>
    <b v="0"/>
    <x v="5"/>
    <x v="0"/>
    <x v="13"/>
    <x v="0"/>
    <x v="0"/>
  </r>
  <r>
    <n v="124"/>
    <n v="0.2424"/>
    <x v="33"/>
    <x v="0"/>
    <n v="6"/>
    <x v="75"/>
    <x v="78"/>
    <x v="5"/>
    <n v="1"/>
    <x v="9"/>
    <b v="0"/>
    <x v="5"/>
    <x v="1"/>
    <x v="15"/>
    <x v="0"/>
    <x v="1"/>
  </r>
  <r>
    <n v="125"/>
    <n v="0.2576"/>
    <x v="19"/>
    <x v="0"/>
    <n v="3"/>
    <x v="76"/>
    <x v="79"/>
    <x v="5"/>
    <n v="1"/>
    <x v="10"/>
    <b v="0"/>
    <x v="5"/>
    <x v="0"/>
    <x v="2"/>
    <x v="0"/>
    <x v="0"/>
  </r>
  <r>
    <n v="126"/>
    <n v="0.2576"/>
    <x v="18"/>
    <x v="1"/>
    <n v="2"/>
    <x v="77"/>
    <x v="29"/>
    <x v="5"/>
    <n v="1"/>
    <x v="11"/>
    <b v="0"/>
    <x v="5"/>
    <x v="0"/>
    <x v="1"/>
    <x v="0"/>
    <x v="0"/>
  </r>
  <r>
    <n v="127"/>
    <n v="0.28789999999999999"/>
    <x v="23"/>
    <x v="0"/>
    <n v="6"/>
    <x v="78"/>
    <x v="11"/>
    <x v="5"/>
    <n v="1"/>
    <x v="12"/>
    <b v="0"/>
    <x v="5"/>
    <x v="0"/>
    <x v="12"/>
    <x v="0"/>
    <x v="0"/>
  </r>
  <r>
    <n v="128"/>
    <n v="0.2727"/>
    <x v="23"/>
    <x v="14"/>
    <n v="12"/>
    <x v="11"/>
    <x v="16"/>
    <x v="5"/>
    <n v="1"/>
    <x v="13"/>
    <b v="0"/>
    <x v="5"/>
    <x v="0"/>
    <x v="12"/>
    <x v="0"/>
    <x v="0"/>
  </r>
  <r>
    <n v="129"/>
    <n v="0.2727"/>
    <x v="42"/>
    <x v="8"/>
    <n v="11"/>
    <x v="79"/>
    <x v="27"/>
    <x v="5"/>
    <n v="1"/>
    <x v="14"/>
    <b v="0"/>
    <x v="5"/>
    <x v="0"/>
    <x v="17"/>
    <x v="0"/>
    <x v="0"/>
  </r>
  <r>
    <n v="130"/>
    <n v="0.2727"/>
    <x v="42"/>
    <x v="0"/>
    <n v="8"/>
    <x v="25"/>
    <x v="69"/>
    <x v="5"/>
    <n v="1"/>
    <x v="15"/>
    <b v="0"/>
    <x v="5"/>
    <x v="0"/>
    <x v="17"/>
    <x v="0"/>
    <x v="0"/>
  </r>
  <r>
    <n v="131"/>
    <n v="0.2576"/>
    <x v="41"/>
    <x v="8"/>
    <n v="12"/>
    <x v="64"/>
    <x v="80"/>
    <x v="5"/>
    <n v="1"/>
    <x v="16"/>
    <b v="0"/>
    <x v="5"/>
    <x v="0"/>
    <x v="12"/>
    <x v="0"/>
    <x v="0"/>
  </r>
  <r>
    <n v="132"/>
    <n v="0.2273"/>
    <x v="33"/>
    <x v="8"/>
    <n v="9"/>
    <x v="80"/>
    <x v="81"/>
    <x v="5"/>
    <n v="1"/>
    <x v="17"/>
    <b v="0"/>
    <x v="5"/>
    <x v="0"/>
    <x v="1"/>
    <x v="0"/>
    <x v="0"/>
  </r>
  <r>
    <n v="133"/>
    <n v="0.2273"/>
    <x v="33"/>
    <x v="7"/>
    <n v="5"/>
    <x v="81"/>
    <x v="82"/>
    <x v="5"/>
    <n v="1"/>
    <x v="18"/>
    <b v="0"/>
    <x v="5"/>
    <x v="0"/>
    <x v="1"/>
    <x v="0"/>
    <x v="0"/>
  </r>
  <r>
    <n v="134"/>
    <n v="0.2576"/>
    <x v="28"/>
    <x v="1"/>
    <n v="3"/>
    <x v="63"/>
    <x v="59"/>
    <x v="5"/>
    <n v="1"/>
    <x v="19"/>
    <b v="0"/>
    <x v="5"/>
    <x v="0"/>
    <x v="1"/>
    <x v="0"/>
    <x v="0"/>
  </r>
  <r>
    <n v="135"/>
    <n v="0.21210000000000001"/>
    <x v="33"/>
    <x v="8"/>
    <n v="3"/>
    <x v="43"/>
    <x v="83"/>
    <x v="5"/>
    <n v="1"/>
    <x v="20"/>
    <b v="0"/>
    <x v="5"/>
    <x v="0"/>
    <x v="2"/>
    <x v="0"/>
    <x v="0"/>
  </r>
  <r>
    <n v="136"/>
    <n v="0.21210000000000001"/>
    <x v="28"/>
    <x v="6"/>
    <n v="0"/>
    <x v="41"/>
    <x v="61"/>
    <x v="5"/>
    <n v="1"/>
    <x v="21"/>
    <b v="0"/>
    <x v="5"/>
    <x v="1"/>
    <x v="1"/>
    <x v="0"/>
    <x v="1"/>
  </r>
  <r>
    <n v="137"/>
    <n v="0.21210000000000001"/>
    <x v="33"/>
    <x v="3"/>
    <n v="1"/>
    <x v="82"/>
    <x v="46"/>
    <x v="5"/>
    <n v="1"/>
    <x v="22"/>
    <b v="0"/>
    <x v="5"/>
    <x v="1"/>
    <x v="1"/>
    <x v="0"/>
    <x v="1"/>
  </r>
  <r>
    <n v="138"/>
    <n v="0.19700000000000001"/>
    <x v="29"/>
    <x v="5"/>
    <n v="4"/>
    <x v="23"/>
    <x v="84"/>
    <x v="5"/>
    <n v="1"/>
    <x v="23"/>
    <b v="0"/>
    <x v="5"/>
    <x v="1"/>
    <x v="2"/>
    <x v="0"/>
    <x v="1"/>
  </r>
  <r>
    <n v="139"/>
    <n v="0.19700000000000001"/>
    <x v="26"/>
    <x v="5"/>
    <n v="4"/>
    <x v="0"/>
    <x v="22"/>
    <x v="6"/>
    <n v="1"/>
    <x v="0"/>
    <b v="0"/>
    <x v="6"/>
    <x v="1"/>
    <x v="2"/>
    <x v="0"/>
    <x v="1"/>
  </r>
  <r>
    <n v="140"/>
    <n v="0.19700000000000001"/>
    <x v="27"/>
    <x v="6"/>
    <n v="2"/>
    <x v="34"/>
    <x v="85"/>
    <x v="6"/>
    <n v="1"/>
    <x v="1"/>
    <b v="0"/>
    <x v="6"/>
    <x v="1"/>
    <x v="2"/>
    <x v="0"/>
    <x v="1"/>
  </r>
  <r>
    <n v="141"/>
    <n v="0.19700000000000001"/>
    <x v="27"/>
    <x v="6"/>
    <n v="0"/>
    <x v="4"/>
    <x v="4"/>
    <x v="6"/>
    <n v="1"/>
    <x v="2"/>
    <b v="0"/>
    <x v="6"/>
    <x v="1"/>
    <x v="2"/>
    <x v="0"/>
    <x v="1"/>
  </r>
  <r>
    <n v="142"/>
    <n v="0.21210000000000001"/>
    <x v="27"/>
    <x v="7"/>
    <n v="0"/>
    <x v="4"/>
    <x v="4"/>
    <x v="6"/>
    <n v="1"/>
    <x v="4"/>
    <b v="0"/>
    <x v="6"/>
    <x v="1"/>
    <x v="2"/>
    <x v="0"/>
    <x v="1"/>
  </r>
  <r>
    <n v="143"/>
    <n v="0.2727"/>
    <x v="28"/>
    <x v="0"/>
    <n v="0"/>
    <x v="34"/>
    <x v="36"/>
    <x v="6"/>
    <n v="1"/>
    <x v="5"/>
    <b v="0"/>
    <x v="6"/>
    <x v="2"/>
    <x v="1"/>
    <x v="0"/>
    <x v="2"/>
  </r>
  <r>
    <n v="144"/>
    <n v="0.2576"/>
    <x v="27"/>
    <x v="0"/>
    <n v="8"/>
    <x v="16"/>
    <x v="19"/>
    <x v="6"/>
    <n v="1"/>
    <x v="6"/>
    <b v="0"/>
    <x v="6"/>
    <x v="1"/>
    <x v="2"/>
    <x v="0"/>
    <x v="1"/>
  </r>
  <r>
    <n v="145"/>
    <n v="0.21210000000000001"/>
    <x v="27"/>
    <x v="7"/>
    <n v="8"/>
    <x v="83"/>
    <x v="11"/>
    <x v="6"/>
    <n v="1"/>
    <x v="7"/>
    <b v="0"/>
    <x v="6"/>
    <x v="0"/>
    <x v="2"/>
    <x v="0"/>
    <x v="0"/>
  </r>
  <r>
    <n v="146"/>
    <n v="0.19700000000000001"/>
    <x v="33"/>
    <x v="2"/>
    <n v="20"/>
    <x v="84"/>
    <x v="86"/>
    <x v="6"/>
    <n v="1"/>
    <x v="8"/>
    <b v="0"/>
    <x v="6"/>
    <x v="0"/>
    <x v="2"/>
    <x v="0"/>
    <x v="0"/>
  </r>
  <r>
    <n v="147"/>
    <n v="0.18179999999999999"/>
    <x v="19"/>
    <x v="4"/>
    <n v="9"/>
    <x v="85"/>
    <x v="87"/>
    <x v="6"/>
    <n v="1"/>
    <x v="9"/>
    <b v="0"/>
    <x v="6"/>
    <x v="0"/>
    <x v="2"/>
    <x v="0"/>
    <x v="0"/>
  </r>
  <r>
    <n v="148"/>
    <n v="0.19700000000000001"/>
    <x v="38"/>
    <x v="9"/>
    <n v="16"/>
    <x v="12"/>
    <x v="55"/>
    <x v="6"/>
    <n v="1"/>
    <x v="10"/>
    <b v="0"/>
    <x v="6"/>
    <x v="0"/>
    <x v="1"/>
    <x v="0"/>
    <x v="0"/>
  </r>
  <r>
    <n v="149"/>
    <n v="0.19700000000000001"/>
    <x v="22"/>
    <x v="6"/>
    <n v="19"/>
    <x v="41"/>
    <x v="16"/>
    <x v="6"/>
    <n v="1"/>
    <x v="11"/>
    <b v="0"/>
    <x v="6"/>
    <x v="1"/>
    <x v="2"/>
    <x v="0"/>
    <x v="1"/>
  </r>
  <r>
    <n v="150"/>
    <n v="0.19700000000000001"/>
    <x v="38"/>
    <x v="2"/>
    <n v="9"/>
    <x v="54"/>
    <x v="29"/>
    <x v="6"/>
    <n v="1"/>
    <x v="12"/>
    <b v="0"/>
    <x v="6"/>
    <x v="1"/>
    <x v="2"/>
    <x v="0"/>
    <x v="1"/>
  </r>
  <r>
    <n v="151"/>
    <n v="0.18179999999999999"/>
    <x v="38"/>
    <x v="3"/>
    <n v="9"/>
    <x v="27"/>
    <x v="88"/>
    <x v="6"/>
    <n v="1"/>
    <x v="13"/>
    <b v="0"/>
    <x v="6"/>
    <x v="1"/>
    <x v="2"/>
    <x v="0"/>
    <x v="1"/>
  </r>
  <r>
    <n v="152"/>
    <n v="0.19700000000000001"/>
    <x v="22"/>
    <x v="2"/>
    <n v="7"/>
    <x v="30"/>
    <x v="89"/>
    <x v="6"/>
    <n v="1"/>
    <x v="14"/>
    <b v="0"/>
    <x v="6"/>
    <x v="1"/>
    <x v="2"/>
    <x v="0"/>
    <x v="1"/>
  </r>
  <r>
    <n v="153"/>
    <n v="0.21210000000000001"/>
    <x v="38"/>
    <x v="8"/>
    <n v="9"/>
    <x v="36"/>
    <x v="44"/>
    <x v="6"/>
    <n v="1"/>
    <x v="15"/>
    <b v="0"/>
    <x v="6"/>
    <x v="1"/>
    <x v="2"/>
    <x v="0"/>
    <x v="1"/>
  </r>
  <r>
    <n v="154"/>
    <n v="0.21210000000000001"/>
    <x v="38"/>
    <x v="8"/>
    <n v="5"/>
    <x v="70"/>
    <x v="90"/>
    <x v="6"/>
    <n v="1"/>
    <x v="16"/>
    <b v="0"/>
    <x v="6"/>
    <x v="1"/>
    <x v="2"/>
    <x v="0"/>
    <x v="1"/>
  </r>
  <r>
    <n v="155"/>
    <n v="0.2576"/>
    <x v="38"/>
    <x v="0"/>
    <n v="9"/>
    <x v="86"/>
    <x v="91"/>
    <x v="6"/>
    <n v="1"/>
    <x v="17"/>
    <b v="0"/>
    <x v="6"/>
    <x v="1"/>
    <x v="2"/>
    <x v="0"/>
    <x v="1"/>
  </r>
  <r>
    <n v="156"/>
    <n v="0.2273"/>
    <x v="22"/>
    <x v="1"/>
    <n v="7"/>
    <x v="75"/>
    <x v="92"/>
    <x v="6"/>
    <n v="1"/>
    <x v="18"/>
    <b v="0"/>
    <x v="6"/>
    <x v="0"/>
    <x v="2"/>
    <x v="0"/>
    <x v="0"/>
  </r>
  <r>
    <n v="157"/>
    <n v="0.19700000000000001"/>
    <x v="28"/>
    <x v="1"/>
    <n v="3"/>
    <x v="50"/>
    <x v="76"/>
    <x v="6"/>
    <n v="1"/>
    <x v="19"/>
    <b v="0"/>
    <x v="6"/>
    <x v="0"/>
    <x v="13"/>
    <x v="0"/>
    <x v="0"/>
  </r>
  <r>
    <n v="158"/>
    <n v="0.21210000000000001"/>
    <x v="19"/>
    <x v="14"/>
    <n v="1"/>
    <x v="54"/>
    <x v="41"/>
    <x v="6"/>
    <n v="1"/>
    <x v="20"/>
    <b v="0"/>
    <x v="6"/>
    <x v="0"/>
    <x v="15"/>
    <x v="0"/>
    <x v="0"/>
  </r>
  <r>
    <n v="159"/>
    <n v="0.19700000000000001"/>
    <x v="19"/>
    <x v="7"/>
    <n v="0"/>
    <x v="87"/>
    <x v="21"/>
    <x v="6"/>
    <n v="1"/>
    <x v="21"/>
    <b v="0"/>
    <x v="6"/>
    <x v="0"/>
    <x v="15"/>
    <x v="0"/>
    <x v="0"/>
  </r>
  <r>
    <n v="160"/>
    <n v="0.19700000000000001"/>
    <x v="21"/>
    <x v="8"/>
    <n v="2"/>
    <x v="60"/>
    <x v="9"/>
    <x v="6"/>
    <n v="1"/>
    <x v="22"/>
    <b v="0"/>
    <x v="6"/>
    <x v="1"/>
    <x v="15"/>
    <x v="0"/>
    <x v="1"/>
  </r>
  <r>
    <n v="161"/>
    <n v="0.19700000000000001"/>
    <x v="33"/>
    <x v="8"/>
    <n v="1"/>
    <x v="88"/>
    <x v="93"/>
    <x v="6"/>
    <n v="1"/>
    <x v="23"/>
    <b v="0"/>
    <x v="6"/>
    <x v="1"/>
    <x v="15"/>
    <x v="0"/>
    <x v="1"/>
  </r>
  <r>
    <n v="162"/>
    <n v="0.19700000000000001"/>
    <x v="33"/>
    <x v="8"/>
    <n v="1"/>
    <x v="9"/>
    <x v="94"/>
    <x v="7"/>
    <n v="1"/>
    <x v="0"/>
    <b v="0"/>
    <x v="0"/>
    <x v="1"/>
    <x v="15"/>
    <x v="0"/>
    <x v="1"/>
  </r>
  <r>
    <n v="163"/>
    <n v="0.21210000000000001"/>
    <x v="28"/>
    <x v="1"/>
    <n v="1"/>
    <x v="89"/>
    <x v="0"/>
    <x v="7"/>
    <n v="1"/>
    <x v="1"/>
    <b v="0"/>
    <x v="0"/>
    <x v="1"/>
    <x v="15"/>
    <x v="0"/>
    <x v="1"/>
  </r>
  <r>
    <n v="164"/>
    <n v="0.2424"/>
    <x v="28"/>
    <x v="0"/>
    <n v="3"/>
    <x v="0"/>
    <x v="0"/>
    <x v="7"/>
    <n v="1"/>
    <x v="2"/>
    <b v="0"/>
    <x v="0"/>
    <x v="1"/>
    <x v="15"/>
    <x v="0"/>
    <x v="1"/>
  </r>
  <r>
    <n v="165"/>
    <n v="0.19700000000000001"/>
    <x v="28"/>
    <x v="8"/>
    <n v="0"/>
    <x v="7"/>
    <x v="85"/>
    <x v="7"/>
    <n v="1"/>
    <x v="3"/>
    <b v="0"/>
    <x v="0"/>
    <x v="2"/>
    <x v="15"/>
    <x v="0"/>
    <x v="2"/>
  </r>
  <r>
    <n v="166"/>
    <n v="0.19700000000000001"/>
    <x v="28"/>
    <x v="8"/>
    <n v="0"/>
    <x v="4"/>
    <x v="4"/>
    <x v="7"/>
    <n v="1"/>
    <x v="4"/>
    <b v="0"/>
    <x v="0"/>
    <x v="2"/>
    <x v="15"/>
    <x v="0"/>
    <x v="2"/>
  </r>
  <r>
    <n v="167"/>
    <n v="0.16669999999999999"/>
    <x v="32"/>
    <x v="8"/>
    <n v="0"/>
    <x v="34"/>
    <x v="36"/>
    <x v="7"/>
    <n v="1"/>
    <x v="5"/>
    <b v="0"/>
    <x v="0"/>
    <x v="1"/>
    <x v="13"/>
    <x v="0"/>
    <x v="1"/>
  </r>
  <r>
    <n v="168"/>
    <n v="0.16669999999999999"/>
    <x v="32"/>
    <x v="8"/>
    <n v="0"/>
    <x v="6"/>
    <x v="5"/>
    <x v="7"/>
    <n v="1"/>
    <x v="6"/>
    <b v="0"/>
    <x v="0"/>
    <x v="1"/>
    <x v="13"/>
    <x v="0"/>
    <x v="1"/>
  </r>
  <r>
    <n v="169"/>
    <n v="0.18179999999999999"/>
    <x v="32"/>
    <x v="14"/>
    <n v="1"/>
    <x v="21"/>
    <x v="23"/>
    <x v="7"/>
    <n v="1"/>
    <x v="7"/>
    <b v="0"/>
    <x v="0"/>
    <x v="1"/>
    <x v="13"/>
    <x v="0"/>
    <x v="1"/>
  </r>
  <r>
    <n v="170"/>
    <n v="0.18179999999999999"/>
    <x v="43"/>
    <x v="14"/>
    <n v="0"/>
    <x v="89"/>
    <x v="93"/>
    <x v="7"/>
    <n v="1"/>
    <x v="8"/>
    <b v="0"/>
    <x v="0"/>
    <x v="2"/>
    <x v="13"/>
    <x v="0"/>
    <x v="2"/>
  </r>
  <r>
    <n v="171"/>
    <n v="0.18179999999999999"/>
    <x v="43"/>
    <x v="14"/>
    <n v="0"/>
    <x v="32"/>
    <x v="25"/>
    <x v="7"/>
    <n v="1"/>
    <x v="9"/>
    <b v="0"/>
    <x v="0"/>
    <x v="2"/>
    <x v="13"/>
    <x v="0"/>
    <x v="2"/>
  </r>
  <r>
    <n v="172"/>
    <n v="0.19700000000000001"/>
    <x v="1"/>
    <x v="8"/>
    <n v="5"/>
    <x v="90"/>
    <x v="42"/>
    <x v="7"/>
    <n v="1"/>
    <x v="10"/>
    <b v="0"/>
    <x v="0"/>
    <x v="1"/>
    <x v="15"/>
    <x v="0"/>
    <x v="1"/>
  </r>
  <r>
    <n v="173"/>
    <n v="0.18179999999999999"/>
    <x v="27"/>
    <x v="13"/>
    <n v="2"/>
    <x v="91"/>
    <x v="69"/>
    <x v="7"/>
    <n v="1"/>
    <x v="11"/>
    <b v="0"/>
    <x v="0"/>
    <x v="1"/>
    <x v="2"/>
    <x v="0"/>
    <x v="1"/>
  </r>
  <r>
    <n v="174"/>
    <n v="0.18179999999999999"/>
    <x v="29"/>
    <x v="11"/>
    <n v="8"/>
    <x v="92"/>
    <x v="95"/>
    <x v="7"/>
    <n v="1"/>
    <x v="12"/>
    <b v="0"/>
    <x v="0"/>
    <x v="1"/>
    <x v="2"/>
    <x v="0"/>
    <x v="1"/>
  </r>
  <r>
    <n v="175"/>
    <n v="0.18179999999999999"/>
    <x v="18"/>
    <x v="9"/>
    <n v="7"/>
    <x v="73"/>
    <x v="96"/>
    <x v="7"/>
    <n v="1"/>
    <x v="13"/>
    <b v="0"/>
    <x v="0"/>
    <x v="0"/>
    <x v="2"/>
    <x v="0"/>
    <x v="0"/>
  </r>
  <r>
    <n v="176"/>
    <n v="0.16669999999999999"/>
    <x v="25"/>
    <x v="15"/>
    <n v="12"/>
    <x v="93"/>
    <x v="76"/>
    <x v="7"/>
    <n v="1"/>
    <x v="14"/>
    <b v="0"/>
    <x v="0"/>
    <x v="0"/>
    <x v="2"/>
    <x v="0"/>
    <x v="0"/>
  </r>
  <r>
    <n v="177"/>
    <n v="0.16669999999999999"/>
    <x v="25"/>
    <x v="10"/>
    <n v="5"/>
    <x v="94"/>
    <x v="30"/>
    <x v="7"/>
    <n v="1"/>
    <x v="15"/>
    <b v="0"/>
    <x v="0"/>
    <x v="0"/>
    <x v="2"/>
    <x v="0"/>
    <x v="0"/>
  </r>
  <r>
    <n v="178"/>
    <n v="0.13639999999999999"/>
    <x v="44"/>
    <x v="10"/>
    <n v="8"/>
    <x v="56"/>
    <x v="31"/>
    <x v="7"/>
    <n v="1"/>
    <x v="16"/>
    <b v="0"/>
    <x v="0"/>
    <x v="0"/>
    <x v="15"/>
    <x v="0"/>
    <x v="0"/>
  </r>
  <r>
    <n v="179"/>
    <n v="0.1212"/>
    <x v="38"/>
    <x v="16"/>
    <n v="5"/>
    <x v="27"/>
    <x v="83"/>
    <x v="7"/>
    <n v="1"/>
    <x v="17"/>
    <b v="0"/>
    <x v="0"/>
    <x v="0"/>
    <x v="13"/>
    <x v="0"/>
    <x v="0"/>
  </r>
  <r>
    <n v="180"/>
    <n v="0.1212"/>
    <x v="17"/>
    <x v="4"/>
    <n v="3"/>
    <x v="15"/>
    <x v="97"/>
    <x v="7"/>
    <n v="1"/>
    <x v="18"/>
    <b v="0"/>
    <x v="0"/>
    <x v="0"/>
    <x v="14"/>
    <x v="0"/>
    <x v="0"/>
  </r>
  <r>
    <n v="181"/>
    <n v="0.1212"/>
    <x v="42"/>
    <x v="2"/>
    <n v="4"/>
    <x v="16"/>
    <x v="33"/>
    <x v="7"/>
    <n v="1"/>
    <x v="19"/>
    <b v="0"/>
    <x v="0"/>
    <x v="0"/>
    <x v="14"/>
    <x v="0"/>
    <x v="0"/>
  </r>
  <r>
    <n v="182"/>
    <n v="0.1212"/>
    <x v="42"/>
    <x v="2"/>
    <n v="0"/>
    <x v="95"/>
    <x v="20"/>
    <x v="7"/>
    <n v="1"/>
    <x v="20"/>
    <b v="0"/>
    <x v="0"/>
    <x v="0"/>
    <x v="16"/>
    <x v="0"/>
    <x v="0"/>
  </r>
  <r>
    <n v="183"/>
    <n v="0.1061"/>
    <x v="17"/>
    <x v="11"/>
    <n v="2"/>
    <x v="96"/>
    <x v="18"/>
    <x v="7"/>
    <n v="1"/>
    <x v="21"/>
    <b v="0"/>
    <x v="0"/>
    <x v="0"/>
    <x v="16"/>
    <x v="0"/>
    <x v="0"/>
  </r>
  <r>
    <n v="184"/>
    <n v="0.1061"/>
    <x v="42"/>
    <x v="13"/>
    <n v="1"/>
    <x v="39"/>
    <x v="19"/>
    <x v="7"/>
    <n v="1"/>
    <x v="22"/>
    <b v="0"/>
    <x v="0"/>
    <x v="0"/>
    <x v="16"/>
    <x v="0"/>
    <x v="0"/>
  </r>
  <r>
    <n v="185"/>
    <n v="6.0600000000000001E-2"/>
    <x v="17"/>
    <x v="10"/>
    <n v="0"/>
    <x v="97"/>
    <x v="34"/>
    <x v="7"/>
    <n v="1"/>
    <x v="23"/>
    <b v="0"/>
    <x v="0"/>
    <x v="0"/>
    <x v="18"/>
    <x v="0"/>
    <x v="0"/>
  </r>
  <r>
    <n v="186"/>
    <n v="7.5800000000000006E-2"/>
    <x v="16"/>
    <x v="13"/>
    <n v="1"/>
    <x v="9"/>
    <x v="94"/>
    <x v="8"/>
    <n v="1"/>
    <x v="0"/>
    <b v="1"/>
    <x v="1"/>
    <x v="0"/>
    <x v="18"/>
    <x v="1"/>
    <x v="0"/>
  </r>
  <r>
    <n v="187"/>
    <n v="6.0600000000000001E-2"/>
    <x v="16"/>
    <x v="17"/>
    <n v="0"/>
    <x v="98"/>
    <x v="47"/>
    <x v="8"/>
    <n v="1"/>
    <x v="1"/>
    <b v="1"/>
    <x v="1"/>
    <x v="0"/>
    <x v="18"/>
    <x v="1"/>
    <x v="0"/>
  </r>
  <r>
    <n v="188"/>
    <n v="6.0600000000000001E-2"/>
    <x v="15"/>
    <x v="17"/>
    <n v="0"/>
    <x v="48"/>
    <x v="62"/>
    <x v="8"/>
    <n v="1"/>
    <x v="2"/>
    <b v="1"/>
    <x v="1"/>
    <x v="0"/>
    <x v="18"/>
    <x v="1"/>
    <x v="0"/>
  </r>
  <r>
    <n v="189"/>
    <n v="7.5800000000000006E-2"/>
    <x v="15"/>
    <x v="12"/>
    <n v="0"/>
    <x v="22"/>
    <x v="48"/>
    <x v="8"/>
    <n v="1"/>
    <x v="3"/>
    <b v="1"/>
    <x v="1"/>
    <x v="0"/>
    <x v="18"/>
    <x v="1"/>
    <x v="0"/>
  </r>
  <r>
    <n v="190"/>
    <n v="9.0899999999999995E-2"/>
    <x v="45"/>
    <x v="5"/>
    <n v="0"/>
    <x v="4"/>
    <x v="4"/>
    <x v="8"/>
    <n v="1"/>
    <x v="4"/>
    <b v="1"/>
    <x v="1"/>
    <x v="0"/>
    <x v="19"/>
    <x v="1"/>
    <x v="0"/>
  </r>
  <r>
    <n v="191"/>
    <n v="9.0899999999999995E-2"/>
    <x v="45"/>
    <x v="5"/>
    <n v="0"/>
    <x v="4"/>
    <x v="4"/>
    <x v="8"/>
    <n v="1"/>
    <x v="5"/>
    <b v="1"/>
    <x v="1"/>
    <x v="0"/>
    <x v="19"/>
    <x v="1"/>
    <x v="0"/>
  </r>
  <r>
    <n v="192"/>
    <n v="9.0899999999999995E-2"/>
    <x v="36"/>
    <x v="3"/>
    <n v="0"/>
    <x v="4"/>
    <x v="4"/>
    <x v="8"/>
    <n v="1"/>
    <x v="6"/>
    <b v="1"/>
    <x v="1"/>
    <x v="0"/>
    <x v="18"/>
    <x v="1"/>
    <x v="0"/>
  </r>
  <r>
    <n v="193"/>
    <n v="9.0899999999999995E-2"/>
    <x v="45"/>
    <x v="5"/>
    <n v="1"/>
    <x v="34"/>
    <x v="24"/>
    <x v="8"/>
    <n v="1"/>
    <x v="7"/>
    <b v="1"/>
    <x v="1"/>
    <x v="0"/>
    <x v="19"/>
    <x v="1"/>
    <x v="0"/>
  </r>
  <r>
    <n v="194"/>
    <n v="9.0899999999999995E-2"/>
    <x v="36"/>
    <x v="3"/>
    <n v="0"/>
    <x v="3"/>
    <x v="98"/>
    <x v="8"/>
    <n v="1"/>
    <x v="8"/>
    <b v="1"/>
    <x v="1"/>
    <x v="0"/>
    <x v="18"/>
    <x v="1"/>
    <x v="0"/>
  </r>
  <r>
    <n v="195"/>
    <n v="7.5800000000000006E-2"/>
    <x v="15"/>
    <x v="18"/>
    <n v="0"/>
    <x v="23"/>
    <x v="75"/>
    <x v="8"/>
    <n v="1"/>
    <x v="9"/>
    <b v="1"/>
    <x v="1"/>
    <x v="0"/>
    <x v="16"/>
    <x v="1"/>
    <x v="0"/>
  </r>
  <r>
    <n v="196"/>
    <n v="0.1061"/>
    <x v="21"/>
    <x v="13"/>
    <n v="0"/>
    <x v="47"/>
    <x v="99"/>
    <x v="8"/>
    <n v="1"/>
    <x v="10"/>
    <b v="1"/>
    <x v="1"/>
    <x v="0"/>
    <x v="14"/>
    <x v="1"/>
    <x v="0"/>
  </r>
  <r>
    <n v="197"/>
    <n v="0.1212"/>
    <x v="22"/>
    <x v="18"/>
    <n v="2"/>
    <x v="12"/>
    <x v="99"/>
    <x v="8"/>
    <n v="1"/>
    <x v="11"/>
    <b v="1"/>
    <x v="1"/>
    <x v="0"/>
    <x v="13"/>
    <x v="1"/>
    <x v="0"/>
  </r>
  <r>
    <n v="198"/>
    <n v="0.13639999999999999"/>
    <x v="38"/>
    <x v="10"/>
    <n v="4"/>
    <x v="55"/>
    <x v="56"/>
    <x v="8"/>
    <n v="1"/>
    <x v="12"/>
    <b v="1"/>
    <x v="1"/>
    <x v="0"/>
    <x v="15"/>
    <x v="1"/>
    <x v="0"/>
  </r>
  <r>
    <n v="199"/>
    <n v="0.16669999999999999"/>
    <x v="46"/>
    <x v="10"/>
    <n v="6"/>
    <x v="94"/>
    <x v="28"/>
    <x v="8"/>
    <n v="1"/>
    <x v="13"/>
    <b v="1"/>
    <x v="1"/>
    <x v="0"/>
    <x v="2"/>
    <x v="1"/>
    <x v="0"/>
  </r>
  <r>
    <n v="200"/>
    <n v="0.18179999999999999"/>
    <x v="25"/>
    <x v="17"/>
    <n v="8"/>
    <x v="27"/>
    <x v="44"/>
    <x v="8"/>
    <n v="1"/>
    <x v="14"/>
    <b v="1"/>
    <x v="1"/>
    <x v="0"/>
    <x v="1"/>
    <x v="1"/>
    <x v="0"/>
  </r>
  <r>
    <n v="201"/>
    <n v="0.19700000000000001"/>
    <x v="23"/>
    <x v="11"/>
    <n v="5"/>
    <x v="99"/>
    <x v="100"/>
    <x v="8"/>
    <n v="1"/>
    <x v="15"/>
    <b v="1"/>
    <x v="1"/>
    <x v="0"/>
    <x v="1"/>
    <x v="1"/>
    <x v="0"/>
  </r>
  <r>
    <n v="202"/>
    <n v="0.16669999999999999"/>
    <x v="46"/>
    <x v="10"/>
    <n v="13"/>
    <x v="55"/>
    <x v="101"/>
    <x v="8"/>
    <n v="1"/>
    <x v="16"/>
    <b v="1"/>
    <x v="1"/>
    <x v="0"/>
    <x v="2"/>
    <x v="1"/>
    <x v="0"/>
  </r>
  <r>
    <n v="203"/>
    <n v="0.1515"/>
    <x v="38"/>
    <x v="13"/>
    <n v="3"/>
    <x v="79"/>
    <x v="69"/>
    <x v="8"/>
    <n v="1"/>
    <x v="17"/>
    <b v="1"/>
    <x v="1"/>
    <x v="0"/>
    <x v="15"/>
    <x v="1"/>
    <x v="0"/>
  </r>
  <r>
    <n v="204"/>
    <n v="0.13639999999999999"/>
    <x v="22"/>
    <x v="9"/>
    <n v="4"/>
    <x v="100"/>
    <x v="61"/>
    <x v="8"/>
    <n v="1"/>
    <x v="18"/>
    <b v="1"/>
    <x v="1"/>
    <x v="0"/>
    <x v="13"/>
    <x v="1"/>
    <x v="0"/>
  </r>
  <r>
    <n v="205"/>
    <n v="0.13639999999999999"/>
    <x v="21"/>
    <x v="9"/>
    <n v="1"/>
    <x v="71"/>
    <x v="102"/>
    <x v="8"/>
    <n v="1"/>
    <x v="19"/>
    <b v="1"/>
    <x v="1"/>
    <x v="0"/>
    <x v="13"/>
    <x v="1"/>
    <x v="0"/>
  </r>
  <r>
    <n v="206"/>
    <n v="0.1212"/>
    <x v="15"/>
    <x v="2"/>
    <n v="0"/>
    <x v="101"/>
    <x v="103"/>
    <x v="8"/>
    <n v="1"/>
    <x v="20"/>
    <b v="1"/>
    <x v="1"/>
    <x v="0"/>
    <x v="14"/>
    <x v="1"/>
    <x v="0"/>
  </r>
  <r>
    <n v="207"/>
    <n v="0.1061"/>
    <x v="15"/>
    <x v="12"/>
    <n v="1"/>
    <x v="23"/>
    <x v="25"/>
    <x v="8"/>
    <n v="1"/>
    <x v="21"/>
    <b v="1"/>
    <x v="1"/>
    <x v="0"/>
    <x v="14"/>
    <x v="1"/>
    <x v="0"/>
  </r>
  <r>
    <n v="208"/>
    <n v="0.1212"/>
    <x v="15"/>
    <x v="4"/>
    <n v="5"/>
    <x v="3"/>
    <x v="93"/>
    <x v="8"/>
    <n v="1"/>
    <x v="22"/>
    <b v="1"/>
    <x v="1"/>
    <x v="0"/>
    <x v="14"/>
    <x v="1"/>
    <x v="0"/>
  </r>
  <r>
    <n v="209"/>
    <n v="0.13639999999999999"/>
    <x v="20"/>
    <x v="5"/>
    <n v="0"/>
    <x v="8"/>
    <x v="24"/>
    <x v="8"/>
    <n v="1"/>
    <x v="23"/>
    <b v="1"/>
    <x v="1"/>
    <x v="0"/>
    <x v="16"/>
    <x v="1"/>
    <x v="0"/>
  </r>
  <r>
    <n v="210"/>
    <n v="0.1212"/>
    <x v="20"/>
    <x v="3"/>
    <n v="2"/>
    <x v="35"/>
    <x v="36"/>
    <x v="9"/>
    <n v="1"/>
    <x v="0"/>
    <b v="1"/>
    <x v="2"/>
    <x v="0"/>
    <x v="16"/>
    <x v="2"/>
    <x v="0"/>
  </r>
  <r>
    <n v="211"/>
    <n v="0.1212"/>
    <x v="20"/>
    <x v="3"/>
    <n v="1"/>
    <x v="5"/>
    <x v="4"/>
    <x v="9"/>
    <n v="1"/>
    <x v="1"/>
    <b v="1"/>
    <x v="2"/>
    <x v="0"/>
    <x v="16"/>
    <x v="2"/>
    <x v="0"/>
  </r>
  <r>
    <n v="212"/>
    <n v="0.1212"/>
    <x v="20"/>
    <x v="6"/>
    <n v="0"/>
    <x v="35"/>
    <x v="6"/>
    <x v="9"/>
    <n v="1"/>
    <x v="2"/>
    <b v="1"/>
    <x v="2"/>
    <x v="0"/>
    <x v="16"/>
    <x v="2"/>
    <x v="0"/>
  </r>
  <r>
    <n v="213"/>
    <n v="0.1212"/>
    <x v="20"/>
    <x v="6"/>
    <n v="0"/>
    <x v="4"/>
    <x v="4"/>
    <x v="9"/>
    <n v="1"/>
    <x v="3"/>
    <b v="1"/>
    <x v="2"/>
    <x v="0"/>
    <x v="16"/>
    <x v="2"/>
    <x v="0"/>
  </r>
  <r>
    <n v="214"/>
    <n v="0.1212"/>
    <x v="47"/>
    <x v="7"/>
    <n v="1"/>
    <x v="6"/>
    <x v="6"/>
    <x v="9"/>
    <n v="1"/>
    <x v="4"/>
    <b v="1"/>
    <x v="2"/>
    <x v="0"/>
    <x v="18"/>
    <x v="2"/>
    <x v="0"/>
  </r>
  <r>
    <n v="215"/>
    <n v="0.1061"/>
    <x v="47"/>
    <x v="2"/>
    <n v="0"/>
    <x v="35"/>
    <x v="6"/>
    <x v="9"/>
    <n v="1"/>
    <x v="5"/>
    <b v="1"/>
    <x v="2"/>
    <x v="0"/>
    <x v="18"/>
    <x v="2"/>
    <x v="0"/>
  </r>
  <r>
    <n v="216"/>
    <n v="0.1212"/>
    <x v="20"/>
    <x v="3"/>
    <n v="0"/>
    <x v="17"/>
    <x v="35"/>
    <x v="9"/>
    <n v="1"/>
    <x v="6"/>
    <b v="1"/>
    <x v="2"/>
    <x v="0"/>
    <x v="16"/>
    <x v="2"/>
    <x v="0"/>
  </r>
  <r>
    <n v="217"/>
    <n v="0.1212"/>
    <x v="20"/>
    <x v="6"/>
    <n v="2"/>
    <x v="102"/>
    <x v="43"/>
    <x v="9"/>
    <n v="1"/>
    <x v="7"/>
    <b v="1"/>
    <x v="2"/>
    <x v="0"/>
    <x v="16"/>
    <x v="2"/>
    <x v="0"/>
  </r>
  <r>
    <n v="218"/>
    <n v="0.1212"/>
    <x v="20"/>
    <x v="3"/>
    <n v="4"/>
    <x v="103"/>
    <x v="104"/>
    <x v="9"/>
    <n v="1"/>
    <x v="8"/>
    <b v="1"/>
    <x v="2"/>
    <x v="1"/>
    <x v="16"/>
    <x v="2"/>
    <x v="1"/>
  </r>
  <r>
    <n v="219"/>
    <n v="0.1212"/>
    <x v="20"/>
    <x v="2"/>
    <n v="2"/>
    <x v="50"/>
    <x v="12"/>
    <x v="9"/>
    <n v="1"/>
    <x v="9"/>
    <b v="1"/>
    <x v="2"/>
    <x v="1"/>
    <x v="14"/>
    <x v="2"/>
    <x v="1"/>
  </r>
  <r>
    <n v="220"/>
    <n v="0.1212"/>
    <x v="20"/>
    <x v="4"/>
    <n v="0"/>
    <x v="17"/>
    <x v="35"/>
    <x v="9"/>
    <n v="1"/>
    <x v="10"/>
    <b v="1"/>
    <x v="2"/>
    <x v="1"/>
    <x v="14"/>
    <x v="2"/>
    <x v="1"/>
  </r>
  <r>
    <n v="221"/>
    <n v="0.13639999999999999"/>
    <x v="19"/>
    <x v="3"/>
    <n v="2"/>
    <x v="95"/>
    <x v="33"/>
    <x v="9"/>
    <n v="1"/>
    <x v="11"/>
    <b v="1"/>
    <x v="2"/>
    <x v="1"/>
    <x v="13"/>
    <x v="2"/>
    <x v="1"/>
  </r>
  <r>
    <n v="222"/>
    <n v="0.18179999999999999"/>
    <x v="22"/>
    <x v="3"/>
    <n v="5"/>
    <x v="12"/>
    <x v="46"/>
    <x v="9"/>
    <n v="1"/>
    <x v="12"/>
    <b v="1"/>
    <x v="2"/>
    <x v="1"/>
    <x v="2"/>
    <x v="2"/>
    <x v="1"/>
  </r>
  <r>
    <n v="223"/>
    <n v="0.18179999999999999"/>
    <x v="22"/>
    <x v="3"/>
    <n v="4"/>
    <x v="54"/>
    <x v="60"/>
    <x v="9"/>
    <n v="1"/>
    <x v="13"/>
    <b v="1"/>
    <x v="2"/>
    <x v="1"/>
    <x v="2"/>
    <x v="2"/>
    <x v="1"/>
  </r>
  <r>
    <n v="224"/>
    <n v="0.19700000000000001"/>
    <x v="22"/>
    <x v="6"/>
    <n v="0"/>
    <x v="12"/>
    <x v="105"/>
    <x v="9"/>
    <n v="1"/>
    <x v="14"/>
    <b v="1"/>
    <x v="2"/>
    <x v="1"/>
    <x v="2"/>
    <x v="2"/>
    <x v="1"/>
  </r>
  <r>
    <n v="225"/>
    <n v="0.19700000000000001"/>
    <x v="22"/>
    <x v="6"/>
    <n v="2"/>
    <x v="30"/>
    <x v="79"/>
    <x v="9"/>
    <n v="1"/>
    <x v="15"/>
    <b v="1"/>
    <x v="2"/>
    <x v="1"/>
    <x v="2"/>
    <x v="2"/>
    <x v="1"/>
  </r>
  <r>
    <n v="226"/>
    <n v="0.21210000000000001"/>
    <x v="22"/>
    <x v="7"/>
    <n v="4"/>
    <x v="14"/>
    <x v="30"/>
    <x v="9"/>
    <n v="1"/>
    <x v="16"/>
    <b v="1"/>
    <x v="2"/>
    <x v="0"/>
    <x v="2"/>
    <x v="2"/>
    <x v="0"/>
  </r>
  <r>
    <n v="227"/>
    <n v="0.2273"/>
    <x v="22"/>
    <x v="14"/>
    <n v="4"/>
    <x v="104"/>
    <x v="106"/>
    <x v="9"/>
    <n v="1"/>
    <x v="17"/>
    <b v="1"/>
    <x v="2"/>
    <x v="0"/>
    <x v="2"/>
    <x v="2"/>
    <x v="0"/>
  </r>
  <r>
    <n v="228"/>
    <n v="0.19700000000000001"/>
    <x v="22"/>
    <x v="6"/>
    <n v="1"/>
    <x v="105"/>
    <x v="107"/>
    <x v="9"/>
    <n v="1"/>
    <x v="18"/>
    <b v="1"/>
    <x v="2"/>
    <x v="0"/>
    <x v="2"/>
    <x v="2"/>
    <x v="0"/>
  </r>
  <r>
    <n v="229"/>
    <n v="0.16669999999999999"/>
    <x v="19"/>
    <x v="8"/>
    <n v="3"/>
    <x v="50"/>
    <x v="76"/>
    <x v="9"/>
    <n v="1"/>
    <x v="19"/>
    <b v="1"/>
    <x v="2"/>
    <x v="0"/>
    <x v="13"/>
    <x v="2"/>
    <x v="0"/>
  </r>
  <r>
    <n v="230"/>
    <n v="0.16669999999999999"/>
    <x v="20"/>
    <x v="8"/>
    <n v="1"/>
    <x v="26"/>
    <x v="30"/>
    <x v="9"/>
    <n v="1"/>
    <x v="20"/>
    <b v="1"/>
    <x v="2"/>
    <x v="0"/>
    <x v="13"/>
    <x v="2"/>
    <x v="0"/>
  </r>
  <r>
    <n v="231"/>
    <n v="0.13639999999999999"/>
    <x v="29"/>
    <x v="5"/>
    <n v="1"/>
    <x v="53"/>
    <x v="103"/>
    <x v="9"/>
    <n v="1"/>
    <x v="21"/>
    <b v="1"/>
    <x v="2"/>
    <x v="0"/>
    <x v="14"/>
    <x v="2"/>
    <x v="0"/>
  </r>
  <r>
    <n v="232"/>
    <n v="0.1515"/>
    <x v="29"/>
    <x v="8"/>
    <n v="2"/>
    <x v="97"/>
    <x v="108"/>
    <x v="9"/>
    <n v="1"/>
    <x v="22"/>
    <b v="1"/>
    <x v="2"/>
    <x v="0"/>
    <x v="14"/>
    <x v="2"/>
    <x v="0"/>
  </r>
  <r>
    <n v="233"/>
    <n v="0.1515"/>
    <x v="29"/>
    <x v="8"/>
    <n v="0"/>
    <x v="72"/>
    <x v="109"/>
    <x v="9"/>
    <n v="1"/>
    <x v="23"/>
    <b v="1"/>
    <x v="2"/>
    <x v="0"/>
    <x v="14"/>
    <x v="2"/>
    <x v="0"/>
  </r>
  <r>
    <n v="234"/>
    <n v="0.16669999999999999"/>
    <x v="29"/>
    <x v="14"/>
    <n v="2"/>
    <x v="3"/>
    <x v="47"/>
    <x v="10"/>
    <n v="1"/>
    <x v="0"/>
    <b v="0"/>
    <x v="3"/>
    <x v="0"/>
    <x v="14"/>
    <x v="0"/>
    <x v="0"/>
  </r>
  <r>
    <n v="235"/>
    <n v="0.1515"/>
    <x v="29"/>
    <x v="8"/>
    <n v="0"/>
    <x v="35"/>
    <x v="6"/>
    <x v="10"/>
    <n v="1"/>
    <x v="1"/>
    <b v="0"/>
    <x v="3"/>
    <x v="0"/>
    <x v="14"/>
    <x v="0"/>
    <x v="0"/>
  </r>
  <r>
    <n v="236"/>
    <n v="0.1515"/>
    <x v="28"/>
    <x v="5"/>
    <n v="0"/>
    <x v="35"/>
    <x v="6"/>
    <x v="10"/>
    <n v="1"/>
    <x v="2"/>
    <b v="0"/>
    <x v="3"/>
    <x v="1"/>
    <x v="13"/>
    <x v="0"/>
    <x v="1"/>
  </r>
  <r>
    <n v="237"/>
    <n v="0.18179999999999999"/>
    <x v="28"/>
    <x v="7"/>
    <n v="0"/>
    <x v="8"/>
    <x v="24"/>
    <x v="10"/>
    <n v="1"/>
    <x v="5"/>
    <b v="0"/>
    <x v="3"/>
    <x v="1"/>
    <x v="13"/>
    <x v="0"/>
    <x v="1"/>
  </r>
  <r>
    <n v="238"/>
    <n v="0.18179999999999999"/>
    <x v="28"/>
    <x v="7"/>
    <n v="0"/>
    <x v="2"/>
    <x v="110"/>
    <x v="10"/>
    <n v="1"/>
    <x v="6"/>
    <b v="0"/>
    <x v="3"/>
    <x v="1"/>
    <x v="13"/>
    <x v="0"/>
    <x v="1"/>
  </r>
  <r>
    <n v="239"/>
    <n v="0.2273"/>
    <x v="28"/>
    <x v="0"/>
    <n v="2"/>
    <x v="106"/>
    <x v="111"/>
    <x v="10"/>
    <n v="1"/>
    <x v="7"/>
    <b v="0"/>
    <x v="3"/>
    <x v="1"/>
    <x v="13"/>
    <x v="0"/>
    <x v="1"/>
  </r>
  <r>
    <n v="240"/>
    <n v="0.21210000000000001"/>
    <x v="33"/>
    <x v="1"/>
    <n v="3"/>
    <x v="107"/>
    <x v="112"/>
    <x v="10"/>
    <n v="1"/>
    <x v="8"/>
    <b v="0"/>
    <x v="3"/>
    <x v="1"/>
    <x v="15"/>
    <x v="0"/>
    <x v="1"/>
  </r>
  <r>
    <n v="241"/>
    <n v="0.19700000000000001"/>
    <x v="33"/>
    <x v="8"/>
    <n v="3"/>
    <x v="69"/>
    <x v="113"/>
    <x v="10"/>
    <n v="1"/>
    <x v="9"/>
    <b v="0"/>
    <x v="3"/>
    <x v="1"/>
    <x v="15"/>
    <x v="0"/>
    <x v="1"/>
  </r>
  <r>
    <n v="242"/>
    <n v="0.21210000000000001"/>
    <x v="33"/>
    <x v="8"/>
    <n v="3"/>
    <x v="82"/>
    <x v="60"/>
    <x v="10"/>
    <n v="1"/>
    <x v="10"/>
    <b v="0"/>
    <x v="3"/>
    <x v="1"/>
    <x v="2"/>
    <x v="0"/>
    <x v="1"/>
  </r>
  <r>
    <n v="243"/>
    <n v="0.21210000000000001"/>
    <x v="19"/>
    <x v="7"/>
    <n v="4"/>
    <x v="17"/>
    <x v="17"/>
    <x v="10"/>
    <n v="1"/>
    <x v="11"/>
    <b v="0"/>
    <x v="3"/>
    <x v="1"/>
    <x v="2"/>
    <x v="0"/>
    <x v="1"/>
  </r>
  <r>
    <n v="244"/>
    <n v="0.2273"/>
    <x v="33"/>
    <x v="14"/>
    <n v="2"/>
    <x v="11"/>
    <x v="52"/>
    <x v="10"/>
    <n v="1"/>
    <x v="12"/>
    <b v="0"/>
    <x v="3"/>
    <x v="1"/>
    <x v="2"/>
    <x v="0"/>
    <x v="1"/>
  </r>
  <r>
    <n v="245"/>
    <n v="0.2273"/>
    <x v="29"/>
    <x v="1"/>
    <n v="6"/>
    <x v="24"/>
    <x v="46"/>
    <x v="10"/>
    <n v="1"/>
    <x v="13"/>
    <b v="0"/>
    <x v="3"/>
    <x v="1"/>
    <x v="2"/>
    <x v="0"/>
    <x v="1"/>
  </r>
  <r>
    <n v="246"/>
    <n v="0.2273"/>
    <x v="29"/>
    <x v="1"/>
    <n v="3"/>
    <x v="91"/>
    <x v="55"/>
    <x v="10"/>
    <n v="1"/>
    <x v="14"/>
    <b v="0"/>
    <x v="3"/>
    <x v="1"/>
    <x v="2"/>
    <x v="0"/>
    <x v="1"/>
  </r>
  <r>
    <n v="247"/>
    <n v="0.19700000000000001"/>
    <x v="1"/>
    <x v="1"/>
    <n v="2"/>
    <x v="108"/>
    <x v="105"/>
    <x v="10"/>
    <n v="1"/>
    <x v="15"/>
    <b v="0"/>
    <x v="3"/>
    <x v="1"/>
    <x v="13"/>
    <x v="0"/>
    <x v="1"/>
  </r>
  <r>
    <n v="248"/>
    <n v="0.1515"/>
    <x v="3"/>
    <x v="6"/>
    <n v="4"/>
    <x v="109"/>
    <x v="31"/>
    <x v="10"/>
    <n v="1"/>
    <x v="16"/>
    <b v="0"/>
    <x v="3"/>
    <x v="1"/>
    <x v="13"/>
    <x v="0"/>
    <x v="1"/>
  </r>
  <r>
    <n v="249"/>
    <n v="0.1515"/>
    <x v="3"/>
    <x v="6"/>
    <n v="6"/>
    <x v="110"/>
    <x v="114"/>
    <x v="10"/>
    <n v="1"/>
    <x v="17"/>
    <b v="0"/>
    <x v="3"/>
    <x v="1"/>
    <x v="13"/>
    <x v="0"/>
    <x v="1"/>
  </r>
  <r>
    <n v="250"/>
    <n v="0.18179999999999999"/>
    <x v="43"/>
    <x v="14"/>
    <n v="1"/>
    <x v="111"/>
    <x v="76"/>
    <x v="10"/>
    <n v="1"/>
    <x v="18"/>
    <b v="0"/>
    <x v="3"/>
    <x v="2"/>
    <x v="13"/>
    <x v="0"/>
    <x v="2"/>
  </r>
  <r>
    <n v="251"/>
    <n v="0.2273"/>
    <x v="43"/>
    <x v="0"/>
    <n v="0"/>
    <x v="82"/>
    <x v="41"/>
    <x v="10"/>
    <n v="1"/>
    <x v="19"/>
    <b v="0"/>
    <x v="3"/>
    <x v="2"/>
    <x v="13"/>
    <x v="0"/>
    <x v="2"/>
  </r>
  <r>
    <n v="252"/>
    <n v="0.1515"/>
    <x v="43"/>
    <x v="5"/>
    <n v="0"/>
    <x v="1"/>
    <x v="2"/>
    <x v="10"/>
    <n v="1"/>
    <x v="20"/>
    <b v="0"/>
    <x v="3"/>
    <x v="2"/>
    <x v="13"/>
    <x v="0"/>
    <x v="2"/>
  </r>
  <r>
    <n v="253"/>
    <n v="0.19700000000000001"/>
    <x v="3"/>
    <x v="1"/>
    <n v="0"/>
    <x v="32"/>
    <x v="25"/>
    <x v="10"/>
    <n v="1"/>
    <x v="21"/>
    <b v="0"/>
    <x v="3"/>
    <x v="2"/>
    <x v="13"/>
    <x v="0"/>
    <x v="2"/>
  </r>
  <r>
    <n v="254"/>
    <n v="0.18179999999999999"/>
    <x v="43"/>
    <x v="14"/>
    <n v="1"/>
    <x v="95"/>
    <x v="115"/>
    <x v="10"/>
    <n v="1"/>
    <x v="22"/>
    <b v="0"/>
    <x v="3"/>
    <x v="2"/>
    <x v="13"/>
    <x v="0"/>
    <x v="2"/>
  </r>
  <r>
    <n v="255"/>
    <n v="0.19700000000000001"/>
    <x v="43"/>
    <x v="1"/>
    <n v="1"/>
    <x v="72"/>
    <x v="75"/>
    <x v="10"/>
    <n v="1"/>
    <x v="23"/>
    <b v="0"/>
    <x v="3"/>
    <x v="2"/>
    <x v="13"/>
    <x v="0"/>
    <x v="2"/>
  </r>
  <r>
    <n v="256"/>
    <n v="0.19700000000000001"/>
    <x v="3"/>
    <x v="1"/>
    <n v="0"/>
    <x v="7"/>
    <x v="85"/>
    <x v="11"/>
    <n v="1"/>
    <x v="0"/>
    <b v="0"/>
    <x v="4"/>
    <x v="1"/>
    <x v="13"/>
    <x v="0"/>
    <x v="1"/>
  </r>
  <r>
    <n v="257"/>
    <n v="0.18179999999999999"/>
    <x v="3"/>
    <x v="14"/>
    <n v="0"/>
    <x v="8"/>
    <x v="24"/>
    <x v="11"/>
    <n v="1"/>
    <x v="1"/>
    <b v="0"/>
    <x v="4"/>
    <x v="1"/>
    <x v="13"/>
    <x v="0"/>
    <x v="1"/>
  </r>
  <r>
    <n v="258"/>
    <n v="0.1515"/>
    <x v="3"/>
    <x v="7"/>
    <n v="0"/>
    <x v="4"/>
    <x v="4"/>
    <x v="11"/>
    <n v="1"/>
    <x v="2"/>
    <b v="0"/>
    <x v="4"/>
    <x v="0"/>
    <x v="14"/>
    <x v="0"/>
    <x v="0"/>
  </r>
  <r>
    <n v="259"/>
    <n v="0.1515"/>
    <x v="3"/>
    <x v="8"/>
    <n v="0"/>
    <x v="34"/>
    <x v="36"/>
    <x v="11"/>
    <n v="1"/>
    <x v="5"/>
    <b v="0"/>
    <x v="4"/>
    <x v="0"/>
    <x v="14"/>
    <x v="0"/>
    <x v="0"/>
  </r>
  <r>
    <n v="260"/>
    <n v="0.1515"/>
    <x v="43"/>
    <x v="7"/>
    <n v="0"/>
    <x v="20"/>
    <x v="0"/>
    <x v="11"/>
    <n v="1"/>
    <x v="6"/>
    <b v="0"/>
    <x v="4"/>
    <x v="0"/>
    <x v="16"/>
    <x v="0"/>
    <x v="0"/>
  </r>
  <r>
    <n v="261"/>
    <n v="0.1515"/>
    <x v="27"/>
    <x v="7"/>
    <n v="0"/>
    <x v="25"/>
    <x v="60"/>
    <x v="11"/>
    <n v="1"/>
    <x v="7"/>
    <b v="0"/>
    <x v="4"/>
    <x v="0"/>
    <x v="14"/>
    <x v="0"/>
    <x v="0"/>
  </r>
  <r>
    <n v="262"/>
    <n v="0.16669999999999999"/>
    <x v="29"/>
    <x v="8"/>
    <n v="3"/>
    <x v="85"/>
    <x v="116"/>
    <x v="11"/>
    <n v="1"/>
    <x v="8"/>
    <b v="0"/>
    <x v="4"/>
    <x v="0"/>
    <x v="13"/>
    <x v="0"/>
    <x v="0"/>
  </r>
  <r>
    <n v="263"/>
    <n v="0.13639999999999999"/>
    <x v="29"/>
    <x v="9"/>
    <n v="3"/>
    <x v="78"/>
    <x v="117"/>
    <x v="11"/>
    <n v="1"/>
    <x v="9"/>
    <b v="0"/>
    <x v="4"/>
    <x v="0"/>
    <x v="13"/>
    <x v="0"/>
    <x v="0"/>
  </r>
  <r>
    <n v="264"/>
    <n v="0.18179999999999999"/>
    <x v="28"/>
    <x v="6"/>
    <n v="0"/>
    <x v="87"/>
    <x v="21"/>
    <x v="11"/>
    <n v="1"/>
    <x v="10"/>
    <b v="0"/>
    <x v="4"/>
    <x v="0"/>
    <x v="15"/>
    <x v="0"/>
    <x v="0"/>
  </r>
  <r>
    <n v="265"/>
    <n v="0.18179999999999999"/>
    <x v="33"/>
    <x v="13"/>
    <n v="3"/>
    <x v="1"/>
    <x v="17"/>
    <x v="11"/>
    <n v="1"/>
    <x v="11"/>
    <b v="0"/>
    <x v="4"/>
    <x v="0"/>
    <x v="2"/>
    <x v="0"/>
    <x v="0"/>
  </r>
  <r>
    <n v="266"/>
    <n v="0.1515"/>
    <x v="19"/>
    <x v="19"/>
    <n v="3"/>
    <x v="15"/>
    <x v="97"/>
    <x v="11"/>
    <n v="1"/>
    <x v="12"/>
    <b v="0"/>
    <x v="4"/>
    <x v="0"/>
    <x v="2"/>
    <x v="0"/>
    <x v="0"/>
  </r>
  <r>
    <n v="267"/>
    <n v="0.19700000000000001"/>
    <x v="18"/>
    <x v="11"/>
    <n v="0"/>
    <x v="47"/>
    <x v="99"/>
    <x v="11"/>
    <n v="1"/>
    <x v="13"/>
    <b v="0"/>
    <x v="4"/>
    <x v="0"/>
    <x v="1"/>
    <x v="0"/>
    <x v="0"/>
  </r>
  <r>
    <n v="268"/>
    <n v="0.18179999999999999"/>
    <x v="19"/>
    <x v="9"/>
    <n v="0"/>
    <x v="100"/>
    <x v="40"/>
    <x v="11"/>
    <n v="1"/>
    <x v="14"/>
    <b v="0"/>
    <x v="4"/>
    <x v="0"/>
    <x v="2"/>
    <x v="0"/>
    <x v="0"/>
  </r>
  <r>
    <n v="269"/>
    <n v="0.16669999999999999"/>
    <x v="19"/>
    <x v="12"/>
    <n v="1"/>
    <x v="41"/>
    <x v="99"/>
    <x v="11"/>
    <n v="1"/>
    <x v="15"/>
    <b v="0"/>
    <x v="4"/>
    <x v="0"/>
    <x v="2"/>
    <x v="0"/>
    <x v="0"/>
  </r>
  <r>
    <n v="270"/>
    <n v="0.19700000000000001"/>
    <x v="18"/>
    <x v="9"/>
    <n v="5"/>
    <x v="36"/>
    <x v="118"/>
    <x v="11"/>
    <n v="1"/>
    <x v="16"/>
    <b v="0"/>
    <x v="4"/>
    <x v="0"/>
    <x v="1"/>
    <x v="0"/>
    <x v="0"/>
  </r>
  <r>
    <n v="271"/>
    <n v="0.18179999999999999"/>
    <x v="19"/>
    <x v="11"/>
    <n v="0"/>
    <x v="112"/>
    <x v="119"/>
    <x v="11"/>
    <n v="1"/>
    <x v="17"/>
    <b v="0"/>
    <x v="4"/>
    <x v="0"/>
    <x v="2"/>
    <x v="0"/>
    <x v="0"/>
  </r>
  <r>
    <n v="272"/>
    <n v="0.1515"/>
    <x v="19"/>
    <x v="18"/>
    <n v="2"/>
    <x v="113"/>
    <x v="120"/>
    <x v="11"/>
    <n v="1"/>
    <x v="18"/>
    <b v="0"/>
    <x v="4"/>
    <x v="0"/>
    <x v="2"/>
    <x v="0"/>
    <x v="0"/>
  </r>
  <r>
    <n v="273"/>
    <n v="0.1515"/>
    <x v="19"/>
    <x v="12"/>
    <n v="1"/>
    <x v="70"/>
    <x v="56"/>
    <x v="11"/>
    <n v="1"/>
    <x v="19"/>
    <b v="0"/>
    <x v="4"/>
    <x v="0"/>
    <x v="15"/>
    <x v="0"/>
    <x v="0"/>
  </r>
  <r>
    <n v="274"/>
    <n v="0.13639999999999999"/>
    <x v="20"/>
    <x v="9"/>
    <n v="2"/>
    <x v="25"/>
    <x v="10"/>
    <x v="11"/>
    <n v="1"/>
    <x v="20"/>
    <b v="0"/>
    <x v="4"/>
    <x v="0"/>
    <x v="13"/>
    <x v="0"/>
    <x v="0"/>
  </r>
  <r>
    <n v="275"/>
    <n v="0.13639999999999999"/>
    <x v="28"/>
    <x v="9"/>
    <n v="0"/>
    <x v="77"/>
    <x v="52"/>
    <x v="11"/>
    <n v="1"/>
    <x v="21"/>
    <b v="0"/>
    <x v="4"/>
    <x v="0"/>
    <x v="13"/>
    <x v="0"/>
    <x v="0"/>
  </r>
  <r>
    <n v="276"/>
    <n v="0.1212"/>
    <x v="28"/>
    <x v="10"/>
    <n v="1"/>
    <x v="1"/>
    <x v="63"/>
    <x v="11"/>
    <n v="1"/>
    <x v="22"/>
    <b v="0"/>
    <x v="4"/>
    <x v="0"/>
    <x v="13"/>
    <x v="0"/>
    <x v="0"/>
  </r>
  <r>
    <n v="277"/>
    <n v="0.1061"/>
    <x v="29"/>
    <x v="12"/>
    <n v="1"/>
    <x v="23"/>
    <x v="25"/>
    <x v="11"/>
    <n v="1"/>
    <x v="23"/>
    <b v="0"/>
    <x v="4"/>
    <x v="0"/>
    <x v="14"/>
    <x v="0"/>
    <x v="0"/>
  </r>
  <r>
    <n v="278"/>
    <n v="0.1212"/>
    <x v="29"/>
    <x v="3"/>
    <n v="1"/>
    <x v="8"/>
    <x v="85"/>
    <x v="12"/>
    <n v="1"/>
    <x v="0"/>
    <b v="0"/>
    <x v="5"/>
    <x v="0"/>
    <x v="14"/>
    <x v="0"/>
    <x v="0"/>
  </r>
  <r>
    <n v="279"/>
    <n v="0.1212"/>
    <x v="20"/>
    <x v="3"/>
    <n v="0"/>
    <x v="6"/>
    <x v="5"/>
    <x v="12"/>
    <n v="1"/>
    <x v="1"/>
    <b v="0"/>
    <x v="5"/>
    <x v="0"/>
    <x v="14"/>
    <x v="0"/>
    <x v="0"/>
  </r>
  <r>
    <n v="280"/>
    <n v="0.1212"/>
    <x v="20"/>
    <x v="11"/>
    <n v="0"/>
    <x v="6"/>
    <x v="5"/>
    <x v="12"/>
    <n v="1"/>
    <x v="2"/>
    <b v="0"/>
    <x v="5"/>
    <x v="0"/>
    <x v="14"/>
    <x v="0"/>
    <x v="0"/>
  </r>
  <r>
    <n v="281"/>
    <n v="0.1212"/>
    <x v="20"/>
    <x v="9"/>
    <n v="0"/>
    <x v="35"/>
    <x v="6"/>
    <x v="12"/>
    <n v="1"/>
    <x v="3"/>
    <b v="0"/>
    <x v="5"/>
    <x v="0"/>
    <x v="14"/>
    <x v="0"/>
    <x v="0"/>
  </r>
  <r>
    <n v="282"/>
    <n v="0.1212"/>
    <x v="20"/>
    <x v="2"/>
    <n v="0"/>
    <x v="22"/>
    <x v="48"/>
    <x v="12"/>
    <n v="1"/>
    <x v="4"/>
    <b v="0"/>
    <x v="5"/>
    <x v="0"/>
    <x v="14"/>
    <x v="0"/>
    <x v="0"/>
  </r>
  <r>
    <n v="283"/>
    <n v="0.1212"/>
    <x v="20"/>
    <x v="4"/>
    <n v="0"/>
    <x v="35"/>
    <x v="6"/>
    <x v="12"/>
    <n v="1"/>
    <x v="5"/>
    <b v="0"/>
    <x v="5"/>
    <x v="0"/>
    <x v="14"/>
    <x v="0"/>
    <x v="0"/>
  </r>
  <r>
    <n v="284"/>
    <n v="0.1515"/>
    <x v="47"/>
    <x v="7"/>
    <n v="0"/>
    <x v="95"/>
    <x v="20"/>
    <x v="12"/>
    <n v="1"/>
    <x v="6"/>
    <b v="0"/>
    <x v="5"/>
    <x v="0"/>
    <x v="16"/>
    <x v="0"/>
    <x v="0"/>
  </r>
  <r>
    <n v="285"/>
    <n v="0.1515"/>
    <x v="47"/>
    <x v="7"/>
    <n v="0"/>
    <x v="109"/>
    <x v="44"/>
    <x v="12"/>
    <n v="1"/>
    <x v="7"/>
    <b v="0"/>
    <x v="5"/>
    <x v="0"/>
    <x v="16"/>
    <x v="0"/>
    <x v="0"/>
  </r>
  <r>
    <n v="286"/>
    <n v="0.13639999999999999"/>
    <x v="20"/>
    <x v="5"/>
    <n v="5"/>
    <x v="114"/>
    <x v="121"/>
    <x v="12"/>
    <n v="1"/>
    <x v="8"/>
    <b v="0"/>
    <x v="5"/>
    <x v="0"/>
    <x v="14"/>
    <x v="0"/>
    <x v="0"/>
  </r>
  <r>
    <n v="287"/>
    <n v="0.1212"/>
    <x v="20"/>
    <x v="9"/>
    <n v="2"/>
    <x v="115"/>
    <x v="119"/>
    <x v="12"/>
    <n v="1"/>
    <x v="9"/>
    <b v="0"/>
    <x v="5"/>
    <x v="0"/>
    <x v="14"/>
    <x v="0"/>
    <x v="0"/>
  </r>
  <r>
    <n v="288"/>
    <n v="0.13639999999999999"/>
    <x v="20"/>
    <x v="11"/>
    <n v="2"/>
    <x v="49"/>
    <x v="103"/>
    <x v="12"/>
    <n v="1"/>
    <x v="10"/>
    <b v="0"/>
    <x v="5"/>
    <x v="1"/>
    <x v="13"/>
    <x v="0"/>
    <x v="1"/>
  </r>
  <r>
    <n v="289"/>
    <n v="0.16669999999999999"/>
    <x v="18"/>
    <x v="10"/>
    <n v="4"/>
    <x v="39"/>
    <x v="18"/>
    <x v="12"/>
    <n v="1"/>
    <x v="11"/>
    <b v="0"/>
    <x v="5"/>
    <x v="1"/>
    <x v="2"/>
    <x v="0"/>
    <x v="1"/>
  </r>
  <r>
    <n v="290"/>
    <n v="0.16669999999999999"/>
    <x v="18"/>
    <x v="12"/>
    <n v="3"/>
    <x v="47"/>
    <x v="46"/>
    <x v="12"/>
    <n v="1"/>
    <x v="12"/>
    <b v="0"/>
    <x v="5"/>
    <x v="0"/>
    <x v="2"/>
    <x v="0"/>
    <x v="0"/>
  </r>
  <r>
    <n v="291"/>
    <n v="0.19700000000000001"/>
    <x v="48"/>
    <x v="10"/>
    <n v="2"/>
    <x v="38"/>
    <x v="56"/>
    <x v="12"/>
    <n v="1"/>
    <x v="13"/>
    <b v="0"/>
    <x v="5"/>
    <x v="0"/>
    <x v="1"/>
    <x v="0"/>
    <x v="0"/>
  </r>
  <r>
    <n v="292"/>
    <n v="0.19700000000000001"/>
    <x v="48"/>
    <x v="13"/>
    <n v="3"/>
    <x v="87"/>
    <x v="51"/>
    <x v="12"/>
    <n v="1"/>
    <x v="14"/>
    <b v="0"/>
    <x v="5"/>
    <x v="0"/>
    <x v="1"/>
    <x v="0"/>
    <x v="0"/>
  </r>
  <r>
    <n v="293"/>
    <n v="0.21210000000000001"/>
    <x v="41"/>
    <x v="4"/>
    <n v="5"/>
    <x v="11"/>
    <x v="122"/>
    <x v="12"/>
    <n v="1"/>
    <x v="15"/>
    <b v="0"/>
    <x v="5"/>
    <x v="0"/>
    <x v="0"/>
    <x v="0"/>
    <x v="0"/>
  </r>
  <r>
    <n v="294"/>
    <n v="0.21210000000000001"/>
    <x v="41"/>
    <x v="11"/>
    <n v="2"/>
    <x v="83"/>
    <x v="53"/>
    <x v="12"/>
    <n v="1"/>
    <x v="16"/>
    <b v="0"/>
    <x v="5"/>
    <x v="0"/>
    <x v="0"/>
    <x v="0"/>
    <x v="0"/>
  </r>
  <r>
    <n v="295"/>
    <n v="0.18179999999999999"/>
    <x v="22"/>
    <x v="3"/>
    <n v="4"/>
    <x v="81"/>
    <x v="123"/>
    <x v="12"/>
    <n v="1"/>
    <x v="17"/>
    <b v="0"/>
    <x v="5"/>
    <x v="0"/>
    <x v="2"/>
    <x v="0"/>
    <x v="0"/>
  </r>
  <r>
    <n v="296"/>
    <n v="0.18179999999999999"/>
    <x v="22"/>
    <x v="9"/>
    <n v="3"/>
    <x v="116"/>
    <x v="124"/>
    <x v="12"/>
    <n v="1"/>
    <x v="18"/>
    <b v="0"/>
    <x v="5"/>
    <x v="0"/>
    <x v="2"/>
    <x v="0"/>
    <x v="0"/>
  </r>
  <r>
    <n v="297"/>
    <n v="0.1515"/>
    <x v="19"/>
    <x v="2"/>
    <n v="1"/>
    <x v="52"/>
    <x v="111"/>
    <x v="12"/>
    <n v="1"/>
    <x v="19"/>
    <b v="0"/>
    <x v="5"/>
    <x v="0"/>
    <x v="13"/>
    <x v="0"/>
    <x v="0"/>
  </r>
  <r>
    <n v="298"/>
    <n v="0.1515"/>
    <x v="19"/>
    <x v="6"/>
    <n v="0"/>
    <x v="27"/>
    <x v="37"/>
    <x v="12"/>
    <n v="1"/>
    <x v="20"/>
    <b v="0"/>
    <x v="5"/>
    <x v="0"/>
    <x v="13"/>
    <x v="0"/>
    <x v="0"/>
  </r>
  <r>
    <n v="299"/>
    <n v="0.1212"/>
    <x v="15"/>
    <x v="4"/>
    <n v="0"/>
    <x v="71"/>
    <x v="1"/>
    <x v="12"/>
    <n v="1"/>
    <x v="21"/>
    <b v="0"/>
    <x v="5"/>
    <x v="0"/>
    <x v="14"/>
    <x v="0"/>
    <x v="0"/>
  </r>
  <r>
    <n v="300"/>
    <n v="0.1212"/>
    <x v="15"/>
    <x v="9"/>
    <n v="0"/>
    <x v="10"/>
    <x v="33"/>
    <x v="12"/>
    <n v="1"/>
    <x v="22"/>
    <b v="0"/>
    <x v="5"/>
    <x v="0"/>
    <x v="14"/>
    <x v="0"/>
    <x v="0"/>
  </r>
  <r>
    <n v="301"/>
    <n v="0.13639999999999999"/>
    <x v="20"/>
    <x v="5"/>
    <n v="1"/>
    <x v="88"/>
    <x v="93"/>
    <x v="12"/>
    <n v="1"/>
    <x v="23"/>
    <b v="0"/>
    <x v="5"/>
    <x v="0"/>
    <x v="16"/>
    <x v="0"/>
    <x v="0"/>
  </r>
  <r>
    <n v="302"/>
    <n v="0.13639999999999999"/>
    <x v="20"/>
    <x v="5"/>
    <n v="0"/>
    <x v="88"/>
    <x v="8"/>
    <x v="13"/>
    <n v="1"/>
    <x v="0"/>
    <b v="0"/>
    <x v="6"/>
    <x v="0"/>
    <x v="16"/>
    <x v="0"/>
    <x v="0"/>
  </r>
  <r>
    <n v="303"/>
    <n v="0.1212"/>
    <x v="47"/>
    <x v="8"/>
    <n v="0"/>
    <x v="34"/>
    <x v="36"/>
    <x v="13"/>
    <n v="1"/>
    <x v="1"/>
    <b v="0"/>
    <x v="6"/>
    <x v="0"/>
    <x v="18"/>
    <x v="0"/>
    <x v="0"/>
  </r>
  <r>
    <n v="304"/>
    <n v="0.1212"/>
    <x v="47"/>
    <x v="7"/>
    <n v="0"/>
    <x v="4"/>
    <x v="4"/>
    <x v="13"/>
    <n v="1"/>
    <x v="2"/>
    <b v="0"/>
    <x v="6"/>
    <x v="0"/>
    <x v="18"/>
    <x v="0"/>
    <x v="0"/>
  </r>
  <r>
    <n v="305"/>
    <n v="0.13639999999999999"/>
    <x v="47"/>
    <x v="14"/>
    <n v="0"/>
    <x v="4"/>
    <x v="4"/>
    <x v="13"/>
    <n v="1"/>
    <x v="3"/>
    <b v="0"/>
    <x v="6"/>
    <x v="0"/>
    <x v="18"/>
    <x v="0"/>
    <x v="0"/>
  </r>
  <r>
    <n v="306"/>
    <n v="0.13639999999999999"/>
    <x v="47"/>
    <x v="1"/>
    <n v="0"/>
    <x v="21"/>
    <x v="7"/>
    <x v="13"/>
    <n v="1"/>
    <x v="5"/>
    <b v="0"/>
    <x v="6"/>
    <x v="0"/>
    <x v="18"/>
    <x v="0"/>
    <x v="0"/>
  </r>
  <r>
    <n v="307"/>
    <n v="0.18179999999999999"/>
    <x v="47"/>
    <x v="0"/>
    <n v="0"/>
    <x v="19"/>
    <x v="22"/>
    <x v="13"/>
    <n v="1"/>
    <x v="6"/>
    <b v="0"/>
    <x v="6"/>
    <x v="0"/>
    <x v="18"/>
    <x v="0"/>
    <x v="0"/>
  </r>
  <r>
    <n v="308"/>
    <n v="0.1212"/>
    <x v="32"/>
    <x v="8"/>
    <n v="0"/>
    <x v="14"/>
    <x v="27"/>
    <x v="13"/>
    <n v="1"/>
    <x v="7"/>
    <b v="0"/>
    <x v="6"/>
    <x v="0"/>
    <x v="18"/>
    <x v="0"/>
    <x v="0"/>
  </r>
  <r>
    <n v="309"/>
    <n v="0.16669999999999999"/>
    <x v="31"/>
    <x v="0"/>
    <n v="2"/>
    <x v="117"/>
    <x v="125"/>
    <x v="13"/>
    <n v="1"/>
    <x v="8"/>
    <b v="0"/>
    <x v="6"/>
    <x v="0"/>
    <x v="16"/>
    <x v="0"/>
    <x v="0"/>
  </r>
  <r>
    <n v="310"/>
    <n v="0.1515"/>
    <x v="27"/>
    <x v="7"/>
    <n v="0"/>
    <x v="118"/>
    <x v="126"/>
    <x v="13"/>
    <n v="1"/>
    <x v="9"/>
    <b v="0"/>
    <x v="6"/>
    <x v="0"/>
    <x v="14"/>
    <x v="0"/>
    <x v="0"/>
  </r>
  <r>
    <n v="311"/>
    <n v="0.18179999999999999"/>
    <x v="28"/>
    <x v="5"/>
    <n v="4"/>
    <x v="71"/>
    <x v="40"/>
    <x v="13"/>
    <n v="1"/>
    <x v="10"/>
    <b v="0"/>
    <x v="6"/>
    <x v="0"/>
    <x v="15"/>
    <x v="0"/>
    <x v="0"/>
  </r>
  <r>
    <n v="312"/>
    <n v="0.16669999999999999"/>
    <x v="33"/>
    <x v="3"/>
    <n v="6"/>
    <x v="12"/>
    <x v="26"/>
    <x v="13"/>
    <n v="1"/>
    <x v="11"/>
    <b v="0"/>
    <x v="6"/>
    <x v="0"/>
    <x v="15"/>
    <x v="0"/>
    <x v="0"/>
  </r>
  <r>
    <n v="313"/>
    <n v="0.19700000000000001"/>
    <x v="18"/>
    <x v="2"/>
    <n v="2"/>
    <x v="79"/>
    <x v="42"/>
    <x v="13"/>
    <n v="1"/>
    <x v="12"/>
    <b v="0"/>
    <x v="6"/>
    <x v="0"/>
    <x v="2"/>
    <x v="0"/>
    <x v="0"/>
  </r>
  <r>
    <n v="314"/>
    <n v="0.19700000000000001"/>
    <x v="38"/>
    <x v="13"/>
    <n v="4"/>
    <x v="26"/>
    <x v="43"/>
    <x v="13"/>
    <n v="1"/>
    <x v="13"/>
    <b v="0"/>
    <x v="6"/>
    <x v="0"/>
    <x v="1"/>
    <x v="0"/>
    <x v="0"/>
  </r>
  <r>
    <n v="315"/>
    <n v="0.21210000000000001"/>
    <x v="48"/>
    <x v="3"/>
    <n v="5"/>
    <x v="79"/>
    <x v="37"/>
    <x v="13"/>
    <n v="1"/>
    <x v="14"/>
    <b v="0"/>
    <x v="6"/>
    <x v="0"/>
    <x v="1"/>
    <x v="0"/>
    <x v="0"/>
  </r>
  <r>
    <n v="316"/>
    <n v="0.2424"/>
    <x v="41"/>
    <x v="8"/>
    <n v="9"/>
    <x v="79"/>
    <x v="118"/>
    <x v="13"/>
    <n v="1"/>
    <x v="15"/>
    <b v="0"/>
    <x v="6"/>
    <x v="0"/>
    <x v="0"/>
    <x v="0"/>
    <x v="0"/>
  </r>
  <r>
    <n v="317"/>
    <n v="0.2424"/>
    <x v="48"/>
    <x v="14"/>
    <n v="3"/>
    <x v="61"/>
    <x v="127"/>
    <x v="13"/>
    <n v="1"/>
    <x v="16"/>
    <b v="0"/>
    <x v="6"/>
    <x v="0"/>
    <x v="1"/>
    <x v="0"/>
    <x v="0"/>
  </r>
  <r>
    <n v="318"/>
    <n v="0.2273"/>
    <x v="48"/>
    <x v="8"/>
    <n v="4"/>
    <x v="119"/>
    <x v="128"/>
    <x v="13"/>
    <n v="1"/>
    <x v="17"/>
    <b v="0"/>
    <x v="6"/>
    <x v="0"/>
    <x v="1"/>
    <x v="0"/>
    <x v="0"/>
  </r>
  <r>
    <n v="319"/>
    <n v="0.2576"/>
    <x v="19"/>
    <x v="0"/>
    <n v="5"/>
    <x v="120"/>
    <x v="119"/>
    <x v="13"/>
    <n v="1"/>
    <x v="18"/>
    <b v="0"/>
    <x v="6"/>
    <x v="0"/>
    <x v="2"/>
    <x v="0"/>
    <x v="0"/>
  </r>
  <r>
    <n v="320"/>
    <n v="0.19700000000000001"/>
    <x v="29"/>
    <x v="1"/>
    <n v="3"/>
    <x v="121"/>
    <x v="101"/>
    <x v="13"/>
    <n v="1"/>
    <x v="19"/>
    <b v="0"/>
    <x v="6"/>
    <x v="0"/>
    <x v="13"/>
    <x v="0"/>
    <x v="0"/>
  </r>
  <r>
    <n v="321"/>
    <n v="0.2424"/>
    <x v="29"/>
    <x v="0"/>
    <n v="0"/>
    <x v="56"/>
    <x v="118"/>
    <x v="13"/>
    <n v="1"/>
    <x v="20"/>
    <b v="0"/>
    <x v="6"/>
    <x v="0"/>
    <x v="15"/>
    <x v="0"/>
    <x v="0"/>
  </r>
  <r>
    <n v="322"/>
    <n v="0.2273"/>
    <x v="27"/>
    <x v="0"/>
    <n v="4"/>
    <x v="41"/>
    <x v="46"/>
    <x v="13"/>
    <n v="1"/>
    <x v="21"/>
    <b v="0"/>
    <x v="6"/>
    <x v="0"/>
    <x v="13"/>
    <x v="0"/>
    <x v="0"/>
  </r>
  <r>
    <n v="323"/>
    <n v="0.2273"/>
    <x v="27"/>
    <x v="0"/>
    <n v="2"/>
    <x v="60"/>
    <x v="9"/>
    <x v="13"/>
    <n v="1"/>
    <x v="22"/>
    <b v="0"/>
    <x v="6"/>
    <x v="1"/>
    <x v="13"/>
    <x v="0"/>
    <x v="1"/>
  </r>
  <r>
    <n v="324"/>
    <n v="0.2424"/>
    <x v="28"/>
    <x v="0"/>
    <n v="1"/>
    <x v="16"/>
    <x v="110"/>
    <x v="13"/>
    <n v="1"/>
    <x v="23"/>
    <b v="0"/>
    <x v="6"/>
    <x v="1"/>
    <x v="15"/>
    <x v="0"/>
    <x v="1"/>
  </r>
  <r>
    <n v="325"/>
    <n v="0.2424"/>
    <x v="28"/>
    <x v="0"/>
    <n v="3"/>
    <x v="18"/>
    <x v="20"/>
    <x v="14"/>
    <n v="1"/>
    <x v="0"/>
    <b v="0"/>
    <x v="0"/>
    <x v="0"/>
    <x v="15"/>
    <x v="0"/>
    <x v="0"/>
  </r>
  <r>
    <n v="326"/>
    <n v="0.19700000000000001"/>
    <x v="29"/>
    <x v="1"/>
    <n v="2"/>
    <x v="72"/>
    <x v="25"/>
    <x v="14"/>
    <n v="1"/>
    <x v="1"/>
    <b v="0"/>
    <x v="0"/>
    <x v="1"/>
    <x v="13"/>
    <x v="0"/>
    <x v="1"/>
  </r>
  <r>
    <n v="327"/>
    <n v="0.19700000000000001"/>
    <x v="29"/>
    <x v="1"/>
    <n v="0"/>
    <x v="98"/>
    <x v="47"/>
    <x v="14"/>
    <n v="1"/>
    <x v="2"/>
    <b v="0"/>
    <x v="0"/>
    <x v="1"/>
    <x v="13"/>
    <x v="0"/>
    <x v="1"/>
  </r>
  <r>
    <n v="328"/>
    <n v="0.2273"/>
    <x v="29"/>
    <x v="0"/>
    <n v="1"/>
    <x v="7"/>
    <x v="7"/>
    <x v="14"/>
    <n v="1"/>
    <x v="3"/>
    <b v="0"/>
    <x v="0"/>
    <x v="1"/>
    <x v="13"/>
    <x v="0"/>
    <x v="1"/>
  </r>
  <r>
    <n v="329"/>
    <n v="0.2273"/>
    <x v="29"/>
    <x v="0"/>
    <n v="0"/>
    <x v="34"/>
    <x v="36"/>
    <x v="14"/>
    <n v="1"/>
    <x v="4"/>
    <b v="0"/>
    <x v="0"/>
    <x v="1"/>
    <x v="13"/>
    <x v="0"/>
    <x v="1"/>
  </r>
  <r>
    <n v="330"/>
    <n v="0.2273"/>
    <x v="29"/>
    <x v="0"/>
    <n v="0"/>
    <x v="4"/>
    <x v="4"/>
    <x v="14"/>
    <n v="1"/>
    <x v="5"/>
    <b v="0"/>
    <x v="0"/>
    <x v="0"/>
    <x v="13"/>
    <x v="0"/>
    <x v="0"/>
  </r>
  <r>
    <n v="331"/>
    <n v="0.16669999999999999"/>
    <x v="30"/>
    <x v="14"/>
    <n v="1"/>
    <x v="6"/>
    <x v="6"/>
    <x v="14"/>
    <n v="1"/>
    <x v="6"/>
    <b v="0"/>
    <x v="0"/>
    <x v="0"/>
    <x v="14"/>
    <x v="0"/>
    <x v="0"/>
  </r>
  <r>
    <n v="332"/>
    <n v="0.21210000000000001"/>
    <x v="30"/>
    <x v="0"/>
    <n v="1"/>
    <x v="33"/>
    <x v="98"/>
    <x v="14"/>
    <n v="1"/>
    <x v="7"/>
    <b v="0"/>
    <x v="0"/>
    <x v="0"/>
    <x v="14"/>
    <x v="0"/>
    <x v="0"/>
  </r>
  <r>
    <n v="333"/>
    <n v="0.1515"/>
    <x v="30"/>
    <x v="7"/>
    <n v="1"/>
    <x v="97"/>
    <x v="84"/>
    <x v="14"/>
    <n v="1"/>
    <x v="8"/>
    <b v="0"/>
    <x v="0"/>
    <x v="0"/>
    <x v="14"/>
    <x v="0"/>
    <x v="0"/>
  </r>
  <r>
    <n v="334"/>
    <n v="0.18179999999999999"/>
    <x v="26"/>
    <x v="7"/>
    <n v="2"/>
    <x v="17"/>
    <x v="63"/>
    <x v="14"/>
    <n v="1"/>
    <x v="9"/>
    <b v="0"/>
    <x v="0"/>
    <x v="0"/>
    <x v="13"/>
    <x v="0"/>
    <x v="0"/>
  </r>
  <r>
    <n v="335"/>
    <n v="0.19700000000000001"/>
    <x v="29"/>
    <x v="8"/>
    <n v="2"/>
    <x v="77"/>
    <x v="29"/>
    <x v="14"/>
    <n v="1"/>
    <x v="10"/>
    <b v="0"/>
    <x v="0"/>
    <x v="0"/>
    <x v="15"/>
    <x v="0"/>
    <x v="0"/>
  </r>
  <r>
    <n v="336"/>
    <n v="0.19700000000000001"/>
    <x v="28"/>
    <x v="6"/>
    <n v="18"/>
    <x v="25"/>
    <x v="44"/>
    <x v="14"/>
    <n v="1"/>
    <x v="11"/>
    <b v="0"/>
    <x v="0"/>
    <x v="0"/>
    <x v="2"/>
    <x v="0"/>
    <x v="0"/>
  </r>
  <r>
    <n v="337"/>
    <n v="0.2273"/>
    <x v="37"/>
    <x v="6"/>
    <n v="15"/>
    <x v="64"/>
    <x v="70"/>
    <x v="14"/>
    <n v="1"/>
    <x v="12"/>
    <b v="0"/>
    <x v="0"/>
    <x v="0"/>
    <x v="0"/>
    <x v="0"/>
    <x v="0"/>
  </r>
  <r>
    <n v="338"/>
    <n v="0.2576"/>
    <x v="41"/>
    <x v="4"/>
    <n v="21"/>
    <x v="122"/>
    <x v="129"/>
    <x v="14"/>
    <n v="1"/>
    <x v="13"/>
    <b v="0"/>
    <x v="0"/>
    <x v="0"/>
    <x v="17"/>
    <x v="0"/>
    <x v="0"/>
  </r>
  <r>
    <n v="339"/>
    <n v="0.28789999999999999"/>
    <x v="17"/>
    <x v="3"/>
    <n v="26"/>
    <x v="50"/>
    <x v="130"/>
    <x v="14"/>
    <n v="1"/>
    <x v="14"/>
    <b v="0"/>
    <x v="0"/>
    <x v="0"/>
    <x v="11"/>
    <x v="0"/>
    <x v="0"/>
  </r>
  <r>
    <n v="340"/>
    <n v="0.31819999999999998"/>
    <x v="42"/>
    <x v="5"/>
    <n v="21"/>
    <x v="123"/>
    <x v="131"/>
    <x v="14"/>
    <n v="1"/>
    <x v="15"/>
    <b v="0"/>
    <x v="0"/>
    <x v="1"/>
    <x v="3"/>
    <x v="0"/>
    <x v="1"/>
  </r>
  <r>
    <n v="341"/>
    <n v="0.33329999999999999"/>
    <x v="46"/>
    <x v="5"/>
    <n v="33"/>
    <x v="73"/>
    <x v="116"/>
    <x v="14"/>
    <n v="1"/>
    <x v="16"/>
    <b v="0"/>
    <x v="0"/>
    <x v="1"/>
    <x v="10"/>
    <x v="0"/>
    <x v="1"/>
  </r>
  <r>
    <n v="342"/>
    <n v="0.30299999999999999"/>
    <x v="42"/>
    <x v="3"/>
    <n v="29"/>
    <x v="25"/>
    <x v="56"/>
    <x v="14"/>
    <n v="1"/>
    <x v="17"/>
    <b v="0"/>
    <x v="0"/>
    <x v="1"/>
    <x v="3"/>
    <x v="0"/>
    <x v="1"/>
  </r>
  <r>
    <n v="343"/>
    <n v="0.28789999999999999"/>
    <x v="49"/>
    <x v="2"/>
    <n v="15"/>
    <x v="94"/>
    <x v="11"/>
    <x v="14"/>
    <n v="1"/>
    <x v="18"/>
    <b v="0"/>
    <x v="0"/>
    <x v="1"/>
    <x v="11"/>
    <x v="0"/>
    <x v="1"/>
  </r>
  <r>
    <n v="344"/>
    <n v="0.30299999999999999"/>
    <x v="17"/>
    <x v="2"/>
    <n v="14"/>
    <x v="91"/>
    <x v="30"/>
    <x v="14"/>
    <n v="1"/>
    <x v="19"/>
    <b v="0"/>
    <x v="0"/>
    <x v="1"/>
    <x v="3"/>
    <x v="0"/>
    <x v="1"/>
  </r>
  <r>
    <n v="345"/>
    <n v="0.30299999999999999"/>
    <x v="17"/>
    <x v="2"/>
    <n v="6"/>
    <x v="96"/>
    <x v="102"/>
    <x v="14"/>
    <n v="1"/>
    <x v="20"/>
    <b v="0"/>
    <x v="0"/>
    <x v="1"/>
    <x v="3"/>
    <x v="0"/>
    <x v="1"/>
  </r>
  <r>
    <n v="346"/>
    <n v="0.30299999999999999"/>
    <x v="17"/>
    <x v="6"/>
    <n v="6"/>
    <x v="82"/>
    <x v="52"/>
    <x v="14"/>
    <n v="1"/>
    <x v="21"/>
    <b v="0"/>
    <x v="0"/>
    <x v="1"/>
    <x v="3"/>
    <x v="0"/>
    <x v="1"/>
  </r>
  <r>
    <n v="347"/>
    <n v="0.31819999999999998"/>
    <x v="16"/>
    <x v="14"/>
    <n v="0"/>
    <x v="16"/>
    <x v="132"/>
    <x v="14"/>
    <n v="1"/>
    <x v="22"/>
    <b v="0"/>
    <x v="0"/>
    <x v="1"/>
    <x v="11"/>
    <x v="0"/>
    <x v="1"/>
  </r>
  <r>
    <n v="348"/>
    <n v="0.28789999999999999"/>
    <x v="49"/>
    <x v="3"/>
    <n v="5"/>
    <x v="87"/>
    <x v="40"/>
    <x v="14"/>
    <n v="1"/>
    <x v="23"/>
    <b v="0"/>
    <x v="0"/>
    <x v="0"/>
    <x v="11"/>
    <x v="0"/>
    <x v="0"/>
  </r>
  <r>
    <n v="349"/>
    <n v="0.30299999999999999"/>
    <x v="34"/>
    <x v="0"/>
    <n v="6"/>
    <x v="39"/>
    <x v="21"/>
    <x v="15"/>
    <n v="1"/>
    <x v="0"/>
    <b v="1"/>
    <x v="1"/>
    <x v="0"/>
    <x v="12"/>
    <x v="1"/>
    <x v="0"/>
  </r>
  <r>
    <n v="350"/>
    <n v="0.2727"/>
    <x v="34"/>
    <x v="7"/>
    <n v="4"/>
    <x v="23"/>
    <x v="84"/>
    <x v="15"/>
    <n v="1"/>
    <x v="1"/>
    <b v="1"/>
    <x v="1"/>
    <x v="0"/>
    <x v="12"/>
    <x v="1"/>
    <x v="0"/>
  </r>
  <r>
    <n v="351"/>
    <n v="0.28789999999999999"/>
    <x v="34"/>
    <x v="1"/>
    <n v="3"/>
    <x v="0"/>
    <x v="0"/>
    <x v="15"/>
    <n v="1"/>
    <x v="2"/>
    <b v="1"/>
    <x v="1"/>
    <x v="0"/>
    <x v="12"/>
    <x v="1"/>
    <x v="0"/>
  </r>
  <r>
    <n v="352"/>
    <n v="0.2727"/>
    <x v="27"/>
    <x v="0"/>
    <n v="9"/>
    <x v="8"/>
    <x v="93"/>
    <x v="15"/>
    <n v="1"/>
    <x v="3"/>
    <b v="1"/>
    <x v="1"/>
    <x v="0"/>
    <x v="1"/>
    <x v="1"/>
    <x v="0"/>
  </r>
  <r>
    <n v="353"/>
    <n v="0.2576"/>
    <x v="34"/>
    <x v="8"/>
    <n v="0"/>
    <x v="4"/>
    <x v="4"/>
    <x v="15"/>
    <n v="1"/>
    <x v="4"/>
    <b v="1"/>
    <x v="1"/>
    <x v="0"/>
    <x v="12"/>
    <x v="1"/>
    <x v="0"/>
  </r>
  <r>
    <n v="354"/>
    <n v="0.2576"/>
    <x v="34"/>
    <x v="8"/>
    <n v="1"/>
    <x v="4"/>
    <x v="5"/>
    <x v="15"/>
    <n v="1"/>
    <x v="5"/>
    <b v="1"/>
    <x v="1"/>
    <x v="1"/>
    <x v="12"/>
    <x v="1"/>
    <x v="1"/>
  </r>
  <r>
    <n v="355"/>
    <n v="0.2576"/>
    <x v="34"/>
    <x v="8"/>
    <n v="0"/>
    <x v="4"/>
    <x v="4"/>
    <x v="15"/>
    <n v="1"/>
    <x v="6"/>
    <b v="1"/>
    <x v="1"/>
    <x v="1"/>
    <x v="12"/>
    <x v="1"/>
    <x v="1"/>
  </r>
  <r>
    <n v="356"/>
    <n v="0.21210000000000001"/>
    <x v="34"/>
    <x v="4"/>
    <n v="0"/>
    <x v="35"/>
    <x v="6"/>
    <x v="15"/>
    <n v="1"/>
    <x v="7"/>
    <b v="1"/>
    <x v="1"/>
    <x v="1"/>
    <x v="0"/>
    <x v="1"/>
    <x v="1"/>
  </r>
  <r>
    <n v="357"/>
    <n v="0.21210000000000001"/>
    <x v="28"/>
    <x v="3"/>
    <n v="0"/>
    <x v="72"/>
    <x v="109"/>
    <x v="15"/>
    <n v="1"/>
    <x v="8"/>
    <b v="1"/>
    <x v="1"/>
    <x v="0"/>
    <x v="1"/>
    <x v="1"/>
    <x v="0"/>
  </r>
  <r>
    <n v="358"/>
    <n v="0.21210000000000001"/>
    <x v="33"/>
    <x v="2"/>
    <n v="3"/>
    <x v="31"/>
    <x v="2"/>
    <x v="15"/>
    <n v="1"/>
    <x v="9"/>
    <b v="1"/>
    <x v="1"/>
    <x v="0"/>
    <x v="1"/>
    <x v="1"/>
    <x v="0"/>
  </r>
  <r>
    <n v="359"/>
    <n v="0.21210000000000001"/>
    <x v="33"/>
    <x v="3"/>
    <n v="8"/>
    <x v="13"/>
    <x v="67"/>
    <x v="15"/>
    <n v="1"/>
    <x v="10"/>
    <b v="1"/>
    <x v="1"/>
    <x v="0"/>
    <x v="1"/>
    <x v="1"/>
    <x v="0"/>
  </r>
  <r>
    <n v="360"/>
    <n v="0.2273"/>
    <x v="18"/>
    <x v="2"/>
    <n v="23"/>
    <x v="14"/>
    <x v="15"/>
    <x v="15"/>
    <n v="1"/>
    <x v="11"/>
    <b v="1"/>
    <x v="1"/>
    <x v="0"/>
    <x v="0"/>
    <x v="1"/>
    <x v="0"/>
  </r>
  <r>
    <n v="361"/>
    <n v="0.21210000000000001"/>
    <x v="48"/>
    <x v="3"/>
    <n v="29"/>
    <x v="102"/>
    <x v="133"/>
    <x v="15"/>
    <n v="1"/>
    <x v="12"/>
    <b v="1"/>
    <x v="1"/>
    <x v="0"/>
    <x v="0"/>
    <x v="1"/>
    <x v="0"/>
  </r>
  <r>
    <n v="362"/>
    <n v="0.2273"/>
    <x v="23"/>
    <x v="4"/>
    <n v="23"/>
    <x v="73"/>
    <x v="130"/>
    <x v="15"/>
    <n v="1"/>
    <x v="13"/>
    <b v="1"/>
    <x v="1"/>
    <x v="0"/>
    <x v="12"/>
    <x v="1"/>
    <x v="0"/>
  </r>
  <r>
    <n v="363"/>
    <n v="0.2727"/>
    <x v="42"/>
    <x v="2"/>
    <n v="22"/>
    <x v="94"/>
    <x v="134"/>
    <x v="15"/>
    <n v="1"/>
    <x v="14"/>
    <b v="1"/>
    <x v="1"/>
    <x v="0"/>
    <x v="17"/>
    <x v="1"/>
    <x v="0"/>
  </r>
  <r>
    <n v="364"/>
    <n v="0.2424"/>
    <x v="41"/>
    <x v="2"/>
    <n v="35"/>
    <x v="78"/>
    <x v="135"/>
    <x v="15"/>
    <n v="1"/>
    <x v="15"/>
    <b v="1"/>
    <x v="1"/>
    <x v="0"/>
    <x v="12"/>
    <x v="1"/>
    <x v="0"/>
  </r>
  <r>
    <n v="365"/>
    <n v="0.2273"/>
    <x v="41"/>
    <x v="6"/>
    <n v="22"/>
    <x v="99"/>
    <x v="111"/>
    <x v="15"/>
    <n v="1"/>
    <x v="16"/>
    <b v="1"/>
    <x v="1"/>
    <x v="0"/>
    <x v="0"/>
    <x v="1"/>
    <x v="0"/>
  </r>
  <r>
    <n v="366"/>
    <n v="0.21210000000000001"/>
    <x v="38"/>
    <x v="2"/>
    <n v="23"/>
    <x v="70"/>
    <x v="136"/>
    <x v="15"/>
    <n v="1"/>
    <x v="17"/>
    <b v="1"/>
    <x v="1"/>
    <x v="0"/>
    <x v="1"/>
    <x v="1"/>
    <x v="0"/>
  </r>
  <r>
    <n v="367"/>
    <n v="0.21210000000000001"/>
    <x v="22"/>
    <x v="8"/>
    <n v="11"/>
    <x v="90"/>
    <x v="16"/>
    <x v="15"/>
    <n v="1"/>
    <x v="18"/>
    <b v="1"/>
    <x v="1"/>
    <x v="0"/>
    <x v="2"/>
    <x v="1"/>
    <x v="0"/>
  </r>
  <r>
    <n v="368"/>
    <n v="0.19700000000000001"/>
    <x v="19"/>
    <x v="7"/>
    <n v="14"/>
    <x v="12"/>
    <x v="42"/>
    <x v="15"/>
    <n v="1"/>
    <x v="19"/>
    <b v="1"/>
    <x v="1"/>
    <x v="0"/>
    <x v="15"/>
    <x v="1"/>
    <x v="0"/>
  </r>
  <r>
    <n v="369"/>
    <n v="0.19700000000000001"/>
    <x v="19"/>
    <x v="8"/>
    <n v="7"/>
    <x v="54"/>
    <x v="52"/>
    <x v="15"/>
    <n v="1"/>
    <x v="20"/>
    <b v="1"/>
    <x v="1"/>
    <x v="0"/>
    <x v="15"/>
    <x v="1"/>
    <x v="0"/>
  </r>
  <r>
    <n v="370"/>
    <n v="0.19700000000000001"/>
    <x v="33"/>
    <x v="8"/>
    <n v="6"/>
    <x v="97"/>
    <x v="20"/>
    <x v="15"/>
    <n v="1"/>
    <x v="21"/>
    <b v="1"/>
    <x v="1"/>
    <x v="0"/>
    <x v="15"/>
    <x v="1"/>
    <x v="0"/>
  </r>
  <r>
    <n v="371"/>
    <n v="0.21210000000000001"/>
    <x v="36"/>
    <x v="7"/>
    <n v="2"/>
    <x v="23"/>
    <x v="137"/>
    <x v="15"/>
    <n v="1"/>
    <x v="22"/>
    <b v="1"/>
    <x v="1"/>
    <x v="1"/>
    <x v="2"/>
    <x v="1"/>
    <x v="1"/>
  </r>
  <r>
    <n v="372"/>
    <n v="0.2273"/>
    <x v="22"/>
    <x v="14"/>
    <n v="0"/>
    <x v="72"/>
    <x v="109"/>
    <x v="15"/>
    <n v="1"/>
    <x v="23"/>
    <b v="1"/>
    <x v="1"/>
    <x v="1"/>
    <x v="2"/>
    <x v="1"/>
    <x v="1"/>
  </r>
  <r>
    <n v="373"/>
    <n v="0.19700000000000001"/>
    <x v="19"/>
    <x v="6"/>
    <n v="1"/>
    <x v="20"/>
    <x v="22"/>
    <x v="16"/>
    <n v="1"/>
    <x v="0"/>
    <b v="1"/>
    <x v="2"/>
    <x v="1"/>
    <x v="2"/>
    <x v="2"/>
    <x v="1"/>
  </r>
  <r>
    <n v="374"/>
    <n v="0.19700000000000001"/>
    <x v="18"/>
    <x v="5"/>
    <n v="1"/>
    <x v="89"/>
    <x v="0"/>
    <x v="16"/>
    <n v="1"/>
    <x v="1"/>
    <b v="1"/>
    <x v="2"/>
    <x v="1"/>
    <x v="2"/>
    <x v="2"/>
    <x v="1"/>
  </r>
  <r>
    <n v="375"/>
    <n v="0.16669999999999999"/>
    <x v="21"/>
    <x v="2"/>
    <n v="0"/>
    <x v="21"/>
    <x v="7"/>
    <x v="16"/>
    <n v="1"/>
    <x v="2"/>
    <b v="1"/>
    <x v="2"/>
    <x v="1"/>
    <x v="15"/>
    <x v="2"/>
    <x v="1"/>
  </r>
  <r>
    <n v="376"/>
    <n v="0.18179999999999999"/>
    <x v="21"/>
    <x v="5"/>
    <n v="0"/>
    <x v="6"/>
    <x v="5"/>
    <x v="16"/>
    <n v="1"/>
    <x v="3"/>
    <b v="1"/>
    <x v="2"/>
    <x v="1"/>
    <x v="15"/>
    <x v="2"/>
    <x v="1"/>
  </r>
  <r>
    <n v="377"/>
    <n v="0.19700000000000001"/>
    <x v="21"/>
    <x v="7"/>
    <n v="1"/>
    <x v="6"/>
    <x v="6"/>
    <x v="16"/>
    <n v="1"/>
    <x v="4"/>
    <b v="1"/>
    <x v="2"/>
    <x v="1"/>
    <x v="15"/>
    <x v="2"/>
    <x v="1"/>
  </r>
  <r>
    <n v="378"/>
    <n v="0.19700000000000001"/>
    <x v="21"/>
    <x v="8"/>
    <n v="0"/>
    <x v="4"/>
    <x v="4"/>
    <x v="16"/>
    <n v="1"/>
    <x v="5"/>
    <b v="1"/>
    <x v="2"/>
    <x v="1"/>
    <x v="15"/>
    <x v="2"/>
    <x v="1"/>
  </r>
  <r>
    <n v="379"/>
    <n v="0.18179999999999999"/>
    <x v="21"/>
    <x v="5"/>
    <n v="0"/>
    <x v="34"/>
    <x v="36"/>
    <x v="16"/>
    <n v="1"/>
    <x v="6"/>
    <b v="1"/>
    <x v="2"/>
    <x v="1"/>
    <x v="15"/>
    <x v="2"/>
    <x v="1"/>
  </r>
  <r>
    <n v="380"/>
    <n v="0.18179999999999999"/>
    <x v="20"/>
    <x v="7"/>
    <n v="4"/>
    <x v="33"/>
    <x v="3"/>
    <x v="16"/>
    <n v="1"/>
    <x v="7"/>
    <b v="1"/>
    <x v="2"/>
    <x v="1"/>
    <x v="13"/>
    <x v="2"/>
    <x v="1"/>
  </r>
  <r>
    <n v="381"/>
    <n v="0.1515"/>
    <x v="19"/>
    <x v="6"/>
    <n v="3"/>
    <x v="10"/>
    <x v="63"/>
    <x v="16"/>
    <n v="1"/>
    <x v="8"/>
    <b v="1"/>
    <x v="2"/>
    <x v="1"/>
    <x v="13"/>
    <x v="2"/>
    <x v="1"/>
  </r>
  <r>
    <n v="382"/>
    <n v="0.1515"/>
    <x v="19"/>
    <x v="6"/>
    <n v="8"/>
    <x v="87"/>
    <x v="105"/>
    <x v="16"/>
    <n v="1"/>
    <x v="9"/>
    <b v="1"/>
    <x v="2"/>
    <x v="1"/>
    <x v="13"/>
    <x v="2"/>
    <x v="1"/>
  </r>
  <r>
    <n v="383"/>
    <n v="0.1515"/>
    <x v="20"/>
    <x v="2"/>
    <n v="7"/>
    <x v="54"/>
    <x v="52"/>
    <x v="16"/>
    <n v="1"/>
    <x v="10"/>
    <b v="1"/>
    <x v="2"/>
    <x v="1"/>
    <x v="13"/>
    <x v="2"/>
    <x v="1"/>
  </r>
  <r>
    <n v="384"/>
    <n v="0.1515"/>
    <x v="28"/>
    <x v="5"/>
    <n v="9"/>
    <x v="11"/>
    <x v="37"/>
    <x v="16"/>
    <n v="1"/>
    <x v="11"/>
    <b v="1"/>
    <x v="2"/>
    <x v="1"/>
    <x v="13"/>
    <x v="2"/>
    <x v="1"/>
  </r>
  <r>
    <n v="385"/>
    <n v="0.19700000000000001"/>
    <x v="19"/>
    <x v="7"/>
    <n v="10"/>
    <x v="14"/>
    <x v="138"/>
    <x v="16"/>
    <n v="1"/>
    <x v="12"/>
    <b v="1"/>
    <x v="2"/>
    <x v="1"/>
    <x v="15"/>
    <x v="2"/>
    <x v="1"/>
  </r>
  <r>
    <n v="386"/>
    <n v="0.19700000000000001"/>
    <x v="19"/>
    <x v="7"/>
    <n v="13"/>
    <x v="122"/>
    <x v="15"/>
    <x v="16"/>
    <n v="1"/>
    <x v="13"/>
    <b v="1"/>
    <x v="2"/>
    <x v="1"/>
    <x v="15"/>
    <x v="2"/>
    <x v="1"/>
  </r>
  <r>
    <n v="387"/>
    <n v="0.21210000000000001"/>
    <x v="21"/>
    <x v="14"/>
    <n v="12"/>
    <x v="64"/>
    <x v="80"/>
    <x v="16"/>
    <n v="1"/>
    <x v="14"/>
    <b v="1"/>
    <x v="2"/>
    <x v="1"/>
    <x v="15"/>
    <x v="2"/>
    <x v="1"/>
  </r>
  <r>
    <n v="388"/>
    <n v="0.21210000000000001"/>
    <x v="19"/>
    <x v="8"/>
    <n v="21"/>
    <x v="109"/>
    <x v="15"/>
    <x v="16"/>
    <n v="1"/>
    <x v="15"/>
    <b v="1"/>
    <x v="2"/>
    <x v="1"/>
    <x v="2"/>
    <x v="2"/>
    <x v="1"/>
  </r>
  <r>
    <n v="389"/>
    <n v="0.21210000000000001"/>
    <x v="19"/>
    <x v="8"/>
    <n v="6"/>
    <x v="83"/>
    <x v="100"/>
    <x v="16"/>
    <n v="1"/>
    <x v="16"/>
    <b v="1"/>
    <x v="2"/>
    <x v="1"/>
    <x v="2"/>
    <x v="2"/>
    <x v="1"/>
  </r>
  <r>
    <n v="390"/>
    <n v="0.19700000000000001"/>
    <x v="33"/>
    <x v="5"/>
    <n v="4"/>
    <x v="28"/>
    <x v="68"/>
    <x v="16"/>
    <n v="1"/>
    <x v="17"/>
    <b v="1"/>
    <x v="2"/>
    <x v="0"/>
    <x v="2"/>
    <x v="2"/>
    <x v="0"/>
  </r>
  <r>
    <n v="391"/>
    <n v="0.16669999999999999"/>
    <x v="28"/>
    <x v="2"/>
    <n v="7"/>
    <x v="66"/>
    <x v="101"/>
    <x v="16"/>
    <n v="1"/>
    <x v="18"/>
    <b v="1"/>
    <x v="2"/>
    <x v="1"/>
    <x v="15"/>
    <x v="2"/>
    <x v="1"/>
  </r>
  <r>
    <n v="392"/>
    <n v="0.18179999999999999"/>
    <x v="29"/>
    <x v="5"/>
    <n v="2"/>
    <x v="29"/>
    <x v="122"/>
    <x v="16"/>
    <n v="1"/>
    <x v="19"/>
    <b v="1"/>
    <x v="2"/>
    <x v="2"/>
    <x v="15"/>
    <x v="2"/>
    <x v="2"/>
  </r>
  <r>
    <n v="393"/>
    <n v="0.1515"/>
    <x v="1"/>
    <x v="5"/>
    <n v="4"/>
    <x v="31"/>
    <x v="63"/>
    <x v="16"/>
    <n v="1"/>
    <x v="20"/>
    <b v="1"/>
    <x v="2"/>
    <x v="2"/>
    <x v="13"/>
    <x v="2"/>
    <x v="2"/>
  </r>
  <r>
    <n v="394"/>
    <n v="0.1515"/>
    <x v="1"/>
    <x v="5"/>
    <n v="3"/>
    <x v="9"/>
    <x v="110"/>
    <x v="16"/>
    <n v="1"/>
    <x v="21"/>
    <b v="1"/>
    <x v="2"/>
    <x v="2"/>
    <x v="13"/>
    <x v="2"/>
    <x v="2"/>
  </r>
  <r>
    <n v="395"/>
    <n v="0.1212"/>
    <x v="43"/>
    <x v="2"/>
    <n v="0"/>
    <x v="0"/>
    <x v="3"/>
    <x v="16"/>
    <n v="1"/>
    <x v="22"/>
    <b v="1"/>
    <x v="2"/>
    <x v="2"/>
    <x v="14"/>
    <x v="2"/>
    <x v="2"/>
  </r>
  <r>
    <n v="396"/>
    <n v="0.13639999999999999"/>
    <x v="3"/>
    <x v="3"/>
    <n v="1"/>
    <x v="35"/>
    <x v="48"/>
    <x v="16"/>
    <n v="1"/>
    <x v="23"/>
    <b v="1"/>
    <x v="2"/>
    <x v="2"/>
    <x v="13"/>
    <x v="2"/>
    <x v="2"/>
  </r>
  <r>
    <n v="397"/>
    <n v="0.18179999999999999"/>
    <x v="3"/>
    <x v="9"/>
    <n v="0"/>
    <x v="35"/>
    <x v="6"/>
    <x v="17"/>
    <n v="1"/>
    <x v="12"/>
    <b v="0"/>
    <x v="3"/>
    <x v="1"/>
    <x v="2"/>
    <x v="0"/>
    <x v="1"/>
  </r>
  <r>
    <n v="398"/>
    <n v="0.19700000000000001"/>
    <x v="3"/>
    <x v="6"/>
    <n v="0"/>
    <x v="97"/>
    <x v="34"/>
    <x v="17"/>
    <n v="1"/>
    <x v="13"/>
    <b v="0"/>
    <x v="3"/>
    <x v="1"/>
    <x v="2"/>
    <x v="0"/>
    <x v="1"/>
  </r>
  <r>
    <n v="399"/>
    <n v="0.2273"/>
    <x v="1"/>
    <x v="8"/>
    <n v="2"/>
    <x v="16"/>
    <x v="20"/>
    <x v="17"/>
    <n v="1"/>
    <x v="14"/>
    <b v="0"/>
    <x v="3"/>
    <x v="1"/>
    <x v="1"/>
    <x v="0"/>
    <x v="1"/>
  </r>
  <r>
    <n v="400"/>
    <n v="0.2273"/>
    <x v="9"/>
    <x v="8"/>
    <n v="3"/>
    <x v="1"/>
    <x v="17"/>
    <x v="17"/>
    <n v="1"/>
    <x v="15"/>
    <b v="0"/>
    <x v="3"/>
    <x v="1"/>
    <x v="1"/>
    <x v="0"/>
    <x v="1"/>
  </r>
  <r>
    <n v="401"/>
    <n v="0.2273"/>
    <x v="9"/>
    <x v="5"/>
    <n v="0"/>
    <x v="124"/>
    <x v="42"/>
    <x v="17"/>
    <n v="1"/>
    <x v="16"/>
    <b v="0"/>
    <x v="3"/>
    <x v="1"/>
    <x v="1"/>
    <x v="0"/>
    <x v="1"/>
  </r>
  <r>
    <n v="402"/>
    <n v="0.2273"/>
    <x v="7"/>
    <x v="5"/>
    <n v="1"/>
    <x v="125"/>
    <x v="139"/>
    <x v="17"/>
    <n v="1"/>
    <x v="17"/>
    <b v="0"/>
    <x v="3"/>
    <x v="1"/>
    <x v="1"/>
    <x v="0"/>
    <x v="1"/>
  </r>
  <r>
    <n v="403"/>
    <n v="0.2273"/>
    <x v="1"/>
    <x v="8"/>
    <n v="1"/>
    <x v="126"/>
    <x v="140"/>
    <x v="17"/>
    <n v="1"/>
    <x v="18"/>
    <b v="0"/>
    <x v="3"/>
    <x v="1"/>
    <x v="1"/>
    <x v="0"/>
    <x v="1"/>
  </r>
  <r>
    <n v="404"/>
    <n v="0.2273"/>
    <x v="1"/>
    <x v="7"/>
    <n v="1"/>
    <x v="52"/>
    <x v="111"/>
    <x v="17"/>
    <n v="1"/>
    <x v="19"/>
    <b v="0"/>
    <x v="3"/>
    <x v="1"/>
    <x v="1"/>
    <x v="0"/>
    <x v="1"/>
  </r>
  <r>
    <n v="405"/>
    <n v="0.2727"/>
    <x v="9"/>
    <x v="0"/>
    <n v="0"/>
    <x v="93"/>
    <x v="56"/>
    <x v="17"/>
    <n v="1"/>
    <x v="20"/>
    <b v="0"/>
    <x v="3"/>
    <x v="1"/>
    <x v="1"/>
    <x v="0"/>
    <x v="1"/>
  </r>
  <r>
    <n v="406"/>
    <n v="0.2424"/>
    <x v="43"/>
    <x v="14"/>
    <n v="0"/>
    <x v="40"/>
    <x v="102"/>
    <x v="17"/>
    <n v="1"/>
    <x v="21"/>
    <b v="0"/>
    <x v="3"/>
    <x v="1"/>
    <x v="1"/>
    <x v="0"/>
    <x v="1"/>
  </r>
  <r>
    <n v="407"/>
    <n v="0.2576"/>
    <x v="43"/>
    <x v="1"/>
    <n v="0"/>
    <x v="39"/>
    <x v="63"/>
    <x v="17"/>
    <n v="1"/>
    <x v="22"/>
    <b v="0"/>
    <x v="3"/>
    <x v="1"/>
    <x v="1"/>
    <x v="0"/>
    <x v="1"/>
  </r>
  <r>
    <n v="408"/>
    <n v="0.2727"/>
    <x v="43"/>
    <x v="0"/>
    <n v="1"/>
    <x v="23"/>
    <x v="25"/>
    <x v="17"/>
    <n v="1"/>
    <x v="23"/>
    <b v="0"/>
    <x v="3"/>
    <x v="1"/>
    <x v="1"/>
    <x v="0"/>
    <x v="1"/>
  </r>
  <r>
    <n v="409"/>
    <n v="0.2727"/>
    <x v="43"/>
    <x v="0"/>
    <n v="0"/>
    <x v="35"/>
    <x v="6"/>
    <x v="18"/>
    <n v="1"/>
    <x v="0"/>
    <b v="0"/>
    <x v="4"/>
    <x v="1"/>
    <x v="1"/>
    <x v="0"/>
    <x v="1"/>
  </r>
  <r>
    <n v="410"/>
    <n v="0.2273"/>
    <x v="43"/>
    <x v="7"/>
    <n v="1"/>
    <x v="8"/>
    <x v="85"/>
    <x v="18"/>
    <n v="1"/>
    <x v="1"/>
    <b v="0"/>
    <x v="4"/>
    <x v="2"/>
    <x v="1"/>
    <x v="0"/>
    <x v="2"/>
  </r>
  <r>
    <n v="411"/>
    <n v="0.2273"/>
    <x v="43"/>
    <x v="7"/>
    <n v="0"/>
    <x v="35"/>
    <x v="6"/>
    <x v="18"/>
    <n v="1"/>
    <x v="2"/>
    <b v="0"/>
    <x v="4"/>
    <x v="2"/>
    <x v="1"/>
    <x v="0"/>
    <x v="2"/>
  </r>
  <r>
    <n v="412"/>
    <n v="0.2273"/>
    <x v="43"/>
    <x v="7"/>
    <n v="1"/>
    <x v="4"/>
    <x v="5"/>
    <x v="18"/>
    <n v="1"/>
    <x v="4"/>
    <b v="0"/>
    <x v="4"/>
    <x v="2"/>
    <x v="1"/>
    <x v="0"/>
    <x v="2"/>
  </r>
  <r>
    <n v="413"/>
    <n v="0.2576"/>
    <x v="43"/>
    <x v="1"/>
    <n v="0"/>
    <x v="7"/>
    <x v="85"/>
    <x v="18"/>
    <n v="1"/>
    <x v="5"/>
    <b v="0"/>
    <x v="4"/>
    <x v="1"/>
    <x v="1"/>
    <x v="0"/>
    <x v="1"/>
  </r>
  <r>
    <n v="414"/>
    <n v="0.2576"/>
    <x v="43"/>
    <x v="1"/>
    <n v="0"/>
    <x v="1"/>
    <x v="2"/>
    <x v="18"/>
    <n v="1"/>
    <x v="6"/>
    <b v="0"/>
    <x v="4"/>
    <x v="1"/>
    <x v="1"/>
    <x v="0"/>
    <x v="1"/>
  </r>
  <r>
    <n v="415"/>
    <n v="0.2576"/>
    <x v="50"/>
    <x v="14"/>
    <n v="1"/>
    <x v="121"/>
    <x v="127"/>
    <x v="18"/>
    <n v="1"/>
    <x v="7"/>
    <b v="0"/>
    <x v="4"/>
    <x v="1"/>
    <x v="0"/>
    <x v="0"/>
    <x v="1"/>
  </r>
  <r>
    <n v="416"/>
    <n v="0.2576"/>
    <x v="43"/>
    <x v="14"/>
    <n v="1"/>
    <x v="127"/>
    <x v="141"/>
    <x v="18"/>
    <n v="1"/>
    <x v="8"/>
    <b v="0"/>
    <x v="4"/>
    <x v="1"/>
    <x v="0"/>
    <x v="0"/>
    <x v="1"/>
  </r>
  <r>
    <n v="417"/>
    <n v="0.2576"/>
    <x v="43"/>
    <x v="14"/>
    <n v="2"/>
    <x v="128"/>
    <x v="142"/>
    <x v="18"/>
    <n v="1"/>
    <x v="9"/>
    <b v="0"/>
    <x v="4"/>
    <x v="1"/>
    <x v="0"/>
    <x v="0"/>
    <x v="1"/>
  </r>
  <r>
    <n v="418"/>
    <n v="0.2727"/>
    <x v="43"/>
    <x v="7"/>
    <n v="1"/>
    <x v="24"/>
    <x v="105"/>
    <x v="18"/>
    <n v="1"/>
    <x v="10"/>
    <b v="0"/>
    <x v="4"/>
    <x v="1"/>
    <x v="12"/>
    <x v="0"/>
    <x v="1"/>
  </r>
  <r>
    <n v="419"/>
    <n v="0.30299999999999999"/>
    <x v="9"/>
    <x v="1"/>
    <n v="5"/>
    <x v="12"/>
    <x v="46"/>
    <x v="18"/>
    <n v="1"/>
    <x v="11"/>
    <b v="0"/>
    <x v="4"/>
    <x v="1"/>
    <x v="17"/>
    <x v="0"/>
    <x v="1"/>
  </r>
  <r>
    <n v="420"/>
    <n v="0.31819999999999998"/>
    <x v="0"/>
    <x v="1"/>
    <n v="5"/>
    <x v="65"/>
    <x v="27"/>
    <x v="18"/>
    <n v="1"/>
    <x v="12"/>
    <b v="0"/>
    <x v="4"/>
    <x v="1"/>
    <x v="11"/>
    <x v="0"/>
    <x v="1"/>
  </r>
  <r>
    <n v="421"/>
    <n v="0.40910000000000002"/>
    <x v="51"/>
    <x v="3"/>
    <n v="11"/>
    <x v="28"/>
    <x v="53"/>
    <x v="18"/>
    <n v="1"/>
    <x v="13"/>
    <b v="0"/>
    <x v="4"/>
    <x v="0"/>
    <x v="9"/>
    <x v="0"/>
    <x v="0"/>
  </r>
  <r>
    <n v="422"/>
    <n v="0.40910000000000002"/>
    <x v="52"/>
    <x v="2"/>
    <n v="7"/>
    <x v="56"/>
    <x v="28"/>
    <x v="18"/>
    <n v="1"/>
    <x v="14"/>
    <b v="0"/>
    <x v="4"/>
    <x v="0"/>
    <x v="9"/>
    <x v="0"/>
    <x v="0"/>
  </r>
  <r>
    <n v="423"/>
    <n v="0.40910000000000002"/>
    <x v="47"/>
    <x v="3"/>
    <n v="4"/>
    <x v="78"/>
    <x v="100"/>
    <x v="18"/>
    <n v="1"/>
    <x v="15"/>
    <b v="0"/>
    <x v="4"/>
    <x v="0"/>
    <x v="9"/>
    <x v="0"/>
    <x v="0"/>
  </r>
  <r>
    <n v="424"/>
    <n v="0.39389999999999997"/>
    <x v="52"/>
    <x v="13"/>
    <n v="10"/>
    <x v="111"/>
    <x v="133"/>
    <x v="18"/>
    <n v="1"/>
    <x v="16"/>
    <b v="0"/>
    <x v="4"/>
    <x v="0"/>
    <x v="4"/>
    <x v="0"/>
    <x v="0"/>
  </r>
  <r>
    <n v="425"/>
    <n v="0.33329999999999999"/>
    <x v="14"/>
    <x v="9"/>
    <n v="7"/>
    <x v="84"/>
    <x v="141"/>
    <x v="18"/>
    <n v="1"/>
    <x v="17"/>
    <b v="0"/>
    <x v="4"/>
    <x v="0"/>
    <x v="5"/>
    <x v="0"/>
    <x v="0"/>
  </r>
  <r>
    <n v="426"/>
    <n v="0.31819999999999998"/>
    <x v="53"/>
    <x v="3"/>
    <n v="5"/>
    <x v="117"/>
    <x v="143"/>
    <x v="18"/>
    <n v="1"/>
    <x v="18"/>
    <b v="0"/>
    <x v="4"/>
    <x v="0"/>
    <x v="10"/>
    <x v="0"/>
    <x v="0"/>
  </r>
  <r>
    <n v="427"/>
    <n v="0.28789999999999999"/>
    <x v="14"/>
    <x v="12"/>
    <n v="4"/>
    <x v="123"/>
    <x v="59"/>
    <x v="18"/>
    <n v="1"/>
    <x v="19"/>
    <b v="0"/>
    <x v="4"/>
    <x v="0"/>
    <x v="3"/>
    <x v="0"/>
    <x v="0"/>
  </r>
  <r>
    <n v="428"/>
    <n v="0.30299999999999999"/>
    <x v="36"/>
    <x v="4"/>
    <n v="2"/>
    <x v="64"/>
    <x v="31"/>
    <x v="18"/>
    <n v="1"/>
    <x v="20"/>
    <b v="0"/>
    <x v="4"/>
    <x v="0"/>
    <x v="3"/>
    <x v="0"/>
    <x v="0"/>
  </r>
  <r>
    <n v="429"/>
    <n v="0.28789999999999999"/>
    <x v="36"/>
    <x v="12"/>
    <n v="4"/>
    <x v="11"/>
    <x v="29"/>
    <x v="18"/>
    <n v="1"/>
    <x v="21"/>
    <b v="0"/>
    <x v="4"/>
    <x v="0"/>
    <x v="3"/>
    <x v="0"/>
    <x v="0"/>
  </r>
  <r>
    <n v="430"/>
    <n v="0.30299999999999999"/>
    <x v="35"/>
    <x v="8"/>
    <n v="6"/>
    <x v="42"/>
    <x v="29"/>
    <x v="18"/>
    <n v="1"/>
    <x v="22"/>
    <b v="0"/>
    <x v="4"/>
    <x v="0"/>
    <x v="11"/>
    <x v="0"/>
    <x v="0"/>
  </r>
  <r>
    <n v="431"/>
    <n v="0.2727"/>
    <x v="35"/>
    <x v="17"/>
    <n v="1"/>
    <x v="2"/>
    <x v="20"/>
    <x v="18"/>
    <n v="1"/>
    <x v="23"/>
    <b v="0"/>
    <x v="4"/>
    <x v="0"/>
    <x v="11"/>
    <x v="0"/>
    <x v="0"/>
  </r>
  <r>
    <n v="432"/>
    <n v="0.2273"/>
    <x v="34"/>
    <x v="13"/>
    <n v="5"/>
    <x v="21"/>
    <x v="3"/>
    <x v="19"/>
    <n v="1"/>
    <x v="0"/>
    <b v="0"/>
    <x v="5"/>
    <x v="0"/>
    <x v="12"/>
    <x v="0"/>
    <x v="0"/>
  </r>
  <r>
    <n v="433"/>
    <n v="0.2727"/>
    <x v="34"/>
    <x v="0"/>
    <n v="2"/>
    <x v="35"/>
    <x v="36"/>
    <x v="19"/>
    <n v="1"/>
    <x v="1"/>
    <b v="0"/>
    <x v="5"/>
    <x v="0"/>
    <x v="12"/>
    <x v="0"/>
    <x v="0"/>
  </r>
  <r>
    <n v="434"/>
    <n v="0.2727"/>
    <x v="34"/>
    <x v="0"/>
    <n v="0"/>
    <x v="6"/>
    <x v="5"/>
    <x v="19"/>
    <n v="1"/>
    <x v="2"/>
    <b v="0"/>
    <x v="5"/>
    <x v="0"/>
    <x v="12"/>
    <x v="0"/>
    <x v="0"/>
  </r>
  <r>
    <n v="435"/>
    <n v="0.2576"/>
    <x v="34"/>
    <x v="8"/>
    <n v="0"/>
    <x v="4"/>
    <x v="4"/>
    <x v="19"/>
    <n v="1"/>
    <x v="3"/>
    <b v="0"/>
    <x v="5"/>
    <x v="0"/>
    <x v="12"/>
    <x v="0"/>
    <x v="0"/>
  </r>
  <r>
    <n v="436"/>
    <n v="0.2576"/>
    <x v="34"/>
    <x v="8"/>
    <n v="0"/>
    <x v="4"/>
    <x v="4"/>
    <x v="19"/>
    <n v="1"/>
    <x v="4"/>
    <b v="0"/>
    <x v="5"/>
    <x v="0"/>
    <x v="12"/>
    <x v="0"/>
    <x v="0"/>
  </r>
  <r>
    <n v="437"/>
    <n v="0.2273"/>
    <x v="54"/>
    <x v="6"/>
    <n v="0"/>
    <x v="8"/>
    <x v="24"/>
    <x v="19"/>
    <n v="1"/>
    <x v="5"/>
    <b v="0"/>
    <x v="5"/>
    <x v="0"/>
    <x v="0"/>
    <x v="0"/>
    <x v="0"/>
  </r>
  <r>
    <n v="438"/>
    <n v="0.21210000000000001"/>
    <x v="54"/>
    <x v="6"/>
    <n v="0"/>
    <x v="96"/>
    <x v="17"/>
    <x v="19"/>
    <n v="1"/>
    <x v="6"/>
    <b v="0"/>
    <x v="5"/>
    <x v="0"/>
    <x v="1"/>
    <x v="0"/>
    <x v="0"/>
  </r>
  <r>
    <n v="439"/>
    <n v="0.21210000000000001"/>
    <x v="28"/>
    <x v="6"/>
    <n v="1"/>
    <x v="129"/>
    <x v="129"/>
    <x v="19"/>
    <n v="1"/>
    <x v="7"/>
    <b v="0"/>
    <x v="5"/>
    <x v="0"/>
    <x v="1"/>
    <x v="0"/>
    <x v="0"/>
  </r>
  <r>
    <n v="440"/>
    <n v="0.21210000000000001"/>
    <x v="28"/>
    <x v="3"/>
    <n v="2"/>
    <x v="130"/>
    <x v="144"/>
    <x v="19"/>
    <n v="1"/>
    <x v="8"/>
    <b v="0"/>
    <x v="5"/>
    <x v="0"/>
    <x v="1"/>
    <x v="0"/>
    <x v="0"/>
  </r>
  <r>
    <n v="441"/>
    <n v="0.2273"/>
    <x v="35"/>
    <x v="6"/>
    <n v="3"/>
    <x v="131"/>
    <x v="145"/>
    <x v="19"/>
    <n v="1"/>
    <x v="9"/>
    <b v="0"/>
    <x v="5"/>
    <x v="1"/>
    <x v="0"/>
    <x v="0"/>
    <x v="1"/>
  </r>
  <r>
    <n v="442"/>
    <n v="0.2273"/>
    <x v="37"/>
    <x v="4"/>
    <n v="1"/>
    <x v="90"/>
    <x v="52"/>
    <x v="19"/>
    <n v="1"/>
    <x v="10"/>
    <b v="0"/>
    <x v="5"/>
    <x v="0"/>
    <x v="12"/>
    <x v="0"/>
    <x v="0"/>
  </r>
  <r>
    <n v="443"/>
    <n v="0.2727"/>
    <x v="49"/>
    <x v="8"/>
    <n v="5"/>
    <x v="36"/>
    <x v="118"/>
    <x v="19"/>
    <n v="1"/>
    <x v="11"/>
    <b v="0"/>
    <x v="5"/>
    <x v="1"/>
    <x v="17"/>
    <x v="0"/>
    <x v="1"/>
  </r>
  <r>
    <n v="444"/>
    <n v="0.33329999999999999"/>
    <x v="16"/>
    <x v="0"/>
    <n v="7"/>
    <x v="99"/>
    <x v="11"/>
    <x v="19"/>
    <n v="1"/>
    <x v="12"/>
    <b v="0"/>
    <x v="5"/>
    <x v="1"/>
    <x v="11"/>
    <x v="0"/>
    <x v="1"/>
  </r>
  <r>
    <n v="445"/>
    <n v="0.28789999999999999"/>
    <x v="49"/>
    <x v="14"/>
    <n v="12"/>
    <x v="132"/>
    <x v="95"/>
    <x v="19"/>
    <n v="1"/>
    <x v="13"/>
    <b v="0"/>
    <x v="5"/>
    <x v="1"/>
    <x v="17"/>
    <x v="0"/>
    <x v="1"/>
  </r>
  <r>
    <n v="446"/>
    <n v="0.30299999999999999"/>
    <x v="49"/>
    <x v="7"/>
    <n v="6"/>
    <x v="102"/>
    <x v="117"/>
    <x v="19"/>
    <n v="1"/>
    <x v="14"/>
    <b v="0"/>
    <x v="5"/>
    <x v="1"/>
    <x v="11"/>
    <x v="0"/>
    <x v="1"/>
  </r>
  <r>
    <n v="447"/>
    <n v="0.31819999999999998"/>
    <x v="49"/>
    <x v="5"/>
    <n v="8"/>
    <x v="133"/>
    <x v="27"/>
    <x v="19"/>
    <n v="1"/>
    <x v="15"/>
    <b v="0"/>
    <x v="5"/>
    <x v="1"/>
    <x v="3"/>
    <x v="0"/>
    <x v="1"/>
  </r>
  <r>
    <n v="448"/>
    <n v="0.30299999999999999"/>
    <x v="36"/>
    <x v="7"/>
    <n v="8"/>
    <x v="93"/>
    <x v="134"/>
    <x v="19"/>
    <n v="1"/>
    <x v="16"/>
    <b v="0"/>
    <x v="5"/>
    <x v="1"/>
    <x v="11"/>
    <x v="0"/>
    <x v="1"/>
  </r>
  <r>
    <n v="449"/>
    <n v="0.31819999999999998"/>
    <x v="36"/>
    <x v="14"/>
    <n v="8"/>
    <x v="134"/>
    <x v="146"/>
    <x v="19"/>
    <n v="1"/>
    <x v="17"/>
    <b v="0"/>
    <x v="5"/>
    <x v="1"/>
    <x v="11"/>
    <x v="0"/>
    <x v="1"/>
  </r>
  <r>
    <n v="450"/>
    <n v="0.2576"/>
    <x v="34"/>
    <x v="5"/>
    <n v="1"/>
    <x v="103"/>
    <x v="147"/>
    <x v="19"/>
    <n v="1"/>
    <x v="18"/>
    <b v="0"/>
    <x v="5"/>
    <x v="1"/>
    <x v="12"/>
    <x v="0"/>
    <x v="1"/>
  </r>
  <r>
    <n v="451"/>
    <n v="0.2273"/>
    <x v="34"/>
    <x v="9"/>
    <n v="6"/>
    <x v="44"/>
    <x v="148"/>
    <x v="19"/>
    <n v="1"/>
    <x v="19"/>
    <b v="0"/>
    <x v="5"/>
    <x v="0"/>
    <x v="12"/>
    <x v="0"/>
    <x v="0"/>
  </r>
  <r>
    <n v="452"/>
    <n v="0.2424"/>
    <x v="54"/>
    <x v="3"/>
    <n v="2"/>
    <x v="125"/>
    <x v="149"/>
    <x v="19"/>
    <n v="1"/>
    <x v="20"/>
    <b v="0"/>
    <x v="5"/>
    <x v="1"/>
    <x v="12"/>
    <x v="0"/>
    <x v="1"/>
  </r>
  <r>
    <n v="453"/>
    <n v="0.2273"/>
    <x v="54"/>
    <x v="2"/>
    <n v="3"/>
    <x v="25"/>
    <x v="52"/>
    <x v="19"/>
    <n v="1"/>
    <x v="21"/>
    <b v="0"/>
    <x v="5"/>
    <x v="1"/>
    <x v="0"/>
    <x v="0"/>
    <x v="1"/>
  </r>
  <r>
    <n v="454"/>
    <n v="0.21210000000000001"/>
    <x v="55"/>
    <x v="3"/>
    <n v="0"/>
    <x v="90"/>
    <x v="10"/>
    <x v="19"/>
    <n v="1"/>
    <x v="22"/>
    <b v="0"/>
    <x v="5"/>
    <x v="1"/>
    <x v="0"/>
    <x v="0"/>
    <x v="1"/>
  </r>
  <r>
    <n v="455"/>
    <n v="0.21210000000000001"/>
    <x v="55"/>
    <x v="9"/>
    <n v="3"/>
    <x v="95"/>
    <x v="35"/>
    <x v="19"/>
    <n v="1"/>
    <x v="23"/>
    <b v="0"/>
    <x v="5"/>
    <x v="1"/>
    <x v="0"/>
    <x v="0"/>
    <x v="1"/>
  </r>
  <r>
    <n v="456"/>
    <n v="0.2273"/>
    <x v="56"/>
    <x v="2"/>
    <n v="1"/>
    <x v="32"/>
    <x v="137"/>
    <x v="20"/>
    <n v="1"/>
    <x v="0"/>
    <b v="0"/>
    <x v="6"/>
    <x v="1"/>
    <x v="0"/>
    <x v="0"/>
    <x v="1"/>
  </r>
  <r>
    <n v="457"/>
    <n v="0.2273"/>
    <x v="56"/>
    <x v="2"/>
    <n v="0"/>
    <x v="8"/>
    <x v="24"/>
    <x v="20"/>
    <n v="1"/>
    <x v="1"/>
    <b v="0"/>
    <x v="6"/>
    <x v="1"/>
    <x v="0"/>
    <x v="0"/>
    <x v="1"/>
  </r>
  <r>
    <n v="458"/>
    <n v="0.2424"/>
    <x v="2"/>
    <x v="8"/>
    <n v="0"/>
    <x v="6"/>
    <x v="5"/>
    <x v="20"/>
    <n v="1"/>
    <x v="2"/>
    <b v="0"/>
    <x v="6"/>
    <x v="2"/>
    <x v="0"/>
    <x v="0"/>
    <x v="2"/>
  </r>
  <r>
    <n v="459"/>
    <n v="0.21210000000000001"/>
    <x v="1"/>
    <x v="4"/>
    <n v="0"/>
    <x v="4"/>
    <x v="4"/>
    <x v="20"/>
    <n v="1"/>
    <x v="3"/>
    <b v="0"/>
    <x v="6"/>
    <x v="2"/>
    <x v="1"/>
    <x v="0"/>
    <x v="2"/>
  </r>
  <r>
    <n v="460"/>
    <n v="0.2576"/>
    <x v="9"/>
    <x v="1"/>
    <n v="0"/>
    <x v="4"/>
    <x v="4"/>
    <x v="20"/>
    <n v="1"/>
    <x v="4"/>
    <b v="0"/>
    <x v="6"/>
    <x v="1"/>
    <x v="1"/>
    <x v="0"/>
    <x v="1"/>
  </r>
  <r>
    <n v="461"/>
    <n v="0.19700000000000001"/>
    <x v="54"/>
    <x v="12"/>
    <n v="1"/>
    <x v="22"/>
    <x v="36"/>
    <x v="20"/>
    <n v="1"/>
    <x v="5"/>
    <b v="0"/>
    <x v="6"/>
    <x v="0"/>
    <x v="0"/>
    <x v="0"/>
    <x v="0"/>
  </r>
  <r>
    <n v="462"/>
    <n v="0.21210000000000001"/>
    <x v="28"/>
    <x v="2"/>
    <n v="0"/>
    <x v="2"/>
    <x v="110"/>
    <x v="20"/>
    <n v="1"/>
    <x v="6"/>
    <b v="0"/>
    <x v="6"/>
    <x v="0"/>
    <x v="1"/>
    <x v="0"/>
    <x v="0"/>
  </r>
  <r>
    <n v="463"/>
    <n v="0.18179999999999999"/>
    <x v="33"/>
    <x v="3"/>
    <n v="2"/>
    <x v="43"/>
    <x v="118"/>
    <x v="20"/>
    <n v="1"/>
    <x v="7"/>
    <b v="0"/>
    <x v="6"/>
    <x v="0"/>
    <x v="2"/>
    <x v="0"/>
    <x v="0"/>
  </r>
  <r>
    <n v="464"/>
    <n v="0.18179999999999999"/>
    <x v="19"/>
    <x v="9"/>
    <n v="7"/>
    <x v="135"/>
    <x v="112"/>
    <x v="20"/>
    <n v="1"/>
    <x v="8"/>
    <b v="0"/>
    <x v="6"/>
    <x v="0"/>
    <x v="2"/>
    <x v="0"/>
    <x v="0"/>
  </r>
  <r>
    <n v="465"/>
    <n v="0.18179999999999999"/>
    <x v="33"/>
    <x v="11"/>
    <n v="7"/>
    <x v="136"/>
    <x v="150"/>
    <x v="20"/>
    <n v="1"/>
    <x v="9"/>
    <b v="0"/>
    <x v="6"/>
    <x v="0"/>
    <x v="2"/>
    <x v="0"/>
    <x v="0"/>
  </r>
  <r>
    <n v="466"/>
    <n v="0.16669999999999999"/>
    <x v="19"/>
    <x v="17"/>
    <n v="6"/>
    <x v="77"/>
    <x v="55"/>
    <x v="20"/>
    <n v="1"/>
    <x v="10"/>
    <b v="0"/>
    <x v="6"/>
    <x v="0"/>
    <x v="2"/>
    <x v="0"/>
    <x v="0"/>
  </r>
  <r>
    <n v="467"/>
    <n v="0.18179999999999999"/>
    <x v="48"/>
    <x v="17"/>
    <n v="6"/>
    <x v="42"/>
    <x v="29"/>
    <x v="20"/>
    <n v="1"/>
    <x v="11"/>
    <b v="0"/>
    <x v="6"/>
    <x v="0"/>
    <x v="1"/>
    <x v="0"/>
    <x v="0"/>
  </r>
  <r>
    <n v="468"/>
    <n v="0.18179999999999999"/>
    <x v="57"/>
    <x v="19"/>
    <n v="11"/>
    <x v="28"/>
    <x v="53"/>
    <x v="20"/>
    <n v="1"/>
    <x v="12"/>
    <b v="0"/>
    <x v="6"/>
    <x v="0"/>
    <x v="1"/>
    <x v="0"/>
    <x v="0"/>
  </r>
  <r>
    <n v="469"/>
    <n v="0.1515"/>
    <x v="58"/>
    <x v="19"/>
    <n v="8"/>
    <x v="65"/>
    <x v="88"/>
    <x v="20"/>
    <n v="1"/>
    <x v="13"/>
    <b v="0"/>
    <x v="6"/>
    <x v="0"/>
    <x v="2"/>
    <x v="0"/>
    <x v="0"/>
  </r>
  <r>
    <n v="470"/>
    <n v="0.1515"/>
    <x v="59"/>
    <x v="18"/>
    <n v="6"/>
    <x v="90"/>
    <x v="69"/>
    <x v="20"/>
    <n v="1"/>
    <x v="14"/>
    <b v="0"/>
    <x v="6"/>
    <x v="0"/>
    <x v="2"/>
    <x v="0"/>
    <x v="0"/>
  </r>
  <r>
    <n v="471"/>
    <n v="0.1212"/>
    <x v="60"/>
    <x v="10"/>
    <n v="4"/>
    <x v="124"/>
    <x v="32"/>
    <x v="20"/>
    <n v="1"/>
    <x v="15"/>
    <b v="0"/>
    <x v="6"/>
    <x v="0"/>
    <x v="13"/>
    <x v="0"/>
    <x v="0"/>
  </r>
  <r>
    <n v="472"/>
    <n v="0.13639999999999999"/>
    <x v="60"/>
    <x v="11"/>
    <n v="0"/>
    <x v="106"/>
    <x v="54"/>
    <x v="20"/>
    <n v="1"/>
    <x v="16"/>
    <b v="0"/>
    <x v="6"/>
    <x v="0"/>
    <x v="13"/>
    <x v="0"/>
    <x v="0"/>
  </r>
  <r>
    <n v="473"/>
    <n v="0.1212"/>
    <x v="40"/>
    <x v="11"/>
    <n v="10"/>
    <x v="137"/>
    <x v="143"/>
    <x v="20"/>
    <n v="1"/>
    <x v="17"/>
    <b v="0"/>
    <x v="6"/>
    <x v="0"/>
    <x v="14"/>
    <x v="0"/>
    <x v="0"/>
  </r>
  <r>
    <n v="474"/>
    <n v="0.1212"/>
    <x v="24"/>
    <x v="2"/>
    <n v="1"/>
    <x v="138"/>
    <x v="151"/>
    <x v="20"/>
    <n v="1"/>
    <x v="18"/>
    <b v="0"/>
    <x v="6"/>
    <x v="0"/>
    <x v="16"/>
    <x v="0"/>
    <x v="0"/>
  </r>
  <r>
    <n v="475"/>
    <n v="0.1061"/>
    <x v="24"/>
    <x v="9"/>
    <n v="3"/>
    <x v="139"/>
    <x v="152"/>
    <x v="20"/>
    <n v="1"/>
    <x v="19"/>
    <b v="0"/>
    <x v="6"/>
    <x v="0"/>
    <x v="16"/>
    <x v="0"/>
    <x v="0"/>
  </r>
  <r>
    <n v="476"/>
    <n v="7.5800000000000006E-2"/>
    <x v="39"/>
    <x v="12"/>
    <n v="1"/>
    <x v="15"/>
    <x v="26"/>
    <x v="20"/>
    <n v="1"/>
    <x v="20"/>
    <b v="0"/>
    <x v="6"/>
    <x v="0"/>
    <x v="18"/>
    <x v="0"/>
    <x v="0"/>
  </r>
  <r>
    <n v="477"/>
    <n v="7.5800000000000006E-2"/>
    <x v="41"/>
    <x v="3"/>
    <n v="0"/>
    <x v="40"/>
    <x v="102"/>
    <x v="20"/>
    <n v="1"/>
    <x v="21"/>
    <b v="0"/>
    <x v="6"/>
    <x v="0"/>
    <x v="19"/>
    <x v="0"/>
    <x v="0"/>
  </r>
  <r>
    <n v="478"/>
    <n v="3.0300000000000001E-2"/>
    <x v="48"/>
    <x v="13"/>
    <n v="1"/>
    <x v="39"/>
    <x v="19"/>
    <x v="20"/>
    <n v="1"/>
    <x v="22"/>
    <b v="0"/>
    <x v="6"/>
    <x v="0"/>
    <x v="20"/>
    <x v="0"/>
    <x v="0"/>
  </r>
  <r>
    <n v="479"/>
    <n v="4.5499999999999999E-2"/>
    <x v="41"/>
    <x v="9"/>
    <n v="0"/>
    <x v="2"/>
    <x v="110"/>
    <x v="20"/>
    <n v="1"/>
    <x v="23"/>
    <b v="0"/>
    <x v="6"/>
    <x v="0"/>
    <x v="20"/>
    <x v="0"/>
    <x v="0"/>
  </r>
  <r>
    <n v="480"/>
    <n v="3.0300000000000001E-2"/>
    <x v="49"/>
    <x v="2"/>
    <n v="0"/>
    <x v="0"/>
    <x v="3"/>
    <x v="21"/>
    <n v="1"/>
    <x v="0"/>
    <b v="0"/>
    <x v="0"/>
    <x v="0"/>
    <x v="21"/>
    <x v="0"/>
    <x v="0"/>
  </r>
  <r>
    <n v="481"/>
    <n v="0"/>
    <x v="48"/>
    <x v="13"/>
    <n v="3"/>
    <x v="33"/>
    <x v="47"/>
    <x v="21"/>
    <n v="1"/>
    <x v="1"/>
    <b v="0"/>
    <x v="0"/>
    <x v="1"/>
    <x v="21"/>
    <x v="0"/>
    <x v="1"/>
  </r>
  <r>
    <n v="482"/>
    <n v="3.0300000000000001E-2"/>
    <x v="48"/>
    <x v="2"/>
    <n v="0"/>
    <x v="48"/>
    <x v="62"/>
    <x v="21"/>
    <n v="1"/>
    <x v="2"/>
    <b v="0"/>
    <x v="0"/>
    <x v="1"/>
    <x v="21"/>
    <x v="0"/>
    <x v="1"/>
  </r>
  <r>
    <n v="483"/>
    <n v="3.0300000000000001E-2"/>
    <x v="48"/>
    <x v="3"/>
    <n v="1"/>
    <x v="8"/>
    <x v="85"/>
    <x v="21"/>
    <n v="1"/>
    <x v="3"/>
    <b v="0"/>
    <x v="0"/>
    <x v="1"/>
    <x v="21"/>
    <x v="0"/>
    <x v="1"/>
  </r>
  <r>
    <n v="484"/>
    <n v="1.52E-2"/>
    <x v="37"/>
    <x v="4"/>
    <n v="0"/>
    <x v="35"/>
    <x v="6"/>
    <x v="21"/>
    <n v="1"/>
    <x v="4"/>
    <b v="0"/>
    <x v="0"/>
    <x v="1"/>
    <x v="22"/>
    <x v="0"/>
    <x v="1"/>
  </r>
  <r>
    <n v="485"/>
    <n v="3.0300000000000001E-2"/>
    <x v="18"/>
    <x v="6"/>
    <n v="0"/>
    <x v="6"/>
    <x v="5"/>
    <x v="21"/>
    <n v="1"/>
    <x v="6"/>
    <b v="0"/>
    <x v="0"/>
    <x v="1"/>
    <x v="22"/>
    <x v="0"/>
    <x v="1"/>
  </r>
  <r>
    <n v="486"/>
    <n v="1.52E-2"/>
    <x v="18"/>
    <x v="3"/>
    <n v="0"/>
    <x v="21"/>
    <x v="7"/>
    <x v="21"/>
    <n v="1"/>
    <x v="7"/>
    <b v="0"/>
    <x v="0"/>
    <x v="0"/>
    <x v="22"/>
    <x v="0"/>
    <x v="0"/>
  </r>
  <r>
    <n v="487"/>
    <n v="0"/>
    <x v="18"/>
    <x v="9"/>
    <n v="1"/>
    <x v="16"/>
    <x v="110"/>
    <x v="21"/>
    <n v="1"/>
    <x v="8"/>
    <b v="0"/>
    <x v="0"/>
    <x v="0"/>
    <x v="22"/>
    <x v="0"/>
    <x v="0"/>
  </r>
  <r>
    <n v="488"/>
    <n v="3.0300000000000001E-2"/>
    <x v="48"/>
    <x v="2"/>
    <n v="3"/>
    <x v="53"/>
    <x v="1"/>
    <x v="21"/>
    <n v="1"/>
    <x v="9"/>
    <b v="0"/>
    <x v="0"/>
    <x v="0"/>
    <x v="21"/>
    <x v="0"/>
    <x v="0"/>
  </r>
  <r>
    <n v="489"/>
    <n v="6.0600000000000001E-2"/>
    <x v="48"/>
    <x v="8"/>
    <n v="3"/>
    <x v="54"/>
    <x v="26"/>
    <x v="21"/>
    <n v="1"/>
    <x v="10"/>
    <b v="0"/>
    <x v="0"/>
    <x v="1"/>
    <x v="21"/>
    <x v="0"/>
    <x v="1"/>
  </r>
  <r>
    <n v="490"/>
    <n v="7.5800000000000006E-2"/>
    <x v="41"/>
    <x v="7"/>
    <n v="4"/>
    <x v="79"/>
    <x v="55"/>
    <x v="21"/>
    <n v="1"/>
    <x v="11"/>
    <b v="0"/>
    <x v="0"/>
    <x v="1"/>
    <x v="20"/>
    <x v="0"/>
    <x v="1"/>
  </r>
  <r>
    <n v="491"/>
    <n v="0.1061"/>
    <x v="41"/>
    <x v="14"/>
    <n v="10"/>
    <x v="91"/>
    <x v="27"/>
    <x v="21"/>
    <n v="1"/>
    <x v="12"/>
    <b v="0"/>
    <x v="0"/>
    <x v="1"/>
    <x v="20"/>
    <x v="0"/>
    <x v="1"/>
  </r>
  <r>
    <n v="492"/>
    <n v="0.16669999999999999"/>
    <x v="23"/>
    <x v="0"/>
    <n v="12"/>
    <x v="109"/>
    <x v="11"/>
    <x v="21"/>
    <n v="1"/>
    <x v="13"/>
    <b v="0"/>
    <x v="0"/>
    <x v="0"/>
    <x v="19"/>
    <x v="0"/>
    <x v="0"/>
  </r>
  <r>
    <n v="493"/>
    <n v="0.13639999999999999"/>
    <x v="39"/>
    <x v="14"/>
    <n v="11"/>
    <x v="27"/>
    <x v="28"/>
    <x v="21"/>
    <n v="1"/>
    <x v="14"/>
    <b v="0"/>
    <x v="0"/>
    <x v="0"/>
    <x v="18"/>
    <x v="0"/>
    <x v="0"/>
  </r>
  <r>
    <n v="494"/>
    <n v="0.1515"/>
    <x v="40"/>
    <x v="0"/>
    <n v="10"/>
    <x v="139"/>
    <x v="153"/>
    <x v="21"/>
    <n v="1"/>
    <x v="15"/>
    <b v="0"/>
    <x v="0"/>
    <x v="0"/>
    <x v="16"/>
    <x v="0"/>
    <x v="0"/>
  </r>
  <r>
    <n v="495"/>
    <n v="0.13639999999999999"/>
    <x v="40"/>
    <x v="5"/>
    <n v="11"/>
    <x v="109"/>
    <x v="56"/>
    <x v="21"/>
    <n v="1"/>
    <x v="16"/>
    <b v="0"/>
    <x v="0"/>
    <x v="0"/>
    <x v="16"/>
    <x v="0"/>
    <x v="0"/>
  </r>
  <r>
    <n v="496"/>
    <n v="0.19700000000000001"/>
    <x v="40"/>
    <x v="0"/>
    <n v="8"/>
    <x v="79"/>
    <x v="16"/>
    <x v="21"/>
    <n v="1"/>
    <x v="17"/>
    <b v="0"/>
    <x v="0"/>
    <x v="0"/>
    <x v="16"/>
    <x v="0"/>
    <x v="0"/>
  </r>
  <r>
    <n v="497"/>
    <n v="9.0899999999999995E-2"/>
    <x v="23"/>
    <x v="5"/>
    <n v="0"/>
    <x v="25"/>
    <x v="60"/>
    <x v="21"/>
    <n v="1"/>
    <x v="18"/>
    <b v="0"/>
    <x v="0"/>
    <x v="0"/>
    <x v="19"/>
    <x v="0"/>
    <x v="0"/>
  </r>
  <r>
    <n v="498"/>
    <n v="0.1061"/>
    <x v="23"/>
    <x v="7"/>
    <n v="6"/>
    <x v="42"/>
    <x v="29"/>
    <x v="21"/>
    <n v="1"/>
    <x v="19"/>
    <b v="0"/>
    <x v="0"/>
    <x v="0"/>
    <x v="19"/>
    <x v="0"/>
    <x v="0"/>
  </r>
  <r>
    <n v="499"/>
    <n v="7.5800000000000006E-2"/>
    <x v="49"/>
    <x v="8"/>
    <n v="1"/>
    <x v="100"/>
    <x v="79"/>
    <x v="21"/>
    <n v="1"/>
    <x v="20"/>
    <b v="0"/>
    <x v="0"/>
    <x v="0"/>
    <x v="20"/>
    <x v="0"/>
    <x v="0"/>
  </r>
  <r>
    <n v="500"/>
    <n v="0.1061"/>
    <x v="48"/>
    <x v="1"/>
    <n v="0"/>
    <x v="87"/>
    <x v="21"/>
    <x v="21"/>
    <n v="1"/>
    <x v="21"/>
    <b v="0"/>
    <x v="0"/>
    <x v="0"/>
    <x v="20"/>
    <x v="0"/>
    <x v="0"/>
  </r>
  <r>
    <n v="501"/>
    <n v="0.1515"/>
    <x v="36"/>
    <x v="0"/>
    <n v="7"/>
    <x v="140"/>
    <x v="33"/>
    <x v="21"/>
    <n v="1"/>
    <x v="22"/>
    <b v="0"/>
    <x v="0"/>
    <x v="0"/>
    <x v="20"/>
    <x v="0"/>
    <x v="0"/>
  </r>
  <r>
    <n v="502"/>
    <n v="7.5800000000000006E-2"/>
    <x v="14"/>
    <x v="14"/>
    <n v="2"/>
    <x v="17"/>
    <x v="63"/>
    <x v="21"/>
    <n v="1"/>
    <x v="23"/>
    <b v="0"/>
    <x v="0"/>
    <x v="0"/>
    <x v="21"/>
    <x v="0"/>
    <x v="0"/>
  </r>
  <r>
    <n v="503"/>
    <n v="7.5800000000000006E-2"/>
    <x v="14"/>
    <x v="14"/>
    <n v="2"/>
    <x v="32"/>
    <x v="34"/>
    <x v="22"/>
    <n v="1"/>
    <x v="0"/>
    <b v="1"/>
    <x v="1"/>
    <x v="0"/>
    <x v="21"/>
    <x v="1"/>
    <x v="0"/>
  </r>
  <r>
    <n v="504"/>
    <n v="7.5800000000000006E-2"/>
    <x v="14"/>
    <x v="14"/>
    <n v="1"/>
    <x v="98"/>
    <x v="3"/>
    <x v="22"/>
    <n v="1"/>
    <x v="1"/>
    <b v="1"/>
    <x v="1"/>
    <x v="0"/>
    <x v="21"/>
    <x v="1"/>
    <x v="0"/>
  </r>
  <r>
    <n v="505"/>
    <n v="6.0600000000000001E-2"/>
    <x v="51"/>
    <x v="7"/>
    <n v="3"/>
    <x v="89"/>
    <x v="109"/>
    <x v="22"/>
    <n v="1"/>
    <x v="2"/>
    <b v="1"/>
    <x v="1"/>
    <x v="0"/>
    <x v="22"/>
    <x v="1"/>
    <x v="0"/>
  </r>
  <r>
    <n v="506"/>
    <n v="6.0600000000000001E-2"/>
    <x v="51"/>
    <x v="7"/>
    <n v="1"/>
    <x v="22"/>
    <x v="36"/>
    <x v="22"/>
    <n v="1"/>
    <x v="3"/>
    <b v="1"/>
    <x v="1"/>
    <x v="0"/>
    <x v="22"/>
    <x v="1"/>
    <x v="0"/>
  </r>
  <r>
    <n v="507"/>
    <n v="7.5800000000000006E-2"/>
    <x v="14"/>
    <x v="14"/>
    <n v="0"/>
    <x v="35"/>
    <x v="6"/>
    <x v="22"/>
    <n v="1"/>
    <x v="5"/>
    <b v="1"/>
    <x v="1"/>
    <x v="1"/>
    <x v="21"/>
    <x v="1"/>
    <x v="1"/>
  </r>
  <r>
    <n v="508"/>
    <n v="7.5800000000000006E-2"/>
    <x v="14"/>
    <x v="14"/>
    <n v="0"/>
    <x v="4"/>
    <x v="4"/>
    <x v="22"/>
    <n v="1"/>
    <x v="6"/>
    <b v="1"/>
    <x v="1"/>
    <x v="1"/>
    <x v="21"/>
    <x v="1"/>
    <x v="1"/>
  </r>
  <r>
    <n v="509"/>
    <n v="0.1061"/>
    <x v="52"/>
    <x v="8"/>
    <n v="1"/>
    <x v="4"/>
    <x v="5"/>
    <x v="22"/>
    <n v="1"/>
    <x v="7"/>
    <b v="1"/>
    <x v="1"/>
    <x v="0"/>
    <x v="19"/>
    <x v="1"/>
    <x v="0"/>
  </r>
  <r>
    <n v="510"/>
    <n v="7.5800000000000006E-2"/>
    <x v="51"/>
    <x v="8"/>
    <n v="2"/>
    <x v="19"/>
    <x v="75"/>
    <x v="22"/>
    <n v="1"/>
    <x v="8"/>
    <b v="1"/>
    <x v="1"/>
    <x v="0"/>
    <x v="20"/>
    <x v="1"/>
    <x v="0"/>
  </r>
  <r>
    <n v="511"/>
    <n v="7.5800000000000006E-2"/>
    <x v="47"/>
    <x v="11"/>
    <n v="3"/>
    <x v="18"/>
    <x v="20"/>
    <x v="22"/>
    <n v="1"/>
    <x v="9"/>
    <b v="1"/>
    <x v="1"/>
    <x v="0"/>
    <x v="18"/>
    <x v="1"/>
    <x v="0"/>
  </r>
  <r>
    <n v="512"/>
    <n v="0.1061"/>
    <x v="15"/>
    <x v="13"/>
    <n v="7"/>
    <x v="82"/>
    <x v="154"/>
    <x v="22"/>
    <n v="1"/>
    <x v="10"/>
    <b v="1"/>
    <x v="1"/>
    <x v="0"/>
    <x v="14"/>
    <x v="1"/>
    <x v="0"/>
  </r>
  <r>
    <n v="513"/>
    <n v="0.13639999999999999"/>
    <x v="21"/>
    <x v="6"/>
    <n v="22"/>
    <x v="99"/>
    <x v="111"/>
    <x v="22"/>
    <n v="1"/>
    <x v="11"/>
    <b v="1"/>
    <x v="1"/>
    <x v="0"/>
    <x v="14"/>
    <x v="1"/>
    <x v="0"/>
  </r>
  <r>
    <n v="514"/>
    <n v="0.1212"/>
    <x v="38"/>
    <x v="17"/>
    <n v="24"/>
    <x v="50"/>
    <x v="155"/>
    <x v="22"/>
    <n v="1"/>
    <x v="12"/>
    <b v="1"/>
    <x v="1"/>
    <x v="0"/>
    <x v="13"/>
    <x v="1"/>
    <x v="0"/>
  </r>
  <r>
    <n v="515"/>
    <n v="0.1061"/>
    <x v="39"/>
    <x v="13"/>
    <n v="12"/>
    <x v="102"/>
    <x v="90"/>
    <x v="22"/>
    <n v="1"/>
    <x v="13"/>
    <b v="1"/>
    <x v="1"/>
    <x v="0"/>
    <x v="14"/>
    <x v="1"/>
    <x v="0"/>
  </r>
  <r>
    <n v="516"/>
    <n v="0.13639999999999999"/>
    <x v="40"/>
    <x v="11"/>
    <n v="17"/>
    <x v="139"/>
    <x v="14"/>
    <x v="22"/>
    <n v="1"/>
    <x v="14"/>
    <b v="1"/>
    <x v="1"/>
    <x v="0"/>
    <x v="13"/>
    <x v="1"/>
    <x v="0"/>
  </r>
  <r>
    <n v="517"/>
    <n v="0.13639999999999999"/>
    <x v="40"/>
    <x v="11"/>
    <n v="13"/>
    <x v="27"/>
    <x v="43"/>
    <x v="22"/>
    <n v="1"/>
    <x v="15"/>
    <b v="1"/>
    <x v="1"/>
    <x v="0"/>
    <x v="13"/>
    <x v="1"/>
    <x v="0"/>
  </r>
  <r>
    <n v="518"/>
    <n v="0.13639999999999999"/>
    <x v="60"/>
    <x v="9"/>
    <n v="9"/>
    <x v="90"/>
    <x v="32"/>
    <x v="22"/>
    <n v="1"/>
    <x v="16"/>
    <b v="1"/>
    <x v="1"/>
    <x v="0"/>
    <x v="13"/>
    <x v="1"/>
    <x v="0"/>
  </r>
  <r>
    <n v="519"/>
    <n v="0.1061"/>
    <x v="60"/>
    <x v="13"/>
    <n v="5"/>
    <x v="54"/>
    <x v="97"/>
    <x v="22"/>
    <n v="1"/>
    <x v="17"/>
    <b v="1"/>
    <x v="1"/>
    <x v="0"/>
    <x v="14"/>
    <x v="1"/>
    <x v="0"/>
  </r>
  <r>
    <n v="520"/>
    <n v="0.1212"/>
    <x v="24"/>
    <x v="2"/>
    <n v="5"/>
    <x v="100"/>
    <x v="99"/>
    <x v="22"/>
    <n v="1"/>
    <x v="18"/>
    <b v="1"/>
    <x v="1"/>
    <x v="0"/>
    <x v="16"/>
    <x v="1"/>
    <x v="0"/>
  </r>
  <r>
    <n v="521"/>
    <n v="0.1212"/>
    <x v="24"/>
    <x v="3"/>
    <n v="5"/>
    <x v="108"/>
    <x v="89"/>
    <x v="22"/>
    <n v="1"/>
    <x v="19"/>
    <b v="1"/>
    <x v="1"/>
    <x v="0"/>
    <x v="16"/>
    <x v="1"/>
    <x v="0"/>
  </r>
  <r>
    <n v="522"/>
    <n v="0.1061"/>
    <x v="42"/>
    <x v="2"/>
    <n v="4"/>
    <x v="17"/>
    <x v="17"/>
    <x v="22"/>
    <n v="1"/>
    <x v="20"/>
    <b v="1"/>
    <x v="1"/>
    <x v="0"/>
    <x v="18"/>
    <x v="1"/>
    <x v="0"/>
  </r>
  <r>
    <n v="523"/>
    <n v="0.1061"/>
    <x v="42"/>
    <x v="5"/>
    <n v="5"/>
    <x v="32"/>
    <x v="94"/>
    <x v="22"/>
    <n v="1"/>
    <x v="21"/>
    <b v="1"/>
    <x v="1"/>
    <x v="0"/>
    <x v="18"/>
    <x v="1"/>
    <x v="0"/>
  </r>
  <r>
    <n v="524"/>
    <n v="9.0899999999999995E-2"/>
    <x v="41"/>
    <x v="5"/>
    <n v="5"/>
    <x v="140"/>
    <x v="20"/>
    <x v="22"/>
    <n v="1"/>
    <x v="22"/>
    <b v="1"/>
    <x v="1"/>
    <x v="0"/>
    <x v="19"/>
    <x v="1"/>
    <x v="0"/>
  </r>
  <r>
    <n v="525"/>
    <n v="6.0600000000000001E-2"/>
    <x v="48"/>
    <x v="6"/>
    <n v="4"/>
    <x v="19"/>
    <x v="137"/>
    <x v="22"/>
    <n v="1"/>
    <x v="23"/>
    <b v="1"/>
    <x v="1"/>
    <x v="0"/>
    <x v="20"/>
    <x v="1"/>
    <x v="0"/>
  </r>
  <r>
    <n v="526"/>
    <n v="6.0600000000000001E-2"/>
    <x v="48"/>
    <x v="5"/>
    <n v="0"/>
    <x v="7"/>
    <x v="85"/>
    <x v="23"/>
    <n v="1"/>
    <x v="0"/>
    <b v="1"/>
    <x v="2"/>
    <x v="0"/>
    <x v="20"/>
    <x v="2"/>
    <x v="0"/>
  </r>
  <r>
    <n v="527"/>
    <n v="4.5499999999999999E-2"/>
    <x v="49"/>
    <x v="5"/>
    <n v="0"/>
    <x v="4"/>
    <x v="4"/>
    <x v="23"/>
    <n v="1"/>
    <x v="1"/>
    <b v="1"/>
    <x v="2"/>
    <x v="0"/>
    <x v="21"/>
    <x v="2"/>
    <x v="0"/>
  </r>
  <r>
    <n v="528"/>
    <n v="3.0300000000000001E-2"/>
    <x v="49"/>
    <x v="2"/>
    <n v="0"/>
    <x v="4"/>
    <x v="4"/>
    <x v="23"/>
    <n v="1"/>
    <x v="3"/>
    <b v="1"/>
    <x v="2"/>
    <x v="0"/>
    <x v="21"/>
    <x v="2"/>
    <x v="0"/>
  </r>
  <r>
    <n v="529"/>
    <n v="6.0600000000000001E-2"/>
    <x v="37"/>
    <x v="7"/>
    <n v="0"/>
    <x v="4"/>
    <x v="4"/>
    <x v="23"/>
    <n v="1"/>
    <x v="4"/>
    <b v="1"/>
    <x v="2"/>
    <x v="0"/>
    <x v="22"/>
    <x v="2"/>
    <x v="0"/>
  </r>
  <r>
    <n v="530"/>
    <n v="6.0600000000000001E-2"/>
    <x v="37"/>
    <x v="7"/>
    <n v="0"/>
    <x v="34"/>
    <x v="36"/>
    <x v="23"/>
    <n v="1"/>
    <x v="5"/>
    <b v="1"/>
    <x v="2"/>
    <x v="0"/>
    <x v="22"/>
    <x v="2"/>
    <x v="0"/>
  </r>
  <r>
    <n v="531"/>
    <n v="7.5800000000000006E-2"/>
    <x v="37"/>
    <x v="1"/>
    <n v="0"/>
    <x v="89"/>
    <x v="93"/>
    <x v="23"/>
    <n v="1"/>
    <x v="6"/>
    <b v="1"/>
    <x v="2"/>
    <x v="0"/>
    <x v="22"/>
    <x v="2"/>
    <x v="0"/>
  </r>
  <r>
    <n v="532"/>
    <n v="0.1212"/>
    <x v="37"/>
    <x v="0"/>
    <n v="5"/>
    <x v="55"/>
    <x v="11"/>
    <x v="23"/>
    <n v="1"/>
    <x v="7"/>
    <b v="1"/>
    <x v="2"/>
    <x v="0"/>
    <x v="22"/>
    <x v="2"/>
    <x v="0"/>
  </r>
  <r>
    <n v="533"/>
    <n v="0.13639999999999999"/>
    <x v="36"/>
    <x v="0"/>
    <n v="6"/>
    <x v="141"/>
    <x v="156"/>
    <x v="23"/>
    <n v="1"/>
    <x v="8"/>
    <b v="1"/>
    <x v="2"/>
    <x v="0"/>
    <x v="21"/>
    <x v="2"/>
    <x v="0"/>
  </r>
  <r>
    <n v="534"/>
    <n v="0.1515"/>
    <x v="48"/>
    <x v="0"/>
    <n v="4"/>
    <x v="52"/>
    <x v="96"/>
    <x v="23"/>
    <n v="1"/>
    <x v="9"/>
    <b v="1"/>
    <x v="2"/>
    <x v="0"/>
    <x v="20"/>
    <x v="2"/>
    <x v="0"/>
  </r>
  <r>
    <n v="535"/>
    <n v="0.13639999999999999"/>
    <x v="16"/>
    <x v="0"/>
    <n v="6"/>
    <x v="60"/>
    <x v="1"/>
    <x v="23"/>
    <n v="1"/>
    <x v="10"/>
    <b v="1"/>
    <x v="2"/>
    <x v="0"/>
    <x v="18"/>
    <x v="2"/>
    <x v="0"/>
  </r>
  <r>
    <n v="536"/>
    <n v="0.1212"/>
    <x v="15"/>
    <x v="7"/>
    <n v="3"/>
    <x v="30"/>
    <x v="66"/>
    <x v="23"/>
    <n v="1"/>
    <x v="11"/>
    <b v="1"/>
    <x v="2"/>
    <x v="0"/>
    <x v="18"/>
    <x v="2"/>
    <x v="0"/>
  </r>
  <r>
    <n v="537"/>
    <n v="0.13639999999999999"/>
    <x v="16"/>
    <x v="5"/>
    <n v="11"/>
    <x v="15"/>
    <x v="55"/>
    <x v="23"/>
    <n v="1"/>
    <x v="12"/>
    <b v="1"/>
    <x v="2"/>
    <x v="1"/>
    <x v="16"/>
    <x v="2"/>
    <x v="1"/>
  </r>
  <r>
    <n v="538"/>
    <n v="0.13639999999999999"/>
    <x v="21"/>
    <x v="6"/>
    <n v="6"/>
    <x v="25"/>
    <x v="122"/>
    <x v="23"/>
    <n v="1"/>
    <x v="13"/>
    <b v="1"/>
    <x v="2"/>
    <x v="1"/>
    <x v="14"/>
    <x v="2"/>
    <x v="1"/>
  </r>
  <r>
    <n v="539"/>
    <n v="0.13639999999999999"/>
    <x v="15"/>
    <x v="6"/>
    <n v="2"/>
    <x v="30"/>
    <x v="79"/>
    <x v="23"/>
    <n v="1"/>
    <x v="14"/>
    <b v="1"/>
    <x v="2"/>
    <x v="1"/>
    <x v="14"/>
    <x v="2"/>
    <x v="1"/>
  </r>
  <r>
    <n v="540"/>
    <n v="0.16669999999999999"/>
    <x v="22"/>
    <x v="8"/>
    <n v="7"/>
    <x v="54"/>
    <x v="52"/>
    <x v="23"/>
    <n v="1"/>
    <x v="15"/>
    <b v="1"/>
    <x v="2"/>
    <x v="0"/>
    <x v="13"/>
    <x v="2"/>
    <x v="0"/>
  </r>
  <r>
    <n v="541"/>
    <n v="0.1515"/>
    <x v="19"/>
    <x v="2"/>
    <n v="4"/>
    <x v="43"/>
    <x v="27"/>
    <x v="23"/>
    <n v="1"/>
    <x v="16"/>
    <b v="1"/>
    <x v="2"/>
    <x v="0"/>
    <x v="13"/>
    <x v="2"/>
    <x v="0"/>
  </r>
  <r>
    <n v="542"/>
    <n v="0.1212"/>
    <x v="20"/>
    <x v="2"/>
    <n v="6"/>
    <x v="86"/>
    <x v="157"/>
    <x v="23"/>
    <n v="1"/>
    <x v="17"/>
    <b v="1"/>
    <x v="2"/>
    <x v="0"/>
    <x v="14"/>
    <x v="2"/>
    <x v="0"/>
  </r>
  <r>
    <n v="543"/>
    <n v="0.13639999999999999"/>
    <x v="29"/>
    <x v="5"/>
    <n v="8"/>
    <x v="142"/>
    <x v="158"/>
    <x v="23"/>
    <n v="1"/>
    <x v="18"/>
    <b v="1"/>
    <x v="2"/>
    <x v="0"/>
    <x v="14"/>
    <x v="2"/>
    <x v="0"/>
  </r>
  <r>
    <n v="544"/>
    <n v="0.1515"/>
    <x v="47"/>
    <x v="8"/>
    <n v="5"/>
    <x v="143"/>
    <x v="13"/>
    <x v="23"/>
    <n v="1"/>
    <x v="19"/>
    <b v="1"/>
    <x v="2"/>
    <x v="0"/>
    <x v="14"/>
    <x v="2"/>
    <x v="0"/>
  </r>
  <r>
    <n v="545"/>
    <n v="0.13639999999999999"/>
    <x v="29"/>
    <x v="5"/>
    <n v="1"/>
    <x v="122"/>
    <x v="117"/>
    <x v="23"/>
    <n v="1"/>
    <x v="20"/>
    <b v="1"/>
    <x v="2"/>
    <x v="0"/>
    <x v="14"/>
    <x v="2"/>
    <x v="0"/>
  </r>
  <r>
    <n v="546"/>
    <n v="0.1515"/>
    <x v="30"/>
    <x v="8"/>
    <n v="6"/>
    <x v="42"/>
    <x v="29"/>
    <x v="23"/>
    <n v="1"/>
    <x v="21"/>
    <b v="1"/>
    <x v="2"/>
    <x v="0"/>
    <x v="14"/>
    <x v="2"/>
    <x v="0"/>
  </r>
  <r>
    <n v="547"/>
    <n v="0.13639999999999999"/>
    <x v="30"/>
    <x v="6"/>
    <n v="3"/>
    <x v="1"/>
    <x v="17"/>
    <x v="23"/>
    <n v="1"/>
    <x v="22"/>
    <b v="1"/>
    <x v="2"/>
    <x v="1"/>
    <x v="14"/>
    <x v="2"/>
    <x v="1"/>
  </r>
  <r>
    <n v="548"/>
    <n v="0.1515"/>
    <x v="26"/>
    <x v="2"/>
    <n v="3"/>
    <x v="144"/>
    <x v="108"/>
    <x v="23"/>
    <n v="1"/>
    <x v="23"/>
    <b v="1"/>
    <x v="2"/>
    <x v="1"/>
    <x v="13"/>
    <x v="2"/>
    <x v="1"/>
  </r>
  <r>
    <n v="549"/>
    <n v="0.13639999999999999"/>
    <x v="27"/>
    <x v="3"/>
    <n v="3"/>
    <x v="8"/>
    <x v="23"/>
    <x v="24"/>
    <n v="1"/>
    <x v="0"/>
    <b v="0"/>
    <x v="3"/>
    <x v="1"/>
    <x v="13"/>
    <x v="0"/>
    <x v="1"/>
  </r>
  <r>
    <n v="550"/>
    <n v="0.16669999999999999"/>
    <x v="27"/>
    <x v="8"/>
    <n v="0"/>
    <x v="34"/>
    <x v="36"/>
    <x v="24"/>
    <n v="1"/>
    <x v="1"/>
    <b v="0"/>
    <x v="3"/>
    <x v="1"/>
    <x v="13"/>
    <x v="0"/>
    <x v="1"/>
  </r>
  <r>
    <n v="551"/>
    <n v="0.1515"/>
    <x v="27"/>
    <x v="6"/>
    <n v="0"/>
    <x v="6"/>
    <x v="5"/>
    <x v="24"/>
    <n v="1"/>
    <x v="2"/>
    <b v="0"/>
    <x v="3"/>
    <x v="0"/>
    <x v="13"/>
    <x v="0"/>
    <x v="0"/>
  </r>
  <r>
    <n v="552"/>
    <n v="0.16669999999999999"/>
    <x v="32"/>
    <x v="14"/>
    <n v="0"/>
    <x v="4"/>
    <x v="4"/>
    <x v="24"/>
    <n v="1"/>
    <x v="4"/>
    <b v="0"/>
    <x v="3"/>
    <x v="0"/>
    <x v="14"/>
    <x v="0"/>
    <x v="0"/>
  </r>
  <r>
    <n v="553"/>
    <n v="0.13639999999999999"/>
    <x v="32"/>
    <x v="6"/>
    <n v="0"/>
    <x v="33"/>
    <x v="23"/>
    <x v="24"/>
    <n v="1"/>
    <x v="5"/>
    <b v="0"/>
    <x v="3"/>
    <x v="0"/>
    <x v="14"/>
    <x v="0"/>
    <x v="0"/>
  </r>
  <r>
    <n v="554"/>
    <n v="0.18179999999999999"/>
    <x v="32"/>
    <x v="14"/>
    <n v="1"/>
    <x v="96"/>
    <x v="9"/>
    <x v="24"/>
    <n v="1"/>
    <x v="6"/>
    <b v="0"/>
    <x v="3"/>
    <x v="0"/>
    <x v="13"/>
    <x v="0"/>
    <x v="0"/>
  </r>
  <r>
    <n v="555"/>
    <n v="0.1515"/>
    <x v="32"/>
    <x v="6"/>
    <n v="5"/>
    <x v="145"/>
    <x v="159"/>
    <x v="24"/>
    <n v="1"/>
    <x v="7"/>
    <b v="0"/>
    <x v="3"/>
    <x v="0"/>
    <x v="13"/>
    <x v="0"/>
    <x v="0"/>
  </r>
  <r>
    <n v="556"/>
    <n v="0.18179999999999999"/>
    <x v="32"/>
    <x v="7"/>
    <n v="5"/>
    <x v="146"/>
    <x v="160"/>
    <x v="24"/>
    <n v="1"/>
    <x v="8"/>
    <b v="0"/>
    <x v="3"/>
    <x v="1"/>
    <x v="13"/>
    <x v="0"/>
    <x v="1"/>
  </r>
  <r>
    <n v="557"/>
    <n v="0.2273"/>
    <x v="26"/>
    <x v="1"/>
    <n v="10"/>
    <x v="120"/>
    <x v="124"/>
    <x v="24"/>
    <n v="1"/>
    <x v="9"/>
    <b v="0"/>
    <x v="3"/>
    <x v="1"/>
    <x v="2"/>
    <x v="0"/>
    <x v="1"/>
  </r>
  <r>
    <n v="558"/>
    <n v="0.2424"/>
    <x v="54"/>
    <x v="14"/>
    <n v="6"/>
    <x v="47"/>
    <x v="97"/>
    <x v="24"/>
    <n v="1"/>
    <x v="10"/>
    <b v="0"/>
    <x v="3"/>
    <x v="1"/>
    <x v="1"/>
    <x v="0"/>
    <x v="1"/>
  </r>
  <r>
    <n v="559"/>
    <n v="0.2424"/>
    <x v="54"/>
    <x v="7"/>
    <n v="6"/>
    <x v="11"/>
    <x v="42"/>
    <x v="24"/>
    <n v="1"/>
    <x v="11"/>
    <b v="0"/>
    <x v="3"/>
    <x v="1"/>
    <x v="0"/>
    <x v="0"/>
    <x v="1"/>
  </r>
  <r>
    <n v="560"/>
    <n v="0.28789999999999999"/>
    <x v="34"/>
    <x v="1"/>
    <n v="21"/>
    <x v="66"/>
    <x v="13"/>
    <x v="24"/>
    <n v="1"/>
    <x v="12"/>
    <b v="0"/>
    <x v="3"/>
    <x v="1"/>
    <x v="12"/>
    <x v="0"/>
    <x v="1"/>
  </r>
  <r>
    <n v="561"/>
    <n v="0.2727"/>
    <x v="34"/>
    <x v="7"/>
    <n v="21"/>
    <x v="109"/>
    <x v="15"/>
    <x v="24"/>
    <n v="1"/>
    <x v="13"/>
    <b v="0"/>
    <x v="3"/>
    <x v="1"/>
    <x v="12"/>
    <x v="0"/>
    <x v="1"/>
  </r>
  <r>
    <n v="562"/>
    <n v="0.33329999999999999"/>
    <x v="49"/>
    <x v="0"/>
    <n v="11"/>
    <x v="77"/>
    <x v="118"/>
    <x v="24"/>
    <n v="1"/>
    <x v="14"/>
    <b v="0"/>
    <x v="3"/>
    <x v="1"/>
    <x v="11"/>
    <x v="0"/>
    <x v="1"/>
  </r>
  <r>
    <n v="563"/>
    <n v="0.34849999999999998"/>
    <x v="16"/>
    <x v="0"/>
    <n v="21"/>
    <x v="36"/>
    <x v="11"/>
    <x v="24"/>
    <n v="1"/>
    <x v="15"/>
    <b v="0"/>
    <x v="3"/>
    <x v="1"/>
    <x v="3"/>
    <x v="0"/>
    <x v="1"/>
  </r>
  <r>
    <n v="564"/>
    <n v="0.34849999999999998"/>
    <x v="16"/>
    <x v="0"/>
    <n v="14"/>
    <x v="46"/>
    <x v="155"/>
    <x v="24"/>
    <n v="1"/>
    <x v="16"/>
    <b v="0"/>
    <x v="3"/>
    <x v="1"/>
    <x v="3"/>
    <x v="0"/>
    <x v="1"/>
  </r>
  <r>
    <n v="565"/>
    <n v="0.33329999999999999"/>
    <x v="49"/>
    <x v="0"/>
    <n v="14"/>
    <x v="147"/>
    <x v="161"/>
    <x v="24"/>
    <n v="1"/>
    <x v="17"/>
    <b v="0"/>
    <x v="3"/>
    <x v="0"/>
    <x v="11"/>
    <x v="0"/>
    <x v="0"/>
  </r>
  <r>
    <n v="566"/>
    <n v="0.31819999999999998"/>
    <x v="36"/>
    <x v="1"/>
    <n v="7"/>
    <x v="148"/>
    <x v="162"/>
    <x v="24"/>
    <n v="1"/>
    <x v="18"/>
    <b v="0"/>
    <x v="3"/>
    <x v="1"/>
    <x v="11"/>
    <x v="0"/>
    <x v="1"/>
  </r>
  <r>
    <n v="567"/>
    <n v="0.2576"/>
    <x v="55"/>
    <x v="8"/>
    <n v="13"/>
    <x v="149"/>
    <x v="163"/>
    <x v="24"/>
    <n v="1"/>
    <x v="19"/>
    <b v="0"/>
    <x v="3"/>
    <x v="1"/>
    <x v="12"/>
    <x v="0"/>
    <x v="1"/>
  </r>
  <r>
    <n v="568"/>
    <n v="0.2273"/>
    <x v="55"/>
    <x v="5"/>
    <n v="16"/>
    <x v="145"/>
    <x v="164"/>
    <x v="24"/>
    <n v="1"/>
    <x v="20"/>
    <b v="0"/>
    <x v="3"/>
    <x v="0"/>
    <x v="0"/>
    <x v="0"/>
    <x v="0"/>
  </r>
  <r>
    <n v="569"/>
    <n v="0.2273"/>
    <x v="55"/>
    <x v="5"/>
    <n v="5"/>
    <x v="71"/>
    <x v="79"/>
    <x v="24"/>
    <n v="1"/>
    <x v="21"/>
    <b v="0"/>
    <x v="3"/>
    <x v="0"/>
    <x v="0"/>
    <x v="0"/>
    <x v="0"/>
  </r>
  <r>
    <n v="570"/>
    <n v="0.2273"/>
    <x v="26"/>
    <x v="8"/>
    <n v="4"/>
    <x v="47"/>
    <x v="26"/>
    <x v="24"/>
    <n v="1"/>
    <x v="22"/>
    <b v="0"/>
    <x v="3"/>
    <x v="0"/>
    <x v="1"/>
    <x v="0"/>
    <x v="0"/>
  </r>
  <r>
    <n v="571"/>
    <n v="0.2273"/>
    <x v="26"/>
    <x v="8"/>
    <n v="3"/>
    <x v="53"/>
    <x v="1"/>
    <x v="24"/>
    <n v="1"/>
    <x v="23"/>
    <b v="0"/>
    <x v="3"/>
    <x v="1"/>
    <x v="1"/>
    <x v="0"/>
    <x v="1"/>
  </r>
  <r>
    <n v="572"/>
    <n v="0.2273"/>
    <x v="27"/>
    <x v="7"/>
    <n v="3"/>
    <x v="88"/>
    <x v="22"/>
    <x v="25"/>
    <n v="1"/>
    <x v="0"/>
    <b v="0"/>
    <x v="4"/>
    <x v="1"/>
    <x v="1"/>
    <x v="0"/>
    <x v="1"/>
  </r>
  <r>
    <n v="573"/>
    <n v="0.2424"/>
    <x v="55"/>
    <x v="7"/>
    <n v="0"/>
    <x v="34"/>
    <x v="36"/>
    <x v="25"/>
    <n v="1"/>
    <x v="1"/>
    <b v="0"/>
    <x v="4"/>
    <x v="1"/>
    <x v="0"/>
    <x v="0"/>
    <x v="1"/>
  </r>
  <r>
    <n v="574"/>
    <n v="0.2273"/>
    <x v="27"/>
    <x v="5"/>
    <n v="3"/>
    <x v="7"/>
    <x v="98"/>
    <x v="25"/>
    <n v="1"/>
    <x v="2"/>
    <b v="0"/>
    <x v="4"/>
    <x v="2"/>
    <x v="1"/>
    <x v="0"/>
    <x v="2"/>
  </r>
  <r>
    <n v="575"/>
    <n v="0.18179999999999999"/>
    <x v="3"/>
    <x v="3"/>
    <n v="0"/>
    <x v="4"/>
    <x v="4"/>
    <x v="25"/>
    <n v="1"/>
    <x v="5"/>
    <b v="0"/>
    <x v="4"/>
    <x v="2"/>
    <x v="2"/>
    <x v="0"/>
    <x v="2"/>
  </r>
  <r>
    <n v="576"/>
    <n v="0.18179999999999999"/>
    <x v="3"/>
    <x v="3"/>
    <n v="0"/>
    <x v="21"/>
    <x v="7"/>
    <x v="25"/>
    <n v="1"/>
    <x v="6"/>
    <b v="0"/>
    <x v="4"/>
    <x v="2"/>
    <x v="2"/>
    <x v="0"/>
    <x v="2"/>
  </r>
  <r>
    <n v="577"/>
    <n v="0.21210000000000001"/>
    <x v="9"/>
    <x v="4"/>
    <n v="1"/>
    <x v="31"/>
    <x v="33"/>
    <x v="25"/>
    <n v="1"/>
    <x v="7"/>
    <b v="0"/>
    <x v="4"/>
    <x v="2"/>
    <x v="1"/>
    <x v="0"/>
    <x v="2"/>
  </r>
  <r>
    <n v="578"/>
    <n v="0.21210000000000001"/>
    <x v="9"/>
    <x v="4"/>
    <n v="3"/>
    <x v="94"/>
    <x v="44"/>
    <x v="25"/>
    <n v="1"/>
    <x v="8"/>
    <b v="0"/>
    <x v="4"/>
    <x v="2"/>
    <x v="1"/>
    <x v="0"/>
    <x v="2"/>
  </r>
  <r>
    <n v="579"/>
    <n v="0.21210000000000001"/>
    <x v="9"/>
    <x v="4"/>
    <n v="3"/>
    <x v="11"/>
    <x v="154"/>
    <x v="25"/>
    <n v="1"/>
    <x v="9"/>
    <b v="0"/>
    <x v="4"/>
    <x v="2"/>
    <x v="1"/>
    <x v="0"/>
    <x v="2"/>
  </r>
  <r>
    <n v="580"/>
    <n v="0.21210000000000001"/>
    <x v="43"/>
    <x v="3"/>
    <n v="2"/>
    <x v="16"/>
    <x v="20"/>
    <x v="25"/>
    <n v="1"/>
    <x v="10"/>
    <b v="0"/>
    <x v="4"/>
    <x v="2"/>
    <x v="1"/>
    <x v="0"/>
    <x v="2"/>
  </r>
  <r>
    <n v="581"/>
    <n v="0.19700000000000001"/>
    <x v="43"/>
    <x v="9"/>
    <n v="6"/>
    <x v="96"/>
    <x v="102"/>
    <x v="25"/>
    <n v="1"/>
    <x v="11"/>
    <b v="0"/>
    <x v="4"/>
    <x v="2"/>
    <x v="1"/>
    <x v="0"/>
    <x v="2"/>
  </r>
  <r>
    <n v="582"/>
    <n v="0.19700000000000001"/>
    <x v="43"/>
    <x v="9"/>
    <n v="7"/>
    <x v="40"/>
    <x v="61"/>
    <x v="25"/>
    <n v="1"/>
    <x v="12"/>
    <b v="0"/>
    <x v="4"/>
    <x v="2"/>
    <x v="1"/>
    <x v="0"/>
    <x v="2"/>
  </r>
  <r>
    <n v="583"/>
    <n v="0.19700000000000001"/>
    <x v="43"/>
    <x v="9"/>
    <n v="4"/>
    <x v="30"/>
    <x v="105"/>
    <x v="25"/>
    <n v="1"/>
    <x v="13"/>
    <b v="0"/>
    <x v="4"/>
    <x v="2"/>
    <x v="1"/>
    <x v="0"/>
    <x v="2"/>
  </r>
  <r>
    <n v="584"/>
    <n v="0.19700000000000001"/>
    <x v="43"/>
    <x v="11"/>
    <n v="0"/>
    <x v="49"/>
    <x v="9"/>
    <x v="25"/>
    <n v="1"/>
    <x v="14"/>
    <b v="0"/>
    <x v="4"/>
    <x v="2"/>
    <x v="1"/>
    <x v="0"/>
    <x v="2"/>
  </r>
  <r>
    <n v="585"/>
    <n v="0.18179999999999999"/>
    <x v="43"/>
    <x v="17"/>
    <n v="1"/>
    <x v="76"/>
    <x v="74"/>
    <x v="25"/>
    <n v="1"/>
    <x v="15"/>
    <b v="0"/>
    <x v="4"/>
    <x v="2"/>
    <x v="1"/>
    <x v="0"/>
    <x v="2"/>
  </r>
  <r>
    <n v="586"/>
    <n v="0.19700000000000001"/>
    <x v="43"/>
    <x v="9"/>
    <n v="1"/>
    <x v="96"/>
    <x v="9"/>
    <x v="25"/>
    <n v="1"/>
    <x v="16"/>
    <b v="0"/>
    <x v="4"/>
    <x v="3"/>
    <x v="1"/>
    <x v="0"/>
    <x v="2"/>
  </r>
  <r>
    <n v="587"/>
    <n v="0.18179999999999999"/>
    <x v="43"/>
    <x v="11"/>
    <n v="0"/>
    <x v="16"/>
    <x v="132"/>
    <x v="25"/>
    <n v="1"/>
    <x v="17"/>
    <b v="0"/>
    <x v="4"/>
    <x v="2"/>
    <x v="2"/>
    <x v="0"/>
    <x v="2"/>
  </r>
  <r>
    <n v="588"/>
    <n v="0.2273"/>
    <x v="28"/>
    <x v="5"/>
    <n v="1"/>
    <x v="140"/>
    <x v="108"/>
    <x v="26"/>
    <n v="1"/>
    <x v="16"/>
    <b v="0"/>
    <x v="5"/>
    <x v="0"/>
    <x v="1"/>
    <x v="0"/>
    <x v="0"/>
  </r>
  <r>
    <n v="589"/>
    <n v="0.2424"/>
    <x v="28"/>
    <x v="14"/>
    <n v="2"/>
    <x v="70"/>
    <x v="11"/>
    <x v="26"/>
    <n v="1"/>
    <x v="17"/>
    <b v="0"/>
    <x v="5"/>
    <x v="0"/>
    <x v="1"/>
    <x v="0"/>
    <x v="0"/>
  </r>
  <r>
    <n v="590"/>
    <n v="0.2273"/>
    <x v="27"/>
    <x v="1"/>
    <n v="3"/>
    <x v="143"/>
    <x v="133"/>
    <x v="26"/>
    <n v="1"/>
    <x v="18"/>
    <b v="0"/>
    <x v="5"/>
    <x v="0"/>
    <x v="2"/>
    <x v="0"/>
    <x v="0"/>
  </r>
  <r>
    <n v="591"/>
    <n v="0.2273"/>
    <x v="27"/>
    <x v="1"/>
    <n v="3"/>
    <x v="83"/>
    <x v="67"/>
    <x v="26"/>
    <n v="1"/>
    <x v="19"/>
    <b v="0"/>
    <x v="5"/>
    <x v="0"/>
    <x v="2"/>
    <x v="0"/>
    <x v="0"/>
  </r>
  <r>
    <n v="592"/>
    <n v="0.21210000000000001"/>
    <x v="32"/>
    <x v="1"/>
    <n v="4"/>
    <x v="11"/>
    <x v="29"/>
    <x v="26"/>
    <n v="1"/>
    <x v="20"/>
    <b v="0"/>
    <x v="5"/>
    <x v="0"/>
    <x v="15"/>
    <x v="0"/>
    <x v="0"/>
  </r>
  <r>
    <n v="593"/>
    <n v="0.21210000000000001"/>
    <x v="32"/>
    <x v="1"/>
    <n v="2"/>
    <x v="49"/>
    <x v="103"/>
    <x v="26"/>
    <n v="1"/>
    <x v="21"/>
    <b v="0"/>
    <x v="5"/>
    <x v="0"/>
    <x v="15"/>
    <x v="0"/>
    <x v="0"/>
  </r>
  <r>
    <n v="594"/>
    <n v="0.21210000000000001"/>
    <x v="32"/>
    <x v="1"/>
    <n v="0"/>
    <x v="2"/>
    <x v="110"/>
    <x v="26"/>
    <n v="1"/>
    <x v="22"/>
    <b v="0"/>
    <x v="5"/>
    <x v="0"/>
    <x v="15"/>
    <x v="0"/>
    <x v="0"/>
  </r>
  <r>
    <n v="595"/>
    <n v="0.19700000000000001"/>
    <x v="1"/>
    <x v="8"/>
    <n v="0"/>
    <x v="20"/>
    <x v="0"/>
    <x v="26"/>
    <n v="1"/>
    <x v="23"/>
    <b v="0"/>
    <x v="5"/>
    <x v="0"/>
    <x v="15"/>
    <x v="0"/>
    <x v="0"/>
  </r>
  <r>
    <n v="596"/>
    <n v="0.21210000000000001"/>
    <x v="2"/>
    <x v="7"/>
    <n v="0"/>
    <x v="33"/>
    <x v="23"/>
    <x v="27"/>
    <n v="1"/>
    <x v="0"/>
    <b v="0"/>
    <x v="6"/>
    <x v="1"/>
    <x v="2"/>
    <x v="0"/>
    <x v="1"/>
  </r>
  <r>
    <n v="597"/>
    <n v="0.21210000000000001"/>
    <x v="2"/>
    <x v="7"/>
    <n v="1"/>
    <x v="6"/>
    <x v="6"/>
    <x v="27"/>
    <n v="1"/>
    <x v="1"/>
    <b v="0"/>
    <x v="6"/>
    <x v="1"/>
    <x v="2"/>
    <x v="0"/>
    <x v="1"/>
  </r>
  <r>
    <n v="598"/>
    <n v="0.21210000000000001"/>
    <x v="2"/>
    <x v="8"/>
    <n v="0"/>
    <x v="6"/>
    <x v="5"/>
    <x v="27"/>
    <n v="1"/>
    <x v="2"/>
    <b v="0"/>
    <x v="6"/>
    <x v="1"/>
    <x v="2"/>
    <x v="0"/>
    <x v="1"/>
  </r>
  <r>
    <n v="599"/>
    <n v="0.2273"/>
    <x v="2"/>
    <x v="14"/>
    <n v="1"/>
    <x v="5"/>
    <x v="4"/>
    <x v="27"/>
    <n v="1"/>
    <x v="3"/>
    <b v="0"/>
    <x v="6"/>
    <x v="1"/>
    <x v="2"/>
    <x v="0"/>
    <x v="1"/>
  </r>
  <r>
    <n v="600"/>
    <n v="0.21210000000000001"/>
    <x v="1"/>
    <x v="14"/>
    <n v="0"/>
    <x v="22"/>
    <x v="48"/>
    <x v="27"/>
    <n v="1"/>
    <x v="5"/>
    <b v="0"/>
    <x v="6"/>
    <x v="1"/>
    <x v="15"/>
    <x v="0"/>
    <x v="1"/>
  </r>
  <r>
    <n v="601"/>
    <n v="0.19700000000000001"/>
    <x v="1"/>
    <x v="7"/>
    <n v="0"/>
    <x v="20"/>
    <x v="0"/>
    <x v="27"/>
    <n v="1"/>
    <x v="6"/>
    <b v="0"/>
    <x v="6"/>
    <x v="1"/>
    <x v="15"/>
    <x v="0"/>
    <x v="1"/>
  </r>
  <r>
    <n v="602"/>
    <n v="0.19700000000000001"/>
    <x v="3"/>
    <x v="1"/>
    <n v="2"/>
    <x v="29"/>
    <x v="122"/>
    <x v="27"/>
    <n v="1"/>
    <x v="7"/>
    <b v="0"/>
    <x v="6"/>
    <x v="1"/>
    <x v="13"/>
    <x v="0"/>
    <x v="1"/>
  </r>
  <r>
    <n v="603"/>
    <n v="0.19700000000000001"/>
    <x v="3"/>
    <x v="1"/>
    <n v="2"/>
    <x v="119"/>
    <x v="45"/>
    <x v="27"/>
    <n v="1"/>
    <x v="8"/>
    <b v="0"/>
    <x v="6"/>
    <x v="1"/>
    <x v="13"/>
    <x v="0"/>
    <x v="1"/>
  </r>
  <r>
    <n v="604"/>
    <n v="0.21210000000000001"/>
    <x v="3"/>
    <x v="1"/>
    <n v="6"/>
    <x v="73"/>
    <x v="129"/>
    <x v="27"/>
    <n v="1"/>
    <x v="9"/>
    <b v="0"/>
    <x v="6"/>
    <x v="2"/>
    <x v="15"/>
    <x v="0"/>
    <x v="2"/>
  </r>
  <r>
    <n v="605"/>
    <n v="0.21210000000000001"/>
    <x v="3"/>
    <x v="14"/>
    <n v="0"/>
    <x v="47"/>
    <x v="99"/>
    <x v="27"/>
    <n v="1"/>
    <x v="10"/>
    <b v="0"/>
    <x v="6"/>
    <x v="2"/>
    <x v="15"/>
    <x v="0"/>
    <x v="2"/>
  </r>
  <r>
    <n v="606"/>
    <n v="0.21210000000000001"/>
    <x v="43"/>
    <x v="14"/>
    <n v="0"/>
    <x v="10"/>
    <x v="33"/>
    <x v="27"/>
    <n v="1"/>
    <x v="11"/>
    <b v="0"/>
    <x v="6"/>
    <x v="2"/>
    <x v="15"/>
    <x v="0"/>
    <x v="2"/>
  </r>
  <r>
    <n v="607"/>
    <n v="0.21210000000000001"/>
    <x v="43"/>
    <x v="14"/>
    <n v="1"/>
    <x v="95"/>
    <x v="115"/>
    <x v="27"/>
    <n v="1"/>
    <x v="12"/>
    <b v="0"/>
    <x v="6"/>
    <x v="2"/>
    <x v="15"/>
    <x v="0"/>
    <x v="2"/>
  </r>
  <r>
    <n v="608"/>
    <n v="0.21210000000000001"/>
    <x v="43"/>
    <x v="14"/>
    <n v="0"/>
    <x v="17"/>
    <x v="35"/>
    <x v="27"/>
    <n v="1"/>
    <x v="13"/>
    <b v="0"/>
    <x v="6"/>
    <x v="2"/>
    <x v="15"/>
    <x v="0"/>
    <x v="2"/>
  </r>
  <r>
    <n v="609"/>
    <n v="0.2727"/>
    <x v="1"/>
    <x v="0"/>
    <n v="2"/>
    <x v="49"/>
    <x v="103"/>
    <x v="27"/>
    <n v="1"/>
    <x v="14"/>
    <b v="0"/>
    <x v="6"/>
    <x v="2"/>
    <x v="1"/>
    <x v="0"/>
    <x v="2"/>
  </r>
  <r>
    <n v="610"/>
    <n v="0.2576"/>
    <x v="3"/>
    <x v="0"/>
    <n v="1"/>
    <x v="71"/>
    <x v="102"/>
    <x v="27"/>
    <n v="1"/>
    <x v="15"/>
    <b v="0"/>
    <x v="6"/>
    <x v="1"/>
    <x v="2"/>
    <x v="0"/>
    <x v="1"/>
  </r>
  <r>
    <m/>
    <m/>
    <x v="61"/>
    <x v="20"/>
    <m/>
    <x v="150"/>
    <x v="165"/>
    <x v="28"/>
    <m/>
    <x v="24"/>
    <b v="1"/>
    <x v="7"/>
    <x v="4"/>
    <x v="23"/>
    <x v="1"/>
    <x v="3"/>
  </r>
  <r>
    <n v="611"/>
    <n v="0.2727"/>
    <x v="1"/>
    <x v="0"/>
    <n v="10"/>
    <x v="14"/>
    <x v="138"/>
    <x v="27"/>
    <n v="1"/>
    <x v="16"/>
    <b v="0"/>
    <x v="6"/>
    <x v="0"/>
    <x v="1"/>
    <x v="0"/>
    <x v="0"/>
  </r>
  <r>
    <n v="612"/>
    <n v="0.2424"/>
    <x v="2"/>
    <x v="7"/>
    <n v="2"/>
    <x v="151"/>
    <x v="166"/>
    <x v="27"/>
    <n v="1"/>
    <x v="17"/>
    <b v="0"/>
    <x v="6"/>
    <x v="0"/>
    <x v="0"/>
    <x v="0"/>
    <x v="0"/>
  </r>
  <r>
    <n v="613"/>
    <n v="0.2273"/>
    <x v="2"/>
    <x v="5"/>
    <n v="2"/>
    <x v="128"/>
    <x v="142"/>
    <x v="27"/>
    <n v="1"/>
    <x v="18"/>
    <b v="0"/>
    <x v="6"/>
    <x v="0"/>
    <x v="0"/>
    <x v="0"/>
    <x v="0"/>
  </r>
  <r>
    <n v="614"/>
    <n v="0.2424"/>
    <x v="2"/>
    <x v="7"/>
    <n v="5"/>
    <x v="152"/>
    <x v="70"/>
    <x v="27"/>
    <n v="1"/>
    <x v="19"/>
    <b v="0"/>
    <x v="6"/>
    <x v="1"/>
    <x v="0"/>
    <x v="0"/>
    <x v="1"/>
  </r>
  <r>
    <n v="615"/>
    <n v="0.2273"/>
    <x v="56"/>
    <x v="5"/>
    <n v="1"/>
    <x v="124"/>
    <x v="69"/>
    <x v="27"/>
    <n v="1"/>
    <x v="20"/>
    <b v="0"/>
    <x v="6"/>
    <x v="1"/>
    <x v="0"/>
    <x v="0"/>
    <x v="1"/>
  </r>
  <r>
    <n v="616"/>
    <n v="0.2273"/>
    <x v="2"/>
    <x v="7"/>
    <n v="1"/>
    <x v="77"/>
    <x v="154"/>
    <x v="27"/>
    <n v="1"/>
    <x v="21"/>
    <b v="0"/>
    <x v="6"/>
    <x v="1"/>
    <x v="1"/>
    <x v="0"/>
    <x v="1"/>
  </r>
  <r>
    <n v="617"/>
    <n v="0.21210000000000001"/>
    <x v="55"/>
    <x v="11"/>
    <n v="0"/>
    <x v="16"/>
    <x v="132"/>
    <x v="27"/>
    <n v="1"/>
    <x v="22"/>
    <b v="0"/>
    <x v="6"/>
    <x v="0"/>
    <x v="0"/>
    <x v="0"/>
    <x v="0"/>
  </r>
  <r>
    <n v="618"/>
    <n v="0.2273"/>
    <x v="54"/>
    <x v="6"/>
    <n v="1"/>
    <x v="97"/>
    <x v="84"/>
    <x v="27"/>
    <n v="1"/>
    <x v="23"/>
    <b v="0"/>
    <x v="6"/>
    <x v="0"/>
    <x v="0"/>
    <x v="0"/>
    <x v="0"/>
  </r>
  <r>
    <n v="619"/>
    <n v="0.19700000000000001"/>
    <x v="26"/>
    <x v="11"/>
    <n v="2"/>
    <x v="16"/>
    <x v="20"/>
    <x v="29"/>
    <n v="1"/>
    <x v="0"/>
    <b v="0"/>
    <x v="0"/>
    <x v="0"/>
    <x v="1"/>
    <x v="0"/>
    <x v="0"/>
  </r>
  <r>
    <n v="620"/>
    <n v="0.2273"/>
    <x v="26"/>
    <x v="5"/>
    <n v="0"/>
    <x v="32"/>
    <x v="25"/>
    <x v="29"/>
    <n v="1"/>
    <x v="1"/>
    <b v="0"/>
    <x v="0"/>
    <x v="0"/>
    <x v="1"/>
    <x v="0"/>
    <x v="0"/>
  </r>
  <r>
    <n v="621"/>
    <n v="0.2273"/>
    <x v="26"/>
    <x v="8"/>
    <n v="0"/>
    <x v="89"/>
    <x v="93"/>
    <x v="29"/>
    <n v="1"/>
    <x v="2"/>
    <b v="0"/>
    <x v="0"/>
    <x v="0"/>
    <x v="1"/>
    <x v="0"/>
    <x v="0"/>
  </r>
  <r>
    <n v="622"/>
    <n v="0.21210000000000001"/>
    <x v="26"/>
    <x v="7"/>
    <n v="3"/>
    <x v="34"/>
    <x v="7"/>
    <x v="29"/>
    <n v="1"/>
    <x v="3"/>
    <b v="0"/>
    <x v="0"/>
    <x v="0"/>
    <x v="2"/>
    <x v="0"/>
    <x v="0"/>
  </r>
  <r>
    <n v="623"/>
    <n v="0.18179999999999999"/>
    <x v="27"/>
    <x v="14"/>
    <n v="1"/>
    <x v="6"/>
    <x v="6"/>
    <x v="29"/>
    <n v="1"/>
    <x v="4"/>
    <b v="0"/>
    <x v="0"/>
    <x v="0"/>
    <x v="13"/>
    <x v="0"/>
    <x v="0"/>
  </r>
  <r>
    <n v="624"/>
    <n v="0.18179999999999999"/>
    <x v="26"/>
    <x v="7"/>
    <n v="0"/>
    <x v="6"/>
    <x v="5"/>
    <x v="29"/>
    <n v="1"/>
    <x v="6"/>
    <b v="0"/>
    <x v="0"/>
    <x v="0"/>
    <x v="13"/>
    <x v="0"/>
    <x v="0"/>
  </r>
  <r>
    <n v="625"/>
    <n v="0.18179999999999999"/>
    <x v="29"/>
    <x v="14"/>
    <n v="1"/>
    <x v="22"/>
    <x v="36"/>
    <x v="29"/>
    <n v="1"/>
    <x v="7"/>
    <b v="0"/>
    <x v="0"/>
    <x v="0"/>
    <x v="13"/>
    <x v="0"/>
    <x v="0"/>
  </r>
  <r>
    <n v="626"/>
    <n v="0.19700000000000001"/>
    <x v="28"/>
    <x v="8"/>
    <n v="3"/>
    <x v="17"/>
    <x v="19"/>
    <x v="29"/>
    <n v="1"/>
    <x v="8"/>
    <b v="0"/>
    <x v="0"/>
    <x v="0"/>
    <x v="15"/>
    <x v="0"/>
    <x v="0"/>
  </r>
  <r>
    <n v="627"/>
    <n v="0.21210000000000001"/>
    <x v="29"/>
    <x v="1"/>
    <n v="0"/>
    <x v="60"/>
    <x v="19"/>
    <x v="29"/>
    <n v="1"/>
    <x v="9"/>
    <b v="0"/>
    <x v="0"/>
    <x v="0"/>
    <x v="15"/>
    <x v="0"/>
    <x v="0"/>
  </r>
  <r>
    <n v="628"/>
    <n v="0.21210000000000001"/>
    <x v="26"/>
    <x v="14"/>
    <n v="4"/>
    <x v="82"/>
    <x v="97"/>
    <x v="29"/>
    <n v="1"/>
    <x v="10"/>
    <b v="0"/>
    <x v="0"/>
    <x v="1"/>
    <x v="15"/>
    <x v="0"/>
    <x v="1"/>
  </r>
  <r>
    <n v="629"/>
    <n v="0.19700000000000001"/>
    <x v="26"/>
    <x v="7"/>
    <n v="4"/>
    <x v="91"/>
    <x v="37"/>
    <x v="29"/>
    <n v="1"/>
    <x v="11"/>
    <b v="0"/>
    <x v="0"/>
    <x v="1"/>
    <x v="15"/>
    <x v="0"/>
    <x v="1"/>
  </r>
  <r>
    <n v="630"/>
    <n v="0.19700000000000001"/>
    <x v="29"/>
    <x v="5"/>
    <n v="12"/>
    <x v="43"/>
    <x v="53"/>
    <x v="29"/>
    <n v="1"/>
    <x v="12"/>
    <b v="0"/>
    <x v="0"/>
    <x v="1"/>
    <x v="2"/>
    <x v="0"/>
    <x v="1"/>
  </r>
  <r>
    <n v="631"/>
    <n v="0.2273"/>
    <x v="28"/>
    <x v="8"/>
    <n v="9"/>
    <x v="90"/>
    <x v="32"/>
    <x v="29"/>
    <n v="1"/>
    <x v="13"/>
    <b v="0"/>
    <x v="0"/>
    <x v="1"/>
    <x v="1"/>
    <x v="0"/>
    <x v="1"/>
  </r>
  <r>
    <n v="632"/>
    <n v="0.2273"/>
    <x v="54"/>
    <x v="7"/>
    <n v="10"/>
    <x v="121"/>
    <x v="111"/>
    <x v="29"/>
    <n v="1"/>
    <x v="14"/>
    <b v="0"/>
    <x v="0"/>
    <x v="1"/>
    <x v="1"/>
    <x v="0"/>
    <x v="1"/>
  </r>
  <r>
    <n v="633"/>
    <n v="0.21210000000000001"/>
    <x v="27"/>
    <x v="2"/>
    <n v="22"/>
    <x v="52"/>
    <x v="151"/>
    <x v="29"/>
    <n v="1"/>
    <x v="15"/>
    <b v="0"/>
    <x v="0"/>
    <x v="0"/>
    <x v="1"/>
    <x v="0"/>
    <x v="0"/>
  </r>
  <r>
    <n v="634"/>
    <n v="0.2424"/>
    <x v="54"/>
    <x v="8"/>
    <n v="19"/>
    <x v="153"/>
    <x v="167"/>
    <x v="29"/>
    <n v="1"/>
    <x v="16"/>
    <b v="0"/>
    <x v="0"/>
    <x v="0"/>
    <x v="0"/>
    <x v="0"/>
    <x v="0"/>
  </r>
  <r>
    <n v="635"/>
    <n v="0.28789999999999999"/>
    <x v="54"/>
    <x v="0"/>
    <n v="9"/>
    <x v="70"/>
    <x v="134"/>
    <x v="29"/>
    <n v="1"/>
    <x v="17"/>
    <b v="0"/>
    <x v="0"/>
    <x v="0"/>
    <x v="0"/>
    <x v="0"/>
    <x v="0"/>
  </r>
  <r>
    <n v="636"/>
    <n v="0.2273"/>
    <x v="27"/>
    <x v="7"/>
    <n v="9"/>
    <x v="79"/>
    <x v="118"/>
    <x v="29"/>
    <n v="1"/>
    <x v="18"/>
    <b v="0"/>
    <x v="0"/>
    <x v="0"/>
    <x v="1"/>
    <x v="0"/>
    <x v="0"/>
  </r>
  <r>
    <n v="637"/>
    <n v="0.21210000000000001"/>
    <x v="27"/>
    <x v="2"/>
    <n v="6"/>
    <x v="15"/>
    <x v="154"/>
    <x v="29"/>
    <n v="1"/>
    <x v="19"/>
    <b v="0"/>
    <x v="0"/>
    <x v="1"/>
    <x v="1"/>
    <x v="0"/>
    <x v="1"/>
  </r>
  <r>
    <n v="638"/>
    <n v="0.21210000000000001"/>
    <x v="32"/>
    <x v="1"/>
    <n v="1"/>
    <x v="76"/>
    <x v="74"/>
    <x v="29"/>
    <n v="1"/>
    <x v="20"/>
    <b v="0"/>
    <x v="0"/>
    <x v="0"/>
    <x v="15"/>
    <x v="0"/>
    <x v="0"/>
  </r>
  <r>
    <n v="639"/>
    <n v="0.21210000000000001"/>
    <x v="32"/>
    <x v="1"/>
    <n v="1"/>
    <x v="96"/>
    <x v="9"/>
    <x v="29"/>
    <n v="1"/>
    <x v="21"/>
    <b v="0"/>
    <x v="0"/>
    <x v="0"/>
    <x v="15"/>
    <x v="0"/>
    <x v="0"/>
  </r>
  <r>
    <n v="640"/>
    <n v="0.19700000000000001"/>
    <x v="1"/>
    <x v="1"/>
    <n v="4"/>
    <x v="95"/>
    <x v="2"/>
    <x v="29"/>
    <n v="1"/>
    <x v="22"/>
    <b v="0"/>
    <x v="0"/>
    <x v="0"/>
    <x v="13"/>
    <x v="0"/>
    <x v="0"/>
  </r>
  <r>
    <n v="641"/>
    <n v="0.19700000000000001"/>
    <x v="1"/>
    <x v="1"/>
    <n v="3"/>
    <x v="10"/>
    <x v="63"/>
    <x v="29"/>
    <n v="1"/>
    <x v="23"/>
    <b v="0"/>
    <x v="0"/>
    <x v="0"/>
    <x v="13"/>
    <x v="0"/>
    <x v="0"/>
  </r>
  <r>
    <n v="642"/>
    <n v="0.18179999999999999"/>
    <x v="1"/>
    <x v="14"/>
    <n v="0"/>
    <x v="39"/>
    <x v="63"/>
    <x v="30"/>
    <n v="1"/>
    <x v="0"/>
    <b v="1"/>
    <x v="1"/>
    <x v="0"/>
    <x v="13"/>
    <x v="1"/>
    <x v="0"/>
  </r>
  <r>
    <n v="643"/>
    <n v="0.21210000000000001"/>
    <x v="1"/>
    <x v="0"/>
    <n v="7"/>
    <x v="97"/>
    <x v="115"/>
    <x v="30"/>
    <n v="1"/>
    <x v="1"/>
    <b v="1"/>
    <x v="1"/>
    <x v="0"/>
    <x v="14"/>
    <x v="1"/>
    <x v="0"/>
  </r>
  <r>
    <n v="644"/>
    <n v="0.2273"/>
    <x v="1"/>
    <x v="0"/>
    <n v="1"/>
    <x v="3"/>
    <x v="62"/>
    <x v="30"/>
    <n v="1"/>
    <x v="2"/>
    <b v="1"/>
    <x v="1"/>
    <x v="0"/>
    <x v="13"/>
    <x v="1"/>
    <x v="0"/>
  </r>
  <r>
    <n v="645"/>
    <n v="0.21210000000000001"/>
    <x v="43"/>
    <x v="0"/>
    <n v="1"/>
    <x v="7"/>
    <x v="7"/>
    <x v="30"/>
    <n v="1"/>
    <x v="3"/>
    <b v="1"/>
    <x v="1"/>
    <x v="0"/>
    <x v="14"/>
    <x v="1"/>
    <x v="0"/>
  </r>
  <r>
    <n v="646"/>
    <n v="0.21210000000000001"/>
    <x v="43"/>
    <x v="0"/>
    <n v="0"/>
    <x v="4"/>
    <x v="4"/>
    <x v="30"/>
    <n v="1"/>
    <x v="4"/>
    <b v="1"/>
    <x v="1"/>
    <x v="0"/>
    <x v="14"/>
    <x v="1"/>
    <x v="0"/>
  </r>
  <r>
    <n v="647"/>
    <n v="0.21210000000000001"/>
    <x v="3"/>
    <x v="0"/>
    <n v="0"/>
    <x v="35"/>
    <x v="6"/>
    <x v="30"/>
    <n v="1"/>
    <x v="5"/>
    <b v="1"/>
    <x v="1"/>
    <x v="0"/>
    <x v="14"/>
    <x v="1"/>
    <x v="0"/>
  </r>
  <r>
    <n v="648"/>
    <n v="0.21210000000000001"/>
    <x v="3"/>
    <x v="0"/>
    <n v="0"/>
    <x v="35"/>
    <x v="6"/>
    <x v="30"/>
    <n v="1"/>
    <x v="7"/>
    <b v="1"/>
    <x v="1"/>
    <x v="0"/>
    <x v="14"/>
    <x v="1"/>
    <x v="0"/>
  </r>
  <r>
    <n v="649"/>
    <n v="0.21210000000000001"/>
    <x v="3"/>
    <x v="0"/>
    <n v="1"/>
    <x v="48"/>
    <x v="47"/>
    <x v="30"/>
    <n v="1"/>
    <x v="8"/>
    <b v="1"/>
    <x v="1"/>
    <x v="1"/>
    <x v="14"/>
    <x v="1"/>
    <x v="1"/>
  </r>
  <r>
    <n v="650"/>
    <n v="0.2273"/>
    <x v="1"/>
    <x v="0"/>
    <n v="4"/>
    <x v="60"/>
    <x v="103"/>
    <x v="30"/>
    <n v="1"/>
    <x v="9"/>
    <b v="1"/>
    <x v="1"/>
    <x v="1"/>
    <x v="13"/>
    <x v="1"/>
    <x v="1"/>
  </r>
  <r>
    <n v="651"/>
    <n v="0.2424"/>
    <x v="1"/>
    <x v="0"/>
    <n v="7"/>
    <x v="77"/>
    <x v="37"/>
    <x v="30"/>
    <n v="1"/>
    <x v="10"/>
    <b v="1"/>
    <x v="1"/>
    <x v="1"/>
    <x v="15"/>
    <x v="1"/>
    <x v="1"/>
  </r>
  <r>
    <n v="652"/>
    <n v="0.2727"/>
    <x v="2"/>
    <x v="0"/>
    <n v="9"/>
    <x v="54"/>
    <x v="29"/>
    <x v="30"/>
    <n v="1"/>
    <x v="11"/>
    <b v="1"/>
    <x v="1"/>
    <x v="0"/>
    <x v="1"/>
    <x v="1"/>
    <x v="0"/>
  </r>
  <r>
    <n v="653"/>
    <n v="0.31819999999999998"/>
    <x v="35"/>
    <x v="14"/>
    <n v="10"/>
    <x v="61"/>
    <x v="54"/>
    <x v="30"/>
    <n v="1"/>
    <x v="12"/>
    <b v="1"/>
    <x v="1"/>
    <x v="0"/>
    <x v="11"/>
    <x v="1"/>
    <x v="0"/>
  </r>
  <r>
    <n v="654"/>
    <n v="0.28789999999999999"/>
    <x v="53"/>
    <x v="14"/>
    <n v="13"/>
    <x v="13"/>
    <x v="11"/>
    <x v="30"/>
    <n v="1"/>
    <x v="13"/>
    <b v="1"/>
    <x v="1"/>
    <x v="0"/>
    <x v="17"/>
    <x v="1"/>
    <x v="0"/>
  </r>
  <r>
    <n v="655"/>
    <n v="0.30299999999999999"/>
    <x v="53"/>
    <x v="1"/>
    <n v="18"/>
    <x v="154"/>
    <x v="78"/>
    <x v="30"/>
    <n v="1"/>
    <x v="14"/>
    <b v="1"/>
    <x v="1"/>
    <x v="0"/>
    <x v="17"/>
    <x v="1"/>
    <x v="0"/>
  </r>
  <r>
    <n v="656"/>
    <n v="0.33329999999999999"/>
    <x v="34"/>
    <x v="0"/>
    <n v="14"/>
    <x v="73"/>
    <x v="142"/>
    <x v="30"/>
    <n v="1"/>
    <x v="15"/>
    <b v="1"/>
    <x v="1"/>
    <x v="0"/>
    <x v="11"/>
    <x v="1"/>
    <x v="0"/>
  </r>
  <r>
    <n v="657"/>
    <n v="0.33329999999999999"/>
    <x v="34"/>
    <x v="0"/>
    <n v="19"/>
    <x v="154"/>
    <x v="92"/>
    <x v="30"/>
    <n v="1"/>
    <x v="16"/>
    <b v="1"/>
    <x v="1"/>
    <x v="0"/>
    <x v="11"/>
    <x v="1"/>
    <x v="0"/>
  </r>
  <r>
    <n v="658"/>
    <n v="0.28789999999999999"/>
    <x v="34"/>
    <x v="5"/>
    <n v="6"/>
    <x v="13"/>
    <x v="43"/>
    <x v="30"/>
    <n v="1"/>
    <x v="17"/>
    <b v="1"/>
    <x v="1"/>
    <x v="0"/>
    <x v="11"/>
    <x v="1"/>
    <x v="0"/>
  </r>
  <r>
    <n v="659"/>
    <n v="0.2576"/>
    <x v="55"/>
    <x v="8"/>
    <n v="8"/>
    <x v="77"/>
    <x v="32"/>
    <x v="30"/>
    <n v="1"/>
    <x v="18"/>
    <b v="1"/>
    <x v="1"/>
    <x v="0"/>
    <x v="12"/>
    <x v="1"/>
    <x v="0"/>
  </r>
  <r>
    <n v="660"/>
    <n v="0.2576"/>
    <x v="55"/>
    <x v="5"/>
    <n v="9"/>
    <x v="24"/>
    <x v="97"/>
    <x v="30"/>
    <n v="1"/>
    <x v="19"/>
    <b v="1"/>
    <x v="1"/>
    <x v="0"/>
    <x v="12"/>
    <x v="1"/>
    <x v="0"/>
  </r>
  <r>
    <n v="661"/>
    <n v="0.2727"/>
    <x v="55"/>
    <x v="14"/>
    <n v="3"/>
    <x v="10"/>
    <x v="63"/>
    <x v="30"/>
    <n v="1"/>
    <x v="20"/>
    <b v="1"/>
    <x v="1"/>
    <x v="1"/>
    <x v="12"/>
    <x v="1"/>
    <x v="1"/>
  </r>
  <r>
    <n v="662"/>
    <n v="0.2424"/>
    <x v="56"/>
    <x v="8"/>
    <n v="3"/>
    <x v="18"/>
    <x v="20"/>
    <x v="30"/>
    <n v="1"/>
    <x v="21"/>
    <b v="1"/>
    <x v="1"/>
    <x v="1"/>
    <x v="0"/>
    <x v="1"/>
    <x v="1"/>
  </r>
  <r>
    <n v="663"/>
    <n v="0.2273"/>
    <x v="56"/>
    <x v="5"/>
    <n v="2"/>
    <x v="23"/>
    <x v="137"/>
    <x v="30"/>
    <n v="1"/>
    <x v="22"/>
    <b v="1"/>
    <x v="1"/>
    <x v="1"/>
    <x v="0"/>
    <x v="1"/>
    <x v="1"/>
  </r>
  <r>
    <n v="664"/>
    <n v="0.21210000000000001"/>
    <x v="55"/>
    <x v="3"/>
    <n v="5"/>
    <x v="20"/>
    <x v="137"/>
    <x v="30"/>
    <n v="1"/>
    <x v="23"/>
    <b v="1"/>
    <x v="1"/>
    <x v="1"/>
    <x v="0"/>
    <x v="1"/>
    <x v="1"/>
  </r>
  <r>
    <n v="665"/>
    <n v="0.2273"/>
    <x v="55"/>
    <x v="6"/>
    <n v="1"/>
    <x v="8"/>
    <x v="85"/>
    <x v="31"/>
    <n v="1"/>
    <x v="0"/>
    <b v="1"/>
    <x v="2"/>
    <x v="1"/>
    <x v="0"/>
    <x v="2"/>
    <x v="1"/>
  </r>
  <r>
    <n v="666"/>
    <n v="0.21210000000000001"/>
    <x v="26"/>
    <x v="2"/>
    <n v="2"/>
    <x v="34"/>
    <x v="85"/>
    <x v="31"/>
    <n v="1"/>
    <x v="1"/>
    <b v="1"/>
    <x v="2"/>
    <x v="0"/>
    <x v="1"/>
    <x v="2"/>
    <x v="0"/>
  </r>
  <r>
    <n v="667"/>
    <n v="0.2273"/>
    <x v="26"/>
    <x v="5"/>
    <n v="0"/>
    <x v="4"/>
    <x v="4"/>
    <x v="31"/>
    <n v="1"/>
    <x v="2"/>
    <b v="1"/>
    <x v="2"/>
    <x v="0"/>
    <x v="1"/>
    <x v="2"/>
    <x v="0"/>
  </r>
  <r>
    <n v="668"/>
    <n v="0.2273"/>
    <x v="26"/>
    <x v="5"/>
    <n v="0"/>
    <x v="6"/>
    <x v="5"/>
    <x v="31"/>
    <n v="1"/>
    <x v="3"/>
    <b v="1"/>
    <x v="2"/>
    <x v="0"/>
    <x v="1"/>
    <x v="2"/>
    <x v="0"/>
  </r>
  <r>
    <n v="669"/>
    <n v="0.19700000000000001"/>
    <x v="29"/>
    <x v="6"/>
    <n v="0"/>
    <x v="6"/>
    <x v="5"/>
    <x v="31"/>
    <n v="1"/>
    <x v="4"/>
    <b v="1"/>
    <x v="2"/>
    <x v="0"/>
    <x v="2"/>
    <x v="2"/>
    <x v="0"/>
  </r>
  <r>
    <n v="670"/>
    <n v="0.16669999999999999"/>
    <x v="26"/>
    <x v="3"/>
    <n v="0"/>
    <x v="21"/>
    <x v="7"/>
    <x v="31"/>
    <n v="1"/>
    <x v="5"/>
    <b v="1"/>
    <x v="2"/>
    <x v="0"/>
    <x v="15"/>
    <x v="2"/>
    <x v="0"/>
  </r>
  <r>
    <n v="671"/>
    <n v="0.13639999999999999"/>
    <x v="27"/>
    <x v="9"/>
    <n v="0"/>
    <x v="53"/>
    <x v="18"/>
    <x v="31"/>
    <n v="1"/>
    <x v="6"/>
    <b v="1"/>
    <x v="2"/>
    <x v="0"/>
    <x v="13"/>
    <x v="2"/>
    <x v="0"/>
  </r>
  <r>
    <n v="672"/>
    <n v="0.13639999999999999"/>
    <x v="26"/>
    <x v="3"/>
    <n v="1"/>
    <x v="13"/>
    <x v="44"/>
    <x v="31"/>
    <n v="1"/>
    <x v="7"/>
    <b v="1"/>
    <x v="2"/>
    <x v="1"/>
    <x v="13"/>
    <x v="2"/>
    <x v="1"/>
  </r>
  <r>
    <n v="673"/>
    <n v="0.13639999999999999"/>
    <x v="29"/>
    <x v="3"/>
    <n v="3"/>
    <x v="155"/>
    <x v="147"/>
    <x v="31"/>
    <n v="1"/>
    <x v="8"/>
    <b v="1"/>
    <x v="2"/>
    <x v="1"/>
    <x v="13"/>
    <x v="2"/>
    <x v="1"/>
  </r>
  <r>
    <n v="674"/>
    <n v="0.13639999999999999"/>
    <x v="29"/>
    <x v="4"/>
    <n v="0"/>
    <x v="156"/>
    <x v="59"/>
    <x v="31"/>
    <n v="1"/>
    <x v="9"/>
    <b v="1"/>
    <x v="2"/>
    <x v="1"/>
    <x v="13"/>
    <x v="2"/>
    <x v="1"/>
  </r>
  <r>
    <n v="675"/>
    <n v="0.1515"/>
    <x v="29"/>
    <x v="5"/>
    <n v="1"/>
    <x v="56"/>
    <x v="83"/>
    <x v="31"/>
    <n v="1"/>
    <x v="10"/>
    <b v="1"/>
    <x v="2"/>
    <x v="1"/>
    <x v="13"/>
    <x v="2"/>
    <x v="1"/>
  </r>
  <r>
    <n v="676"/>
    <n v="0.1515"/>
    <x v="29"/>
    <x v="5"/>
    <n v="2"/>
    <x v="24"/>
    <x v="61"/>
    <x v="31"/>
    <n v="1"/>
    <x v="11"/>
    <b v="1"/>
    <x v="2"/>
    <x v="1"/>
    <x v="13"/>
    <x v="2"/>
    <x v="1"/>
  </r>
  <r>
    <n v="677"/>
    <n v="0.21210000000000001"/>
    <x v="28"/>
    <x v="14"/>
    <n v="6"/>
    <x v="133"/>
    <x v="118"/>
    <x v="31"/>
    <n v="1"/>
    <x v="12"/>
    <b v="1"/>
    <x v="2"/>
    <x v="1"/>
    <x v="15"/>
    <x v="2"/>
    <x v="1"/>
  </r>
  <r>
    <n v="678"/>
    <n v="0.2273"/>
    <x v="29"/>
    <x v="0"/>
    <n v="2"/>
    <x v="15"/>
    <x v="60"/>
    <x v="31"/>
    <n v="1"/>
    <x v="13"/>
    <b v="1"/>
    <x v="2"/>
    <x v="1"/>
    <x v="13"/>
    <x v="2"/>
    <x v="1"/>
  </r>
  <r>
    <n v="679"/>
    <n v="0.19700000000000001"/>
    <x v="28"/>
    <x v="7"/>
    <n v="1"/>
    <x v="66"/>
    <x v="80"/>
    <x v="31"/>
    <n v="1"/>
    <x v="14"/>
    <b v="1"/>
    <x v="2"/>
    <x v="1"/>
    <x v="15"/>
    <x v="2"/>
    <x v="1"/>
  </r>
  <r>
    <n v="680"/>
    <n v="0.18179999999999999"/>
    <x v="29"/>
    <x v="7"/>
    <n v="3"/>
    <x v="40"/>
    <x v="40"/>
    <x v="31"/>
    <n v="1"/>
    <x v="15"/>
    <b v="1"/>
    <x v="2"/>
    <x v="1"/>
    <x v="13"/>
    <x v="2"/>
    <x v="1"/>
  </r>
  <r>
    <n v="681"/>
    <n v="0.18179999999999999"/>
    <x v="34"/>
    <x v="5"/>
    <n v="3"/>
    <x v="93"/>
    <x v="80"/>
    <x v="31"/>
    <n v="1"/>
    <x v="16"/>
    <b v="1"/>
    <x v="2"/>
    <x v="1"/>
    <x v="13"/>
    <x v="2"/>
    <x v="1"/>
  </r>
  <r>
    <n v="682"/>
    <n v="0.1515"/>
    <x v="29"/>
    <x v="5"/>
    <n v="6"/>
    <x v="119"/>
    <x v="143"/>
    <x v="31"/>
    <n v="1"/>
    <x v="17"/>
    <b v="1"/>
    <x v="2"/>
    <x v="1"/>
    <x v="13"/>
    <x v="2"/>
    <x v="1"/>
  </r>
  <r>
    <n v="683"/>
    <n v="0.1515"/>
    <x v="28"/>
    <x v="6"/>
    <n v="3"/>
    <x v="37"/>
    <x v="168"/>
    <x v="31"/>
    <n v="1"/>
    <x v="18"/>
    <b v="1"/>
    <x v="2"/>
    <x v="1"/>
    <x v="13"/>
    <x v="2"/>
    <x v="1"/>
  </r>
  <r>
    <n v="684"/>
    <n v="0.31819999999999998"/>
    <x v="53"/>
    <x v="14"/>
    <n v="3"/>
    <x v="123"/>
    <x v="169"/>
    <x v="31"/>
    <n v="1"/>
    <x v="19"/>
    <b v="1"/>
    <x v="2"/>
    <x v="0"/>
    <x v="11"/>
    <x v="2"/>
    <x v="0"/>
  </r>
  <r>
    <n v="685"/>
    <n v="0.16669999999999999"/>
    <x v="29"/>
    <x v="8"/>
    <n v="0"/>
    <x v="78"/>
    <x v="53"/>
    <x v="31"/>
    <n v="1"/>
    <x v="20"/>
    <b v="1"/>
    <x v="2"/>
    <x v="2"/>
    <x v="13"/>
    <x v="2"/>
    <x v="2"/>
  </r>
  <r>
    <n v="686"/>
    <n v="0.19700000000000001"/>
    <x v="29"/>
    <x v="1"/>
    <n v="3"/>
    <x v="42"/>
    <x v="10"/>
    <x v="31"/>
    <n v="1"/>
    <x v="21"/>
    <b v="1"/>
    <x v="2"/>
    <x v="2"/>
    <x v="13"/>
    <x v="2"/>
    <x v="2"/>
  </r>
  <r>
    <n v="687"/>
    <n v="0.18179999999999999"/>
    <x v="29"/>
    <x v="14"/>
    <n v="0"/>
    <x v="60"/>
    <x v="19"/>
    <x v="31"/>
    <n v="1"/>
    <x v="22"/>
    <b v="1"/>
    <x v="2"/>
    <x v="1"/>
    <x v="13"/>
    <x v="2"/>
    <x v="1"/>
  </r>
  <r>
    <n v="688"/>
    <n v="0.19700000000000001"/>
    <x v="26"/>
    <x v="1"/>
    <n v="2"/>
    <x v="89"/>
    <x v="22"/>
    <x v="31"/>
    <n v="1"/>
    <x v="23"/>
    <b v="1"/>
    <x v="2"/>
    <x v="1"/>
    <x v="13"/>
    <x v="2"/>
    <x v="1"/>
  </r>
  <r>
    <n v="689"/>
    <n v="0.18179999999999999"/>
    <x v="26"/>
    <x v="14"/>
    <n v="2"/>
    <x v="8"/>
    <x v="7"/>
    <x v="32"/>
    <n v="1"/>
    <x v="0"/>
    <b v="0"/>
    <x v="3"/>
    <x v="1"/>
    <x v="13"/>
    <x v="0"/>
    <x v="1"/>
  </r>
  <r>
    <n v="690"/>
    <n v="0.18179999999999999"/>
    <x v="27"/>
    <x v="14"/>
    <n v="0"/>
    <x v="35"/>
    <x v="6"/>
    <x v="32"/>
    <n v="1"/>
    <x v="1"/>
    <b v="0"/>
    <x v="3"/>
    <x v="1"/>
    <x v="13"/>
    <x v="0"/>
    <x v="1"/>
  </r>
  <r>
    <n v="691"/>
    <n v="0.2273"/>
    <x v="27"/>
    <x v="0"/>
    <n v="0"/>
    <x v="6"/>
    <x v="5"/>
    <x v="32"/>
    <n v="1"/>
    <x v="2"/>
    <b v="0"/>
    <x v="3"/>
    <x v="1"/>
    <x v="13"/>
    <x v="0"/>
    <x v="1"/>
  </r>
  <r>
    <n v="692"/>
    <n v="0.2273"/>
    <x v="27"/>
    <x v="0"/>
    <n v="0"/>
    <x v="6"/>
    <x v="5"/>
    <x v="32"/>
    <n v="1"/>
    <x v="3"/>
    <b v="0"/>
    <x v="3"/>
    <x v="1"/>
    <x v="13"/>
    <x v="0"/>
    <x v="1"/>
  </r>
  <r>
    <n v="693"/>
    <n v="0.21210000000000001"/>
    <x v="43"/>
    <x v="0"/>
    <n v="0"/>
    <x v="35"/>
    <x v="6"/>
    <x v="32"/>
    <n v="1"/>
    <x v="5"/>
    <b v="0"/>
    <x v="3"/>
    <x v="2"/>
    <x v="14"/>
    <x v="0"/>
    <x v="2"/>
  </r>
  <r>
    <n v="694"/>
    <n v="0.21210000000000001"/>
    <x v="43"/>
    <x v="0"/>
    <n v="0"/>
    <x v="97"/>
    <x v="34"/>
    <x v="32"/>
    <n v="1"/>
    <x v="6"/>
    <b v="0"/>
    <x v="3"/>
    <x v="2"/>
    <x v="14"/>
    <x v="0"/>
    <x v="2"/>
  </r>
  <r>
    <n v="695"/>
    <n v="0.2273"/>
    <x v="43"/>
    <x v="0"/>
    <n v="0"/>
    <x v="15"/>
    <x v="46"/>
    <x v="32"/>
    <n v="1"/>
    <x v="7"/>
    <b v="0"/>
    <x v="3"/>
    <x v="2"/>
    <x v="13"/>
    <x v="0"/>
    <x v="2"/>
  </r>
  <r>
    <n v="696"/>
    <n v="0.2273"/>
    <x v="43"/>
    <x v="0"/>
    <n v="3"/>
    <x v="126"/>
    <x v="170"/>
    <x v="32"/>
    <n v="1"/>
    <x v="8"/>
    <b v="0"/>
    <x v="3"/>
    <x v="2"/>
    <x v="13"/>
    <x v="0"/>
    <x v="2"/>
  </r>
  <r>
    <n v="697"/>
    <n v="0.2273"/>
    <x v="43"/>
    <x v="0"/>
    <n v="2"/>
    <x v="157"/>
    <x v="155"/>
    <x v="32"/>
    <n v="1"/>
    <x v="9"/>
    <b v="0"/>
    <x v="3"/>
    <x v="1"/>
    <x v="13"/>
    <x v="0"/>
    <x v="1"/>
  </r>
  <r>
    <n v="698"/>
    <n v="0.2273"/>
    <x v="43"/>
    <x v="0"/>
    <n v="0"/>
    <x v="12"/>
    <x v="105"/>
    <x v="32"/>
    <n v="1"/>
    <x v="10"/>
    <b v="0"/>
    <x v="3"/>
    <x v="1"/>
    <x v="13"/>
    <x v="0"/>
    <x v="1"/>
  </r>
  <r>
    <n v="699"/>
    <n v="0.2424"/>
    <x v="3"/>
    <x v="0"/>
    <n v="2"/>
    <x v="47"/>
    <x v="41"/>
    <x v="32"/>
    <n v="1"/>
    <x v="11"/>
    <b v="0"/>
    <x v="3"/>
    <x v="1"/>
    <x v="15"/>
    <x v="0"/>
    <x v="1"/>
  </r>
  <r>
    <n v="700"/>
    <n v="0.2576"/>
    <x v="3"/>
    <x v="0"/>
    <n v="2"/>
    <x v="42"/>
    <x v="97"/>
    <x v="32"/>
    <n v="1"/>
    <x v="12"/>
    <b v="0"/>
    <x v="3"/>
    <x v="1"/>
    <x v="2"/>
    <x v="0"/>
    <x v="1"/>
  </r>
  <r>
    <n v="701"/>
    <n v="0.2576"/>
    <x v="3"/>
    <x v="0"/>
    <n v="3"/>
    <x v="47"/>
    <x v="46"/>
    <x v="32"/>
    <n v="1"/>
    <x v="13"/>
    <b v="0"/>
    <x v="3"/>
    <x v="1"/>
    <x v="2"/>
    <x v="0"/>
    <x v="1"/>
  </r>
  <r>
    <n v="702"/>
    <n v="0.2576"/>
    <x v="1"/>
    <x v="1"/>
    <n v="5"/>
    <x v="47"/>
    <x v="60"/>
    <x v="32"/>
    <n v="1"/>
    <x v="14"/>
    <b v="0"/>
    <x v="3"/>
    <x v="1"/>
    <x v="1"/>
    <x v="0"/>
    <x v="1"/>
  </r>
  <r>
    <n v="703"/>
    <n v="0.28789999999999999"/>
    <x v="2"/>
    <x v="0"/>
    <n v="7"/>
    <x v="108"/>
    <x v="46"/>
    <x v="32"/>
    <n v="1"/>
    <x v="15"/>
    <b v="0"/>
    <x v="3"/>
    <x v="1"/>
    <x v="0"/>
    <x v="0"/>
    <x v="1"/>
  </r>
  <r>
    <n v="704"/>
    <n v="0.2424"/>
    <x v="2"/>
    <x v="7"/>
    <n v="3"/>
    <x v="124"/>
    <x v="37"/>
    <x v="32"/>
    <n v="1"/>
    <x v="16"/>
    <b v="0"/>
    <x v="3"/>
    <x v="1"/>
    <x v="0"/>
    <x v="0"/>
    <x v="1"/>
  </r>
  <r>
    <n v="705"/>
    <n v="0.28789999999999999"/>
    <x v="2"/>
    <x v="0"/>
    <n v="4"/>
    <x v="158"/>
    <x v="171"/>
    <x v="32"/>
    <n v="1"/>
    <x v="17"/>
    <b v="0"/>
    <x v="3"/>
    <x v="1"/>
    <x v="0"/>
    <x v="0"/>
    <x v="1"/>
  </r>
  <r>
    <n v="706"/>
    <n v="0.2576"/>
    <x v="0"/>
    <x v="14"/>
    <n v="3"/>
    <x v="159"/>
    <x v="172"/>
    <x v="32"/>
    <n v="1"/>
    <x v="18"/>
    <b v="0"/>
    <x v="3"/>
    <x v="1"/>
    <x v="0"/>
    <x v="0"/>
    <x v="1"/>
  </r>
  <r>
    <n v="707"/>
    <n v="0.2424"/>
    <x v="0"/>
    <x v="7"/>
    <n v="3"/>
    <x v="160"/>
    <x v="159"/>
    <x v="32"/>
    <n v="1"/>
    <x v="19"/>
    <b v="0"/>
    <x v="3"/>
    <x v="1"/>
    <x v="0"/>
    <x v="0"/>
    <x v="1"/>
  </r>
  <r>
    <n v="708"/>
    <n v="0.2273"/>
    <x v="9"/>
    <x v="7"/>
    <n v="5"/>
    <x v="94"/>
    <x v="30"/>
    <x v="32"/>
    <n v="1"/>
    <x v="20"/>
    <b v="0"/>
    <x v="3"/>
    <x v="1"/>
    <x v="1"/>
    <x v="0"/>
    <x v="1"/>
  </r>
  <r>
    <n v="709"/>
    <n v="0.2273"/>
    <x v="9"/>
    <x v="7"/>
    <n v="0"/>
    <x v="27"/>
    <x v="37"/>
    <x v="32"/>
    <n v="1"/>
    <x v="21"/>
    <b v="0"/>
    <x v="3"/>
    <x v="1"/>
    <x v="1"/>
    <x v="0"/>
    <x v="1"/>
  </r>
  <r>
    <n v="710"/>
    <n v="0.2576"/>
    <x v="9"/>
    <x v="1"/>
    <n v="2"/>
    <x v="60"/>
    <x v="9"/>
    <x v="32"/>
    <n v="1"/>
    <x v="22"/>
    <b v="0"/>
    <x v="3"/>
    <x v="1"/>
    <x v="1"/>
    <x v="0"/>
    <x v="1"/>
  </r>
  <r>
    <n v="711"/>
    <n v="0.19700000000000001"/>
    <x v="43"/>
    <x v="5"/>
    <n v="1"/>
    <x v="89"/>
    <x v="0"/>
    <x v="32"/>
    <n v="1"/>
    <x v="23"/>
    <b v="0"/>
    <x v="3"/>
    <x v="2"/>
    <x v="2"/>
    <x v="0"/>
    <x v="2"/>
  </r>
  <r>
    <n v="712"/>
    <n v="0.2424"/>
    <x v="43"/>
    <x v="14"/>
    <n v="0"/>
    <x v="6"/>
    <x v="5"/>
    <x v="33"/>
    <n v="1"/>
    <x v="0"/>
    <b v="0"/>
    <x v="4"/>
    <x v="2"/>
    <x v="1"/>
    <x v="0"/>
    <x v="2"/>
  </r>
  <r>
    <n v="713"/>
    <n v="0.2273"/>
    <x v="43"/>
    <x v="5"/>
    <n v="0"/>
    <x v="35"/>
    <x v="6"/>
    <x v="33"/>
    <n v="1"/>
    <x v="1"/>
    <b v="0"/>
    <x v="4"/>
    <x v="2"/>
    <x v="1"/>
    <x v="0"/>
    <x v="2"/>
  </r>
  <r>
    <n v="714"/>
    <n v="0.2273"/>
    <x v="43"/>
    <x v="7"/>
    <n v="4"/>
    <x v="5"/>
    <x v="48"/>
    <x v="33"/>
    <n v="1"/>
    <x v="2"/>
    <b v="0"/>
    <x v="4"/>
    <x v="2"/>
    <x v="1"/>
    <x v="0"/>
    <x v="2"/>
  </r>
  <r>
    <n v="715"/>
    <n v="0.2273"/>
    <x v="43"/>
    <x v="7"/>
    <n v="0"/>
    <x v="4"/>
    <x v="4"/>
    <x v="33"/>
    <n v="1"/>
    <x v="3"/>
    <b v="0"/>
    <x v="4"/>
    <x v="2"/>
    <x v="1"/>
    <x v="0"/>
    <x v="2"/>
  </r>
  <r>
    <n v="716"/>
    <n v="0.21210000000000001"/>
    <x v="43"/>
    <x v="3"/>
    <n v="0"/>
    <x v="4"/>
    <x v="4"/>
    <x v="33"/>
    <n v="1"/>
    <x v="4"/>
    <b v="0"/>
    <x v="4"/>
    <x v="2"/>
    <x v="1"/>
    <x v="0"/>
    <x v="2"/>
  </r>
  <r>
    <n v="717"/>
    <n v="0.2424"/>
    <x v="43"/>
    <x v="14"/>
    <n v="0"/>
    <x v="35"/>
    <x v="6"/>
    <x v="33"/>
    <n v="1"/>
    <x v="5"/>
    <b v="0"/>
    <x v="4"/>
    <x v="2"/>
    <x v="1"/>
    <x v="0"/>
    <x v="2"/>
  </r>
  <r>
    <n v="718"/>
    <n v="0.2424"/>
    <x v="43"/>
    <x v="14"/>
    <n v="1"/>
    <x v="19"/>
    <x v="109"/>
    <x v="33"/>
    <n v="1"/>
    <x v="6"/>
    <b v="0"/>
    <x v="4"/>
    <x v="2"/>
    <x v="1"/>
    <x v="0"/>
    <x v="2"/>
  </r>
  <r>
    <n v="719"/>
    <n v="0.21210000000000001"/>
    <x v="43"/>
    <x v="6"/>
    <n v="1"/>
    <x v="41"/>
    <x v="99"/>
    <x v="33"/>
    <n v="1"/>
    <x v="7"/>
    <b v="0"/>
    <x v="4"/>
    <x v="2"/>
    <x v="1"/>
    <x v="0"/>
    <x v="2"/>
  </r>
  <r>
    <n v="720"/>
    <n v="0.21210000000000001"/>
    <x v="43"/>
    <x v="6"/>
    <n v="1"/>
    <x v="105"/>
    <x v="107"/>
    <x v="33"/>
    <n v="1"/>
    <x v="8"/>
    <b v="0"/>
    <x v="4"/>
    <x v="2"/>
    <x v="1"/>
    <x v="0"/>
    <x v="2"/>
  </r>
  <r>
    <n v="721"/>
    <n v="0.2576"/>
    <x v="43"/>
    <x v="1"/>
    <n v="4"/>
    <x v="138"/>
    <x v="92"/>
    <x v="33"/>
    <n v="1"/>
    <x v="9"/>
    <b v="0"/>
    <x v="4"/>
    <x v="1"/>
    <x v="0"/>
    <x v="0"/>
    <x v="1"/>
  </r>
  <r>
    <n v="722"/>
    <n v="0.2727"/>
    <x v="11"/>
    <x v="0"/>
    <n v="2"/>
    <x v="79"/>
    <x v="42"/>
    <x v="33"/>
    <n v="1"/>
    <x v="10"/>
    <b v="0"/>
    <x v="4"/>
    <x v="1"/>
    <x v="1"/>
    <x v="0"/>
    <x v="1"/>
  </r>
  <r>
    <n v="723"/>
    <n v="0.2273"/>
    <x v="43"/>
    <x v="5"/>
    <n v="5"/>
    <x v="12"/>
    <x v="46"/>
    <x v="33"/>
    <n v="1"/>
    <x v="11"/>
    <b v="0"/>
    <x v="4"/>
    <x v="1"/>
    <x v="0"/>
    <x v="0"/>
    <x v="1"/>
  </r>
  <r>
    <n v="724"/>
    <n v="0.2273"/>
    <x v="43"/>
    <x v="6"/>
    <n v="3"/>
    <x v="124"/>
    <x v="37"/>
    <x v="33"/>
    <n v="1"/>
    <x v="12"/>
    <b v="0"/>
    <x v="4"/>
    <x v="1"/>
    <x v="0"/>
    <x v="0"/>
    <x v="1"/>
  </r>
  <r>
    <n v="725"/>
    <n v="0.33329999999999999"/>
    <x v="43"/>
    <x v="8"/>
    <n v="1"/>
    <x v="64"/>
    <x v="28"/>
    <x v="33"/>
    <n v="1"/>
    <x v="13"/>
    <b v="0"/>
    <x v="4"/>
    <x v="0"/>
    <x v="10"/>
    <x v="0"/>
    <x v="0"/>
  </r>
  <r>
    <n v="726"/>
    <n v="0.39389999999999997"/>
    <x v="7"/>
    <x v="13"/>
    <n v="2"/>
    <x v="124"/>
    <x v="55"/>
    <x v="33"/>
    <n v="1"/>
    <x v="14"/>
    <b v="0"/>
    <x v="4"/>
    <x v="0"/>
    <x v="4"/>
    <x v="0"/>
    <x v="0"/>
  </r>
  <r>
    <n v="727"/>
    <n v="0.39389999999999997"/>
    <x v="4"/>
    <x v="9"/>
    <n v="10"/>
    <x v="43"/>
    <x v="31"/>
    <x v="33"/>
    <n v="1"/>
    <x v="15"/>
    <b v="0"/>
    <x v="4"/>
    <x v="0"/>
    <x v="4"/>
    <x v="0"/>
    <x v="0"/>
  </r>
  <r>
    <n v="728"/>
    <n v="0.33329999999999999"/>
    <x v="12"/>
    <x v="4"/>
    <n v="8"/>
    <x v="73"/>
    <x v="153"/>
    <x v="33"/>
    <n v="1"/>
    <x v="16"/>
    <b v="0"/>
    <x v="4"/>
    <x v="0"/>
    <x v="5"/>
    <x v="0"/>
    <x v="0"/>
  </r>
  <r>
    <n v="729"/>
    <n v="0.31819999999999998"/>
    <x v="45"/>
    <x v="18"/>
    <n v="7"/>
    <x v="161"/>
    <x v="71"/>
    <x v="33"/>
    <n v="1"/>
    <x v="17"/>
    <b v="0"/>
    <x v="4"/>
    <x v="0"/>
    <x v="5"/>
    <x v="0"/>
    <x v="0"/>
  </r>
  <r>
    <n v="730"/>
    <n v="0.28789999999999999"/>
    <x v="16"/>
    <x v="16"/>
    <n v="7"/>
    <x v="162"/>
    <x v="58"/>
    <x v="33"/>
    <n v="1"/>
    <x v="18"/>
    <b v="0"/>
    <x v="4"/>
    <x v="0"/>
    <x v="10"/>
    <x v="0"/>
    <x v="0"/>
  </r>
  <r>
    <n v="731"/>
    <n v="0.2424"/>
    <x v="49"/>
    <x v="15"/>
    <n v="3"/>
    <x v="153"/>
    <x v="134"/>
    <x v="33"/>
    <n v="1"/>
    <x v="19"/>
    <b v="0"/>
    <x v="4"/>
    <x v="0"/>
    <x v="17"/>
    <x v="0"/>
    <x v="0"/>
  </r>
  <r>
    <n v="732"/>
    <n v="0.19700000000000001"/>
    <x v="37"/>
    <x v="16"/>
    <n v="4"/>
    <x v="13"/>
    <x v="28"/>
    <x v="33"/>
    <n v="1"/>
    <x v="20"/>
    <b v="0"/>
    <x v="4"/>
    <x v="0"/>
    <x v="0"/>
    <x v="0"/>
    <x v="0"/>
  </r>
  <r>
    <n v="733"/>
    <n v="0.19700000000000001"/>
    <x v="19"/>
    <x v="9"/>
    <n v="1"/>
    <x v="133"/>
    <x v="55"/>
    <x v="33"/>
    <n v="1"/>
    <x v="21"/>
    <b v="0"/>
    <x v="4"/>
    <x v="0"/>
    <x v="1"/>
    <x v="0"/>
    <x v="0"/>
  </r>
  <r>
    <n v="734"/>
    <n v="0.21210000000000001"/>
    <x v="18"/>
    <x v="2"/>
    <n v="5"/>
    <x v="96"/>
    <x v="1"/>
    <x v="33"/>
    <n v="1"/>
    <x v="22"/>
    <b v="0"/>
    <x v="4"/>
    <x v="0"/>
    <x v="1"/>
    <x v="0"/>
    <x v="0"/>
  </r>
  <r>
    <n v="735"/>
    <n v="0.16669999999999999"/>
    <x v="18"/>
    <x v="10"/>
    <n v="3"/>
    <x v="31"/>
    <x v="2"/>
    <x v="33"/>
    <n v="1"/>
    <x v="23"/>
    <b v="0"/>
    <x v="4"/>
    <x v="0"/>
    <x v="2"/>
    <x v="0"/>
    <x v="0"/>
  </r>
  <r>
    <n v="736"/>
    <n v="0.16669999999999999"/>
    <x v="22"/>
    <x v="10"/>
    <n v="1"/>
    <x v="48"/>
    <x v="47"/>
    <x v="34"/>
    <n v="1"/>
    <x v="0"/>
    <b v="0"/>
    <x v="5"/>
    <x v="0"/>
    <x v="2"/>
    <x v="0"/>
    <x v="0"/>
  </r>
  <r>
    <n v="737"/>
    <n v="0.1515"/>
    <x v="18"/>
    <x v="18"/>
    <n v="0"/>
    <x v="34"/>
    <x v="36"/>
    <x v="34"/>
    <n v="1"/>
    <x v="1"/>
    <b v="0"/>
    <x v="5"/>
    <x v="0"/>
    <x v="2"/>
    <x v="0"/>
    <x v="0"/>
  </r>
  <r>
    <n v="738"/>
    <n v="0.16669999999999999"/>
    <x v="21"/>
    <x v="2"/>
    <n v="0"/>
    <x v="6"/>
    <x v="5"/>
    <x v="34"/>
    <n v="1"/>
    <x v="2"/>
    <b v="0"/>
    <x v="5"/>
    <x v="0"/>
    <x v="15"/>
    <x v="0"/>
    <x v="0"/>
  </r>
  <r>
    <n v="739"/>
    <n v="0.16669999999999999"/>
    <x v="21"/>
    <x v="2"/>
    <n v="0"/>
    <x v="4"/>
    <x v="4"/>
    <x v="34"/>
    <n v="1"/>
    <x v="3"/>
    <b v="0"/>
    <x v="5"/>
    <x v="0"/>
    <x v="15"/>
    <x v="0"/>
    <x v="0"/>
  </r>
  <r>
    <n v="740"/>
    <n v="0.13639999999999999"/>
    <x v="20"/>
    <x v="4"/>
    <n v="0"/>
    <x v="6"/>
    <x v="5"/>
    <x v="34"/>
    <n v="1"/>
    <x v="5"/>
    <b v="0"/>
    <x v="5"/>
    <x v="0"/>
    <x v="13"/>
    <x v="0"/>
    <x v="0"/>
  </r>
  <r>
    <n v="741"/>
    <n v="0.13639999999999999"/>
    <x v="21"/>
    <x v="11"/>
    <n v="0"/>
    <x v="87"/>
    <x v="21"/>
    <x v="34"/>
    <n v="1"/>
    <x v="6"/>
    <b v="0"/>
    <x v="5"/>
    <x v="0"/>
    <x v="13"/>
    <x v="0"/>
    <x v="0"/>
  </r>
  <r>
    <n v="742"/>
    <n v="0.1212"/>
    <x v="20"/>
    <x v="9"/>
    <n v="1"/>
    <x v="132"/>
    <x v="90"/>
    <x v="34"/>
    <n v="1"/>
    <x v="7"/>
    <b v="0"/>
    <x v="5"/>
    <x v="0"/>
    <x v="14"/>
    <x v="0"/>
    <x v="0"/>
  </r>
  <r>
    <n v="743"/>
    <n v="0.1212"/>
    <x v="20"/>
    <x v="11"/>
    <n v="4"/>
    <x v="103"/>
    <x v="104"/>
    <x v="34"/>
    <n v="1"/>
    <x v="8"/>
    <b v="0"/>
    <x v="5"/>
    <x v="0"/>
    <x v="14"/>
    <x v="0"/>
    <x v="0"/>
  </r>
  <r>
    <n v="744"/>
    <n v="0.13639999999999999"/>
    <x v="19"/>
    <x v="4"/>
    <n v="6"/>
    <x v="69"/>
    <x v="140"/>
    <x v="34"/>
    <n v="1"/>
    <x v="9"/>
    <b v="0"/>
    <x v="5"/>
    <x v="0"/>
    <x v="13"/>
    <x v="0"/>
    <x v="0"/>
  </r>
  <r>
    <n v="745"/>
    <n v="0.1515"/>
    <x v="21"/>
    <x v="9"/>
    <n v="2"/>
    <x v="54"/>
    <x v="46"/>
    <x v="34"/>
    <n v="1"/>
    <x v="10"/>
    <b v="0"/>
    <x v="5"/>
    <x v="0"/>
    <x v="15"/>
    <x v="0"/>
    <x v="0"/>
  </r>
  <r>
    <n v="746"/>
    <n v="0.13639999999999999"/>
    <x v="21"/>
    <x v="10"/>
    <n v="9"/>
    <x v="11"/>
    <x v="37"/>
    <x v="34"/>
    <n v="1"/>
    <x v="11"/>
    <b v="0"/>
    <x v="5"/>
    <x v="0"/>
    <x v="15"/>
    <x v="0"/>
    <x v="0"/>
  </r>
  <r>
    <n v="747"/>
    <n v="0.18179999999999999"/>
    <x v="22"/>
    <x v="11"/>
    <n v="2"/>
    <x v="28"/>
    <x v="83"/>
    <x v="34"/>
    <n v="1"/>
    <x v="12"/>
    <b v="0"/>
    <x v="5"/>
    <x v="0"/>
    <x v="2"/>
    <x v="0"/>
    <x v="0"/>
  </r>
  <r>
    <n v="748"/>
    <n v="0.16669999999999999"/>
    <x v="22"/>
    <x v="12"/>
    <n v="4"/>
    <x v="12"/>
    <x v="41"/>
    <x v="34"/>
    <n v="1"/>
    <x v="13"/>
    <b v="0"/>
    <x v="5"/>
    <x v="0"/>
    <x v="2"/>
    <x v="0"/>
    <x v="0"/>
  </r>
  <r>
    <n v="749"/>
    <n v="0.19700000000000001"/>
    <x v="38"/>
    <x v="13"/>
    <n v="4"/>
    <x v="30"/>
    <x v="105"/>
    <x v="34"/>
    <n v="1"/>
    <x v="14"/>
    <b v="0"/>
    <x v="5"/>
    <x v="0"/>
    <x v="1"/>
    <x v="0"/>
    <x v="0"/>
  </r>
  <r>
    <n v="750"/>
    <n v="0.19700000000000001"/>
    <x v="38"/>
    <x v="9"/>
    <n v="4"/>
    <x v="90"/>
    <x v="122"/>
    <x v="34"/>
    <n v="1"/>
    <x v="15"/>
    <b v="0"/>
    <x v="5"/>
    <x v="0"/>
    <x v="1"/>
    <x v="0"/>
    <x v="0"/>
  </r>
  <r>
    <n v="751"/>
    <n v="0.21210000000000001"/>
    <x v="38"/>
    <x v="2"/>
    <n v="5"/>
    <x v="26"/>
    <x v="53"/>
    <x v="34"/>
    <n v="1"/>
    <x v="16"/>
    <b v="0"/>
    <x v="5"/>
    <x v="0"/>
    <x v="1"/>
    <x v="0"/>
    <x v="0"/>
  </r>
  <r>
    <n v="752"/>
    <n v="0.19700000000000001"/>
    <x v="22"/>
    <x v="5"/>
    <n v="5"/>
    <x v="163"/>
    <x v="173"/>
    <x v="34"/>
    <n v="1"/>
    <x v="17"/>
    <b v="0"/>
    <x v="5"/>
    <x v="0"/>
    <x v="2"/>
    <x v="0"/>
    <x v="0"/>
  </r>
  <r>
    <n v="753"/>
    <n v="0.21210000000000001"/>
    <x v="22"/>
    <x v="8"/>
    <n v="2"/>
    <x v="142"/>
    <x v="174"/>
    <x v="34"/>
    <n v="1"/>
    <x v="18"/>
    <b v="0"/>
    <x v="5"/>
    <x v="0"/>
    <x v="2"/>
    <x v="0"/>
    <x v="0"/>
  </r>
  <r>
    <n v="754"/>
    <n v="0.2576"/>
    <x v="22"/>
    <x v="0"/>
    <n v="4"/>
    <x v="50"/>
    <x v="152"/>
    <x v="34"/>
    <n v="1"/>
    <x v="19"/>
    <b v="0"/>
    <x v="5"/>
    <x v="0"/>
    <x v="2"/>
    <x v="0"/>
    <x v="0"/>
  </r>
  <r>
    <n v="755"/>
    <n v="0.2273"/>
    <x v="19"/>
    <x v="1"/>
    <n v="1"/>
    <x v="123"/>
    <x v="142"/>
    <x v="34"/>
    <n v="1"/>
    <x v="20"/>
    <b v="0"/>
    <x v="5"/>
    <x v="0"/>
    <x v="2"/>
    <x v="0"/>
    <x v="0"/>
  </r>
  <r>
    <n v="756"/>
    <n v="0.21210000000000001"/>
    <x v="28"/>
    <x v="14"/>
    <n v="1"/>
    <x v="42"/>
    <x v="60"/>
    <x v="34"/>
    <n v="1"/>
    <x v="21"/>
    <b v="0"/>
    <x v="5"/>
    <x v="0"/>
    <x v="15"/>
    <x v="0"/>
    <x v="0"/>
  </r>
  <r>
    <n v="757"/>
    <n v="0.21210000000000001"/>
    <x v="33"/>
    <x v="1"/>
    <n v="2"/>
    <x v="87"/>
    <x v="102"/>
    <x v="34"/>
    <n v="1"/>
    <x v="22"/>
    <b v="0"/>
    <x v="5"/>
    <x v="0"/>
    <x v="15"/>
    <x v="0"/>
    <x v="0"/>
  </r>
  <r>
    <n v="758"/>
    <n v="0.2273"/>
    <x v="19"/>
    <x v="14"/>
    <n v="4"/>
    <x v="60"/>
    <x v="103"/>
    <x v="34"/>
    <n v="1"/>
    <x v="23"/>
    <b v="0"/>
    <x v="5"/>
    <x v="0"/>
    <x v="2"/>
    <x v="0"/>
    <x v="0"/>
  </r>
  <r>
    <n v="759"/>
    <n v="0.2576"/>
    <x v="18"/>
    <x v="0"/>
    <n v="3"/>
    <x v="3"/>
    <x v="3"/>
    <x v="35"/>
    <n v="1"/>
    <x v="0"/>
    <b v="0"/>
    <x v="6"/>
    <x v="1"/>
    <x v="2"/>
    <x v="0"/>
    <x v="1"/>
  </r>
  <r>
    <n v="760"/>
    <n v="0.2273"/>
    <x v="29"/>
    <x v="0"/>
    <n v="0"/>
    <x v="7"/>
    <x v="85"/>
    <x v="35"/>
    <n v="1"/>
    <x v="1"/>
    <b v="0"/>
    <x v="6"/>
    <x v="1"/>
    <x v="13"/>
    <x v="0"/>
    <x v="1"/>
  </r>
  <r>
    <n v="761"/>
    <n v="0.16669999999999999"/>
    <x v="30"/>
    <x v="14"/>
    <n v="0"/>
    <x v="4"/>
    <x v="4"/>
    <x v="35"/>
    <n v="1"/>
    <x v="2"/>
    <b v="0"/>
    <x v="6"/>
    <x v="1"/>
    <x v="14"/>
    <x v="0"/>
    <x v="1"/>
  </r>
  <r>
    <n v="762"/>
    <n v="0.16669999999999999"/>
    <x v="30"/>
    <x v="14"/>
    <n v="0"/>
    <x v="4"/>
    <x v="4"/>
    <x v="35"/>
    <n v="1"/>
    <x v="3"/>
    <b v="0"/>
    <x v="6"/>
    <x v="1"/>
    <x v="14"/>
    <x v="0"/>
    <x v="1"/>
  </r>
  <r>
    <n v="763"/>
    <n v="0.1515"/>
    <x v="30"/>
    <x v="7"/>
    <n v="0"/>
    <x v="7"/>
    <x v="85"/>
    <x v="35"/>
    <n v="1"/>
    <x v="5"/>
    <b v="0"/>
    <x v="6"/>
    <x v="1"/>
    <x v="14"/>
    <x v="0"/>
    <x v="1"/>
  </r>
  <r>
    <n v="764"/>
    <n v="0.2273"/>
    <x v="28"/>
    <x v="0"/>
    <n v="2"/>
    <x v="16"/>
    <x v="20"/>
    <x v="35"/>
    <n v="1"/>
    <x v="6"/>
    <b v="0"/>
    <x v="6"/>
    <x v="1"/>
    <x v="13"/>
    <x v="0"/>
    <x v="1"/>
  </r>
  <r>
    <n v="765"/>
    <n v="0.21210000000000001"/>
    <x v="29"/>
    <x v="0"/>
    <n v="0"/>
    <x v="61"/>
    <x v="90"/>
    <x v="35"/>
    <n v="1"/>
    <x v="7"/>
    <b v="0"/>
    <x v="6"/>
    <x v="0"/>
    <x v="14"/>
    <x v="0"/>
    <x v="0"/>
  </r>
  <r>
    <n v="766"/>
    <n v="0.1515"/>
    <x v="32"/>
    <x v="7"/>
    <n v="3"/>
    <x v="164"/>
    <x v="175"/>
    <x v="35"/>
    <n v="1"/>
    <x v="8"/>
    <b v="0"/>
    <x v="6"/>
    <x v="0"/>
    <x v="14"/>
    <x v="0"/>
    <x v="0"/>
  </r>
  <r>
    <n v="767"/>
    <n v="0.18179999999999999"/>
    <x v="1"/>
    <x v="7"/>
    <n v="3"/>
    <x v="125"/>
    <x v="176"/>
    <x v="35"/>
    <n v="1"/>
    <x v="9"/>
    <b v="0"/>
    <x v="6"/>
    <x v="1"/>
    <x v="13"/>
    <x v="0"/>
    <x v="1"/>
  </r>
  <r>
    <n v="768"/>
    <n v="0.21210000000000001"/>
    <x v="33"/>
    <x v="7"/>
    <n v="5"/>
    <x v="24"/>
    <x v="41"/>
    <x v="35"/>
    <n v="1"/>
    <x v="10"/>
    <b v="0"/>
    <x v="6"/>
    <x v="1"/>
    <x v="2"/>
    <x v="0"/>
    <x v="1"/>
  </r>
  <r>
    <n v="769"/>
    <n v="0.2273"/>
    <x v="33"/>
    <x v="8"/>
    <n v="3"/>
    <x v="124"/>
    <x v="37"/>
    <x v="35"/>
    <n v="1"/>
    <x v="11"/>
    <b v="0"/>
    <x v="6"/>
    <x v="0"/>
    <x v="1"/>
    <x v="0"/>
    <x v="0"/>
  </r>
  <r>
    <n v="770"/>
    <n v="0.2424"/>
    <x v="37"/>
    <x v="8"/>
    <n v="8"/>
    <x v="78"/>
    <x v="80"/>
    <x v="35"/>
    <n v="1"/>
    <x v="12"/>
    <b v="0"/>
    <x v="6"/>
    <x v="1"/>
    <x v="0"/>
    <x v="0"/>
    <x v="1"/>
  </r>
  <r>
    <n v="771"/>
    <n v="0.2576"/>
    <x v="20"/>
    <x v="6"/>
    <n v="9"/>
    <x v="26"/>
    <x v="100"/>
    <x v="35"/>
    <n v="1"/>
    <x v="13"/>
    <b v="0"/>
    <x v="6"/>
    <x v="1"/>
    <x v="12"/>
    <x v="0"/>
    <x v="1"/>
  </r>
  <r>
    <n v="772"/>
    <n v="0.2727"/>
    <x v="49"/>
    <x v="8"/>
    <n v="15"/>
    <x v="83"/>
    <x v="134"/>
    <x v="35"/>
    <n v="1"/>
    <x v="14"/>
    <b v="0"/>
    <x v="6"/>
    <x v="1"/>
    <x v="17"/>
    <x v="0"/>
    <x v="1"/>
  </r>
  <r>
    <n v="773"/>
    <n v="0.2727"/>
    <x v="37"/>
    <x v="2"/>
    <n v="9"/>
    <x v="38"/>
    <x v="127"/>
    <x v="35"/>
    <n v="1"/>
    <x v="15"/>
    <b v="0"/>
    <x v="6"/>
    <x v="1"/>
    <x v="17"/>
    <x v="0"/>
    <x v="1"/>
  </r>
  <r>
    <n v="774"/>
    <n v="0.28789999999999999"/>
    <x v="16"/>
    <x v="6"/>
    <n v="8"/>
    <x v="165"/>
    <x v="111"/>
    <x v="35"/>
    <n v="1"/>
    <x v="16"/>
    <b v="0"/>
    <x v="6"/>
    <x v="1"/>
    <x v="11"/>
    <x v="0"/>
    <x v="1"/>
  </r>
  <r>
    <n v="775"/>
    <n v="0.2727"/>
    <x v="34"/>
    <x v="7"/>
    <n v="10"/>
    <x v="166"/>
    <x v="177"/>
    <x v="35"/>
    <n v="1"/>
    <x v="17"/>
    <b v="0"/>
    <x v="6"/>
    <x v="1"/>
    <x v="12"/>
    <x v="0"/>
    <x v="1"/>
  </r>
  <r>
    <n v="776"/>
    <n v="0.2576"/>
    <x v="54"/>
    <x v="14"/>
    <n v="3"/>
    <x v="167"/>
    <x v="107"/>
    <x v="35"/>
    <n v="1"/>
    <x v="18"/>
    <b v="0"/>
    <x v="6"/>
    <x v="1"/>
    <x v="0"/>
    <x v="0"/>
    <x v="1"/>
  </r>
  <r>
    <n v="777"/>
    <n v="0.2424"/>
    <x v="55"/>
    <x v="7"/>
    <n v="1"/>
    <x v="46"/>
    <x v="153"/>
    <x v="35"/>
    <n v="1"/>
    <x v="19"/>
    <b v="0"/>
    <x v="6"/>
    <x v="1"/>
    <x v="0"/>
    <x v="0"/>
    <x v="1"/>
  </r>
  <r>
    <n v="778"/>
    <n v="0.2424"/>
    <x v="55"/>
    <x v="8"/>
    <n v="2"/>
    <x v="94"/>
    <x v="68"/>
    <x v="35"/>
    <n v="1"/>
    <x v="20"/>
    <b v="0"/>
    <x v="6"/>
    <x v="1"/>
    <x v="0"/>
    <x v="0"/>
    <x v="1"/>
  </r>
  <r>
    <n v="779"/>
    <n v="0.2424"/>
    <x v="56"/>
    <x v="8"/>
    <n v="2"/>
    <x v="40"/>
    <x v="74"/>
    <x v="35"/>
    <n v="1"/>
    <x v="21"/>
    <b v="0"/>
    <x v="6"/>
    <x v="1"/>
    <x v="0"/>
    <x v="0"/>
    <x v="1"/>
  </r>
  <r>
    <n v="780"/>
    <n v="0.2424"/>
    <x v="55"/>
    <x v="8"/>
    <n v="1"/>
    <x v="108"/>
    <x v="66"/>
    <x v="35"/>
    <n v="1"/>
    <x v="22"/>
    <b v="0"/>
    <x v="6"/>
    <x v="1"/>
    <x v="0"/>
    <x v="0"/>
    <x v="1"/>
  </r>
  <r>
    <n v="781"/>
    <n v="0.2424"/>
    <x v="56"/>
    <x v="7"/>
    <n v="1"/>
    <x v="10"/>
    <x v="35"/>
    <x v="35"/>
    <n v="1"/>
    <x v="23"/>
    <b v="0"/>
    <x v="6"/>
    <x v="1"/>
    <x v="0"/>
    <x v="0"/>
    <x v="1"/>
  </r>
  <r>
    <n v="782"/>
    <n v="0.2424"/>
    <x v="56"/>
    <x v="8"/>
    <n v="3"/>
    <x v="49"/>
    <x v="21"/>
    <x v="36"/>
    <n v="1"/>
    <x v="0"/>
    <b v="0"/>
    <x v="0"/>
    <x v="1"/>
    <x v="0"/>
    <x v="0"/>
    <x v="1"/>
  </r>
  <r>
    <n v="783"/>
    <n v="0.2424"/>
    <x v="55"/>
    <x v="8"/>
    <n v="1"/>
    <x v="19"/>
    <x v="109"/>
    <x v="36"/>
    <n v="1"/>
    <x v="1"/>
    <b v="0"/>
    <x v="0"/>
    <x v="1"/>
    <x v="0"/>
    <x v="0"/>
    <x v="1"/>
  </r>
  <r>
    <n v="784"/>
    <n v="0.2424"/>
    <x v="2"/>
    <x v="8"/>
    <n v="5"/>
    <x v="98"/>
    <x v="22"/>
    <x v="36"/>
    <n v="1"/>
    <x v="2"/>
    <b v="0"/>
    <x v="0"/>
    <x v="1"/>
    <x v="0"/>
    <x v="0"/>
    <x v="1"/>
  </r>
  <r>
    <n v="785"/>
    <n v="0.2424"/>
    <x v="2"/>
    <x v="8"/>
    <n v="1"/>
    <x v="3"/>
    <x v="62"/>
    <x v="36"/>
    <n v="1"/>
    <x v="3"/>
    <b v="0"/>
    <x v="0"/>
    <x v="1"/>
    <x v="0"/>
    <x v="0"/>
    <x v="1"/>
  </r>
  <r>
    <n v="786"/>
    <n v="0.2273"/>
    <x v="43"/>
    <x v="7"/>
    <n v="0"/>
    <x v="21"/>
    <x v="7"/>
    <x v="36"/>
    <n v="1"/>
    <x v="4"/>
    <b v="0"/>
    <x v="0"/>
    <x v="2"/>
    <x v="1"/>
    <x v="0"/>
    <x v="2"/>
  </r>
  <r>
    <n v="787"/>
    <n v="0.2273"/>
    <x v="11"/>
    <x v="1"/>
    <n v="0"/>
    <x v="33"/>
    <x v="23"/>
    <x v="36"/>
    <n v="1"/>
    <x v="5"/>
    <b v="0"/>
    <x v="0"/>
    <x v="2"/>
    <x v="2"/>
    <x v="0"/>
    <x v="2"/>
  </r>
  <r>
    <n v="788"/>
    <n v="0.2576"/>
    <x v="11"/>
    <x v="0"/>
    <n v="0"/>
    <x v="22"/>
    <x v="48"/>
    <x v="36"/>
    <n v="1"/>
    <x v="6"/>
    <b v="0"/>
    <x v="0"/>
    <x v="2"/>
    <x v="2"/>
    <x v="0"/>
    <x v="2"/>
  </r>
  <r>
    <n v="789"/>
    <n v="0.2576"/>
    <x v="43"/>
    <x v="1"/>
    <n v="0"/>
    <x v="22"/>
    <x v="48"/>
    <x v="36"/>
    <n v="1"/>
    <x v="7"/>
    <b v="0"/>
    <x v="0"/>
    <x v="2"/>
    <x v="1"/>
    <x v="0"/>
    <x v="2"/>
  </r>
  <r>
    <n v="790"/>
    <n v="0.2273"/>
    <x v="11"/>
    <x v="1"/>
    <n v="0"/>
    <x v="3"/>
    <x v="98"/>
    <x v="36"/>
    <n v="1"/>
    <x v="8"/>
    <b v="0"/>
    <x v="0"/>
    <x v="2"/>
    <x v="2"/>
    <x v="0"/>
    <x v="2"/>
  </r>
  <r>
    <n v="791"/>
    <n v="0.2273"/>
    <x v="11"/>
    <x v="1"/>
    <n v="3"/>
    <x v="19"/>
    <x v="25"/>
    <x v="36"/>
    <n v="1"/>
    <x v="9"/>
    <b v="0"/>
    <x v="0"/>
    <x v="2"/>
    <x v="2"/>
    <x v="0"/>
    <x v="2"/>
  </r>
  <r>
    <n v="792"/>
    <n v="0.21210000000000001"/>
    <x v="11"/>
    <x v="7"/>
    <n v="3"/>
    <x v="17"/>
    <x v="19"/>
    <x v="36"/>
    <n v="1"/>
    <x v="10"/>
    <b v="0"/>
    <x v="0"/>
    <x v="2"/>
    <x v="2"/>
    <x v="0"/>
    <x v="2"/>
  </r>
  <r>
    <n v="793"/>
    <n v="0.2273"/>
    <x v="11"/>
    <x v="7"/>
    <n v="1"/>
    <x v="24"/>
    <x v="105"/>
    <x v="36"/>
    <n v="1"/>
    <x v="11"/>
    <b v="0"/>
    <x v="0"/>
    <x v="2"/>
    <x v="1"/>
    <x v="0"/>
    <x v="2"/>
  </r>
  <r>
    <n v="794"/>
    <n v="0.2273"/>
    <x v="11"/>
    <x v="8"/>
    <n v="10"/>
    <x v="76"/>
    <x v="46"/>
    <x v="36"/>
    <n v="1"/>
    <x v="12"/>
    <b v="0"/>
    <x v="0"/>
    <x v="2"/>
    <x v="1"/>
    <x v="0"/>
    <x v="2"/>
  </r>
  <r>
    <n v="795"/>
    <n v="0.2273"/>
    <x v="11"/>
    <x v="8"/>
    <n v="10"/>
    <x v="133"/>
    <x v="44"/>
    <x v="36"/>
    <n v="1"/>
    <x v="13"/>
    <b v="0"/>
    <x v="0"/>
    <x v="2"/>
    <x v="1"/>
    <x v="0"/>
    <x v="2"/>
  </r>
  <r>
    <n v="796"/>
    <n v="0.2727"/>
    <x v="11"/>
    <x v="0"/>
    <n v="5"/>
    <x v="54"/>
    <x v="97"/>
    <x v="36"/>
    <n v="1"/>
    <x v="14"/>
    <b v="0"/>
    <x v="0"/>
    <x v="2"/>
    <x v="1"/>
    <x v="0"/>
    <x v="2"/>
  </r>
  <r>
    <n v="797"/>
    <n v="0.2727"/>
    <x v="11"/>
    <x v="0"/>
    <n v="11"/>
    <x v="47"/>
    <x v="122"/>
    <x v="36"/>
    <n v="1"/>
    <x v="15"/>
    <b v="0"/>
    <x v="0"/>
    <x v="2"/>
    <x v="1"/>
    <x v="0"/>
    <x v="2"/>
  </r>
  <r>
    <n v="798"/>
    <n v="0.2273"/>
    <x v="11"/>
    <x v="7"/>
    <n v="8"/>
    <x v="36"/>
    <x v="68"/>
    <x v="36"/>
    <n v="1"/>
    <x v="16"/>
    <b v="0"/>
    <x v="0"/>
    <x v="2"/>
    <x v="1"/>
    <x v="0"/>
    <x v="2"/>
  </r>
  <r>
    <n v="799"/>
    <n v="0.21210000000000001"/>
    <x v="11"/>
    <x v="3"/>
    <n v="14"/>
    <x v="27"/>
    <x v="53"/>
    <x v="36"/>
    <n v="1"/>
    <x v="17"/>
    <b v="0"/>
    <x v="0"/>
    <x v="1"/>
    <x v="0"/>
    <x v="0"/>
    <x v="1"/>
  </r>
  <r>
    <n v="800"/>
    <n v="0.2424"/>
    <x v="43"/>
    <x v="10"/>
    <n v="2"/>
    <x v="38"/>
    <x v="56"/>
    <x v="36"/>
    <n v="1"/>
    <x v="18"/>
    <b v="0"/>
    <x v="0"/>
    <x v="1"/>
    <x v="17"/>
    <x v="0"/>
    <x v="1"/>
  </r>
  <r>
    <n v="801"/>
    <n v="0.2424"/>
    <x v="43"/>
    <x v="10"/>
    <n v="6"/>
    <x v="78"/>
    <x v="11"/>
    <x v="36"/>
    <n v="1"/>
    <x v="19"/>
    <b v="0"/>
    <x v="0"/>
    <x v="1"/>
    <x v="17"/>
    <x v="0"/>
    <x v="1"/>
  </r>
  <r>
    <n v="802"/>
    <n v="0.28789999999999999"/>
    <x v="9"/>
    <x v="2"/>
    <n v="5"/>
    <x v="27"/>
    <x v="83"/>
    <x v="36"/>
    <n v="1"/>
    <x v="20"/>
    <b v="0"/>
    <x v="0"/>
    <x v="0"/>
    <x v="11"/>
    <x v="0"/>
    <x v="0"/>
  </r>
  <r>
    <n v="803"/>
    <n v="0.2576"/>
    <x v="11"/>
    <x v="5"/>
    <n v="3"/>
    <x v="42"/>
    <x v="10"/>
    <x v="36"/>
    <n v="1"/>
    <x v="21"/>
    <b v="0"/>
    <x v="0"/>
    <x v="0"/>
    <x v="12"/>
    <x v="0"/>
    <x v="0"/>
  </r>
  <r>
    <n v="804"/>
    <n v="0.2727"/>
    <x v="43"/>
    <x v="7"/>
    <n v="2"/>
    <x v="30"/>
    <x v="79"/>
    <x v="36"/>
    <n v="1"/>
    <x v="22"/>
    <b v="0"/>
    <x v="0"/>
    <x v="0"/>
    <x v="12"/>
    <x v="0"/>
    <x v="0"/>
  </r>
  <r>
    <n v="805"/>
    <n v="0.2576"/>
    <x v="43"/>
    <x v="6"/>
    <n v="7"/>
    <x v="15"/>
    <x v="29"/>
    <x v="36"/>
    <n v="1"/>
    <x v="23"/>
    <b v="0"/>
    <x v="0"/>
    <x v="0"/>
    <x v="12"/>
    <x v="0"/>
    <x v="0"/>
  </r>
  <r>
    <n v="806"/>
    <n v="0.2576"/>
    <x v="56"/>
    <x v="5"/>
    <n v="2"/>
    <x v="53"/>
    <x v="21"/>
    <x v="37"/>
    <n v="1"/>
    <x v="0"/>
    <b v="1"/>
    <x v="1"/>
    <x v="0"/>
    <x v="12"/>
    <x v="1"/>
    <x v="0"/>
  </r>
  <r>
    <n v="807"/>
    <n v="0.2273"/>
    <x v="55"/>
    <x v="12"/>
    <n v="4"/>
    <x v="71"/>
    <x v="40"/>
    <x v="37"/>
    <n v="1"/>
    <x v="1"/>
    <b v="1"/>
    <x v="1"/>
    <x v="0"/>
    <x v="12"/>
    <x v="1"/>
    <x v="0"/>
  </r>
  <r>
    <n v="808"/>
    <n v="0.2273"/>
    <x v="54"/>
    <x v="9"/>
    <n v="0"/>
    <x v="32"/>
    <x v="25"/>
    <x v="37"/>
    <n v="1"/>
    <x v="2"/>
    <b v="1"/>
    <x v="1"/>
    <x v="0"/>
    <x v="12"/>
    <x v="1"/>
    <x v="0"/>
  </r>
  <r>
    <n v="809"/>
    <n v="0.28789999999999999"/>
    <x v="54"/>
    <x v="1"/>
    <n v="3"/>
    <x v="3"/>
    <x v="3"/>
    <x v="37"/>
    <n v="1"/>
    <x v="3"/>
    <b v="1"/>
    <x v="1"/>
    <x v="0"/>
    <x v="12"/>
    <x v="1"/>
    <x v="0"/>
  </r>
  <r>
    <n v="810"/>
    <n v="0.2273"/>
    <x v="54"/>
    <x v="11"/>
    <n v="0"/>
    <x v="6"/>
    <x v="5"/>
    <x v="37"/>
    <n v="1"/>
    <x v="4"/>
    <b v="1"/>
    <x v="1"/>
    <x v="0"/>
    <x v="12"/>
    <x v="1"/>
    <x v="0"/>
  </r>
  <r>
    <n v="811"/>
    <n v="0.2576"/>
    <x v="54"/>
    <x v="6"/>
    <n v="0"/>
    <x v="4"/>
    <x v="4"/>
    <x v="37"/>
    <n v="1"/>
    <x v="5"/>
    <b v="1"/>
    <x v="1"/>
    <x v="0"/>
    <x v="12"/>
    <x v="1"/>
    <x v="0"/>
  </r>
  <r>
    <n v="812"/>
    <n v="0.2576"/>
    <x v="54"/>
    <x v="6"/>
    <n v="0"/>
    <x v="4"/>
    <x v="4"/>
    <x v="37"/>
    <n v="1"/>
    <x v="6"/>
    <b v="1"/>
    <x v="1"/>
    <x v="0"/>
    <x v="12"/>
    <x v="1"/>
    <x v="0"/>
  </r>
  <r>
    <n v="813"/>
    <n v="0.2424"/>
    <x v="55"/>
    <x v="8"/>
    <n v="0"/>
    <x v="21"/>
    <x v="7"/>
    <x v="37"/>
    <n v="1"/>
    <x v="7"/>
    <b v="1"/>
    <x v="1"/>
    <x v="0"/>
    <x v="0"/>
    <x v="1"/>
    <x v="0"/>
  </r>
  <r>
    <n v="814"/>
    <n v="0.2576"/>
    <x v="55"/>
    <x v="14"/>
    <n v="2"/>
    <x v="144"/>
    <x v="84"/>
    <x v="37"/>
    <n v="1"/>
    <x v="8"/>
    <b v="1"/>
    <x v="1"/>
    <x v="0"/>
    <x v="0"/>
    <x v="1"/>
    <x v="0"/>
  </r>
  <r>
    <n v="815"/>
    <n v="0.28789999999999999"/>
    <x v="34"/>
    <x v="14"/>
    <n v="7"/>
    <x v="101"/>
    <x v="79"/>
    <x v="37"/>
    <n v="1"/>
    <x v="9"/>
    <b v="1"/>
    <x v="1"/>
    <x v="0"/>
    <x v="17"/>
    <x v="1"/>
    <x v="0"/>
  </r>
  <r>
    <n v="816"/>
    <n v="0.28789999999999999"/>
    <x v="35"/>
    <x v="2"/>
    <n v="15"/>
    <x v="64"/>
    <x v="70"/>
    <x v="37"/>
    <n v="1"/>
    <x v="10"/>
    <b v="1"/>
    <x v="1"/>
    <x v="0"/>
    <x v="11"/>
    <x v="1"/>
    <x v="0"/>
  </r>
  <r>
    <n v="817"/>
    <n v="0.30299999999999999"/>
    <x v="36"/>
    <x v="2"/>
    <n v="28"/>
    <x v="121"/>
    <x v="126"/>
    <x v="37"/>
    <n v="1"/>
    <x v="11"/>
    <b v="1"/>
    <x v="1"/>
    <x v="0"/>
    <x v="3"/>
    <x v="1"/>
    <x v="0"/>
  </r>
  <r>
    <n v="818"/>
    <n v="0.33329999999999999"/>
    <x v="15"/>
    <x v="0"/>
    <n v="48"/>
    <x v="168"/>
    <x v="178"/>
    <x v="37"/>
    <n v="1"/>
    <x v="12"/>
    <b v="1"/>
    <x v="1"/>
    <x v="0"/>
    <x v="10"/>
    <x v="1"/>
    <x v="0"/>
  </r>
  <r>
    <n v="819"/>
    <n v="0.36359999999999998"/>
    <x v="15"/>
    <x v="0"/>
    <n v="47"/>
    <x v="113"/>
    <x v="58"/>
    <x v="37"/>
    <n v="1"/>
    <x v="13"/>
    <b v="1"/>
    <x v="1"/>
    <x v="0"/>
    <x v="10"/>
    <x v="1"/>
    <x v="0"/>
  </r>
  <r>
    <n v="820"/>
    <n v="0.34849999999999998"/>
    <x v="15"/>
    <x v="1"/>
    <n v="47"/>
    <x v="157"/>
    <x v="143"/>
    <x v="37"/>
    <n v="1"/>
    <x v="14"/>
    <b v="1"/>
    <x v="1"/>
    <x v="0"/>
    <x v="10"/>
    <x v="1"/>
    <x v="0"/>
  </r>
  <r>
    <n v="821"/>
    <n v="0.34849999999999998"/>
    <x v="15"/>
    <x v="1"/>
    <n v="52"/>
    <x v="110"/>
    <x v="58"/>
    <x v="37"/>
    <n v="1"/>
    <x v="15"/>
    <b v="1"/>
    <x v="1"/>
    <x v="0"/>
    <x v="10"/>
    <x v="1"/>
    <x v="0"/>
  </r>
  <r>
    <n v="822"/>
    <n v="0.34849999999999998"/>
    <x v="36"/>
    <x v="14"/>
    <n v="42"/>
    <x v="169"/>
    <x v="45"/>
    <x v="37"/>
    <n v="1"/>
    <x v="16"/>
    <b v="1"/>
    <x v="1"/>
    <x v="0"/>
    <x v="10"/>
    <x v="1"/>
    <x v="0"/>
  </r>
  <r>
    <n v="823"/>
    <n v="0.36359999999999998"/>
    <x v="15"/>
    <x v="0"/>
    <n v="24"/>
    <x v="106"/>
    <x v="179"/>
    <x v="37"/>
    <n v="1"/>
    <x v="17"/>
    <b v="1"/>
    <x v="1"/>
    <x v="0"/>
    <x v="10"/>
    <x v="1"/>
    <x v="0"/>
  </r>
  <r>
    <n v="824"/>
    <n v="0.30299999999999999"/>
    <x v="34"/>
    <x v="8"/>
    <n v="13"/>
    <x v="65"/>
    <x v="53"/>
    <x v="37"/>
    <n v="1"/>
    <x v="18"/>
    <b v="1"/>
    <x v="1"/>
    <x v="0"/>
    <x v="11"/>
    <x v="1"/>
    <x v="0"/>
  </r>
  <r>
    <n v="825"/>
    <n v="0.28789999999999999"/>
    <x v="53"/>
    <x v="7"/>
    <n v="1"/>
    <x v="32"/>
    <x v="137"/>
    <x v="37"/>
    <n v="1"/>
    <x v="19"/>
    <b v="1"/>
    <x v="1"/>
    <x v="0"/>
    <x v="17"/>
    <x v="1"/>
    <x v="0"/>
  </r>
  <r>
    <n v="826"/>
    <n v="0.28789999999999999"/>
    <x v="53"/>
    <x v="14"/>
    <n v="5"/>
    <x v="144"/>
    <x v="132"/>
    <x v="37"/>
    <n v="1"/>
    <x v="20"/>
    <b v="1"/>
    <x v="1"/>
    <x v="0"/>
    <x v="17"/>
    <x v="1"/>
    <x v="0"/>
  </r>
  <r>
    <n v="827"/>
    <n v="0.30299999999999999"/>
    <x v="54"/>
    <x v="0"/>
    <n v="5"/>
    <x v="97"/>
    <x v="110"/>
    <x v="37"/>
    <n v="1"/>
    <x v="21"/>
    <b v="1"/>
    <x v="1"/>
    <x v="0"/>
    <x v="12"/>
    <x v="1"/>
    <x v="0"/>
  </r>
  <r>
    <n v="828"/>
    <n v="0.30299999999999999"/>
    <x v="54"/>
    <x v="0"/>
    <n v="5"/>
    <x v="77"/>
    <x v="69"/>
    <x v="37"/>
    <n v="1"/>
    <x v="22"/>
    <b v="1"/>
    <x v="1"/>
    <x v="0"/>
    <x v="12"/>
    <x v="1"/>
    <x v="0"/>
  </r>
  <r>
    <n v="829"/>
    <n v="0.28789999999999999"/>
    <x v="55"/>
    <x v="0"/>
    <n v="4"/>
    <x v="16"/>
    <x v="33"/>
    <x v="37"/>
    <n v="1"/>
    <x v="23"/>
    <b v="1"/>
    <x v="1"/>
    <x v="0"/>
    <x v="0"/>
    <x v="1"/>
    <x v="0"/>
  </r>
  <r>
    <n v="830"/>
    <n v="0.28789999999999999"/>
    <x v="55"/>
    <x v="0"/>
    <n v="1"/>
    <x v="88"/>
    <x v="93"/>
    <x v="38"/>
    <n v="1"/>
    <x v="0"/>
    <b v="1"/>
    <x v="2"/>
    <x v="0"/>
    <x v="0"/>
    <x v="2"/>
    <x v="0"/>
  </r>
  <r>
    <n v="831"/>
    <n v="0.2727"/>
    <x v="2"/>
    <x v="0"/>
    <n v="1"/>
    <x v="22"/>
    <x v="36"/>
    <x v="38"/>
    <n v="1"/>
    <x v="1"/>
    <b v="1"/>
    <x v="2"/>
    <x v="0"/>
    <x v="1"/>
    <x v="2"/>
    <x v="0"/>
  </r>
  <r>
    <n v="832"/>
    <n v="0.2576"/>
    <x v="1"/>
    <x v="0"/>
    <n v="0"/>
    <x v="35"/>
    <x v="6"/>
    <x v="38"/>
    <n v="1"/>
    <x v="2"/>
    <b v="1"/>
    <x v="2"/>
    <x v="0"/>
    <x v="2"/>
    <x v="2"/>
    <x v="0"/>
  </r>
  <r>
    <n v="833"/>
    <n v="0.2576"/>
    <x v="3"/>
    <x v="0"/>
    <n v="0"/>
    <x v="4"/>
    <x v="4"/>
    <x v="38"/>
    <n v="1"/>
    <x v="3"/>
    <b v="1"/>
    <x v="2"/>
    <x v="0"/>
    <x v="2"/>
    <x v="2"/>
    <x v="0"/>
  </r>
  <r>
    <n v="834"/>
    <n v="0.2576"/>
    <x v="3"/>
    <x v="0"/>
    <n v="1"/>
    <x v="4"/>
    <x v="5"/>
    <x v="38"/>
    <n v="1"/>
    <x v="4"/>
    <b v="1"/>
    <x v="2"/>
    <x v="0"/>
    <x v="2"/>
    <x v="2"/>
    <x v="0"/>
  </r>
  <r>
    <n v="835"/>
    <n v="0.2576"/>
    <x v="3"/>
    <x v="0"/>
    <n v="1"/>
    <x v="33"/>
    <x v="98"/>
    <x v="38"/>
    <n v="1"/>
    <x v="5"/>
    <b v="1"/>
    <x v="2"/>
    <x v="0"/>
    <x v="2"/>
    <x v="2"/>
    <x v="0"/>
  </r>
  <r>
    <n v="836"/>
    <n v="0.2424"/>
    <x v="43"/>
    <x v="0"/>
    <n v="1"/>
    <x v="31"/>
    <x v="33"/>
    <x v="38"/>
    <n v="1"/>
    <x v="6"/>
    <b v="1"/>
    <x v="2"/>
    <x v="0"/>
    <x v="15"/>
    <x v="2"/>
    <x v="0"/>
  </r>
  <r>
    <n v="837"/>
    <n v="0.2424"/>
    <x v="3"/>
    <x v="0"/>
    <n v="6"/>
    <x v="121"/>
    <x v="76"/>
    <x v="38"/>
    <n v="1"/>
    <x v="7"/>
    <b v="1"/>
    <x v="2"/>
    <x v="0"/>
    <x v="15"/>
    <x v="2"/>
    <x v="0"/>
  </r>
  <r>
    <n v="838"/>
    <n v="0.2273"/>
    <x v="11"/>
    <x v="0"/>
    <n v="7"/>
    <x v="170"/>
    <x v="180"/>
    <x v="38"/>
    <n v="1"/>
    <x v="8"/>
    <b v="1"/>
    <x v="2"/>
    <x v="1"/>
    <x v="13"/>
    <x v="2"/>
    <x v="1"/>
  </r>
  <r>
    <n v="839"/>
    <n v="0.2727"/>
    <x v="1"/>
    <x v="0"/>
    <n v="3"/>
    <x v="169"/>
    <x v="130"/>
    <x v="38"/>
    <n v="1"/>
    <x v="9"/>
    <b v="1"/>
    <x v="2"/>
    <x v="0"/>
    <x v="1"/>
    <x v="2"/>
    <x v="0"/>
  </r>
  <r>
    <n v="840"/>
    <n v="0.2576"/>
    <x v="2"/>
    <x v="14"/>
    <n v="6"/>
    <x v="47"/>
    <x v="97"/>
    <x v="38"/>
    <n v="1"/>
    <x v="10"/>
    <b v="1"/>
    <x v="2"/>
    <x v="0"/>
    <x v="0"/>
    <x v="2"/>
    <x v="0"/>
  </r>
  <r>
    <n v="841"/>
    <n v="0.31819999999999998"/>
    <x v="55"/>
    <x v="1"/>
    <n v="11"/>
    <x v="49"/>
    <x v="105"/>
    <x v="38"/>
    <n v="1"/>
    <x v="11"/>
    <b v="1"/>
    <x v="2"/>
    <x v="0"/>
    <x v="11"/>
    <x v="2"/>
    <x v="0"/>
  </r>
  <r>
    <n v="842"/>
    <n v="0.34849999999999998"/>
    <x v="51"/>
    <x v="0"/>
    <n v="7"/>
    <x v="79"/>
    <x v="181"/>
    <x v="38"/>
    <n v="1"/>
    <x v="12"/>
    <b v="1"/>
    <x v="2"/>
    <x v="1"/>
    <x v="3"/>
    <x v="2"/>
    <x v="1"/>
  </r>
  <r>
    <n v="843"/>
    <n v="0.36359999999999998"/>
    <x v="14"/>
    <x v="1"/>
    <n v="10"/>
    <x v="25"/>
    <x v="37"/>
    <x v="38"/>
    <n v="1"/>
    <x v="13"/>
    <b v="1"/>
    <x v="2"/>
    <x v="1"/>
    <x v="5"/>
    <x v="2"/>
    <x v="1"/>
  </r>
  <r>
    <n v="844"/>
    <n v="0.36359999999999998"/>
    <x v="14"/>
    <x v="1"/>
    <n v="8"/>
    <x v="15"/>
    <x v="122"/>
    <x v="38"/>
    <n v="1"/>
    <x v="14"/>
    <b v="1"/>
    <x v="2"/>
    <x v="1"/>
    <x v="5"/>
    <x v="2"/>
    <x v="1"/>
  </r>
  <r>
    <n v="845"/>
    <n v="0.39389999999999997"/>
    <x v="47"/>
    <x v="1"/>
    <n v="4"/>
    <x v="24"/>
    <x v="89"/>
    <x v="38"/>
    <n v="1"/>
    <x v="15"/>
    <b v="1"/>
    <x v="2"/>
    <x v="1"/>
    <x v="4"/>
    <x v="2"/>
    <x v="1"/>
  </r>
  <r>
    <n v="846"/>
    <n v="0.34849999999999998"/>
    <x v="14"/>
    <x v="7"/>
    <n v="16"/>
    <x v="52"/>
    <x v="182"/>
    <x v="38"/>
    <n v="1"/>
    <x v="16"/>
    <b v="1"/>
    <x v="2"/>
    <x v="1"/>
    <x v="5"/>
    <x v="2"/>
    <x v="1"/>
  </r>
  <r>
    <n v="847"/>
    <n v="0.31819999999999998"/>
    <x v="56"/>
    <x v="8"/>
    <n v="9"/>
    <x v="134"/>
    <x v="183"/>
    <x v="38"/>
    <n v="1"/>
    <x v="17"/>
    <b v="1"/>
    <x v="2"/>
    <x v="1"/>
    <x v="3"/>
    <x v="2"/>
    <x v="1"/>
  </r>
  <r>
    <n v="848"/>
    <n v="0.33329999999999999"/>
    <x v="13"/>
    <x v="7"/>
    <n v="5"/>
    <x v="163"/>
    <x v="173"/>
    <x v="38"/>
    <n v="1"/>
    <x v="18"/>
    <b v="1"/>
    <x v="2"/>
    <x v="1"/>
    <x v="10"/>
    <x v="2"/>
    <x v="1"/>
  </r>
  <r>
    <n v="849"/>
    <n v="0.34849999999999998"/>
    <x v="56"/>
    <x v="0"/>
    <n v="5"/>
    <x v="171"/>
    <x v="116"/>
    <x v="38"/>
    <n v="1"/>
    <x v="19"/>
    <b v="1"/>
    <x v="2"/>
    <x v="1"/>
    <x v="3"/>
    <x v="2"/>
    <x v="1"/>
  </r>
  <r>
    <n v="850"/>
    <n v="0.33329999999999999"/>
    <x v="56"/>
    <x v="14"/>
    <n v="6"/>
    <x v="70"/>
    <x v="39"/>
    <x v="38"/>
    <n v="1"/>
    <x v="20"/>
    <b v="1"/>
    <x v="2"/>
    <x v="1"/>
    <x v="3"/>
    <x v="2"/>
    <x v="1"/>
  </r>
  <r>
    <n v="851"/>
    <n v="0.34849999999999998"/>
    <x v="56"/>
    <x v="0"/>
    <n v="3"/>
    <x v="102"/>
    <x v="53"/>
    <x v="38"/>
    <n v="1"/>
    <x v="21"/>
    <b v="1"/>
    <x v="2"/>
    <x v="0"/>
    <x v="3"/>
    <x v="2"/>
    <x v="0"/>
  </r>
  <r>
    <n v="852"/>
    <n v="0.30299999999999999"/>
    <x v="0"/>
    <x v="1"/>
    <n v="3"/>
    <x v="60"/>
    <x v="18"/>
    <x v="38"/>
    <n v="1"/>
    <x v="22"/>
    <b v="1"/>
    <x v="2"/>
    <x v="0"/>
    <x v="17"/>
    <x v="2"/>
    <x v="0"/>
  </r>
  <r>
    <n v="853"/>
    <n v="0.33329999999999999"/>
    <x v="0"/>
    <x v="0"/>
    <n v="6"/>
    <x v="23"/>
    <x v="94"/>
    <x v="38"/>
    <n v="1"/>
    <x v="23"/>
    <b v="1"/>
    <x v="2"/>
    <x v="1"/>
    <x v="11"/>
    <x v="2"/>
    <x v="1"/>
  </r>
  <r>
    <n v="854"/>
    <n v="0.31819999999999998"/>
    <x v="9"/>
    <x v="0"/>
    <n v="4"/>
    <x v="8"/>
    <x v="98"/>
    <x v="39"/>
    <n v="1"/>
    <x v="0"/>
    <b v="0"/>
    <x v="3"/>
    <x v="1"/>
    <x v="17"/>
    <x v="0"/>
    <x v="1"/>
  </r>
  <r>
    <n v="855"/>
    <n v="0.31819999999999998"/>
    <x v="9"/>
    <x v="0"/>
    <n v="0"/>
    <x v="22"/>
    <x v="48"/>
    <x v="39"/>
    <n v="1"/>
    <x v="1"/>
    <b v="0"/>
    <x v="3"/>
    <x v="1"/>
    <x v="17"/>
    <x v="0"/>
    <x v="1"/>
  </r>
  <r>
    <n v="856"/>
    <n v="0.2727"/>
    <x v="43"/>
    <x v="14"/>
    <n v="1"/>
    <x v="4"/>
    <x v="5"/>
    <x v="39"/>
    <n v="1"/>
    <x v="2"/>
    <b v="0"/>
    <x v="3"/>
    <x v="1"/>
    <x v="12"/>
    <x v="0"/>
    <x v="1"/>
  </r>
  <r>
    <n v="857"/>
    <n v="0.2727"/>
    <x v="43"/>
    <x v="8"/>
    <n v="0"/>
    <x v="4"/>
    <x v="4"/>
    <x v="39"/>
    <n v="1"/>
    <x v="3"/>
    <b v="0"/>
    <x v="3"/>
    <x v="2"/>
    <x v="17"/>
    <x v="0"/>
    <x v="2"/>
  </r>
  <r>
    <n v="858"/>
    <n v="0.2576"/>
    <x v="43"/>
    <x v="8"/>
    <n v="0"/>
    <x v="35"/>
    <x v="6"/>
    <x v="39"/>
    <n v="1"/>
    <x v="4"/>
    <b v="0"/>
    <x v="3"/>
    <x v="0"/>
    <x v="12"/>
    <x v="0"/>
    <x v="0"/>
  </r>
  <r>
    <n v="859"/>
    <n v="0.2273"/>
    <x v="0"/>
    <x v="9"/>
    <n v="0"/>
    <x v="6"/>
    <x v="5"/>
    <x v="39"/>
    <n v="1"/>
    <x v="5"/>
    <b v="0"/>
    <x v="3"/>
    <x v="0"/>
    <x v="12"/>
    <x v="0"/>
    <x v="0"/>
  </r>
  <r>
    <n v="860"/>
    <n v="0.2273"/>
    <x v="56"/>
    <x v="9"/>
    <n v="0"/>
    <x v="87"/>
    <x v="21"/>
    <x v="39"/>
    <n v="1"/>
    <x v="6"/>
    <b v="0"/>
    <x v="3"/>
    <x v="0"/>
    <x v="12"/>
    <x v="0"/>
    <x v="0"/>
  </r>
  <r>
    <n v="861"/>
    <n v="0.19700000000000001"/>
    <x v="55"/>
    <x v="12"/>
    <n v="3"/>
    <x v="106"/>
    <x v="50"/>
    <x v="39"/>
    <n v="1"/>
    <x v="7"/>
    <b v="0"/>
    <x v="3"/>
    <x v="0"/>
    <x v="0"/>
    <x v="0"/>
    <x v="0"/>
  </r>
  <r>
    <n v="862"/>
    <n v="0.19700000000000001"/>
    <x v="34"/>
    <x v="15"/>
    <n v="7"/>
    <x v="172"/>
    <x v="184"/>
    <x v="39"/>
    <n v="1"/>
    <x v="8"/>
    <b v="0"/>
    <x v="3"/>
    <x v="0"/>
    <x v="0"/>
    <x v="0"/>
    <x v="0"/>
  </r>
  <r>
    <n v="863"/>
    <n v="0.19700000000000001"/>
    <x v="35"/>
    <x v="15"/>
    <n v="7"/>
    <x v="173"/>
    <x v="170"/>
    <x v="39"/>
    <n v="1"/>
    <x v="9"/>
    <b v="0"/>
    <x v="3"/>
    <x v="0"/>
    <x v="0"/>
    <x v="0"/>
    <x v="0"/>
  </r>
  <r>
    <n v="864"/>
    <n v="0.18179999999999999"/>
    <x v="19"/>
    <x v="16"/>
    <n v="4"/>
    <x v="100"/>
    <x v="61"/>
    <x v="39"/>
    <n v="1"/>
    <x v="10"/>
    <b v="0"/>
    <x v="3"/>
    <x v="0"/>
    <x v="1"/>
    <x v="0"/>
    <x v="0"/>
  </r>
  <r>
    <n v="865"/>
    <n v="0.18179999999999999"/>
    <x v="19"/>
    <x v="17"/>
    <n v="1"/>
    <x v="47"/>
    <x v="89"/>
    <x v="39"/>
    <n v="1"/>
    <x v="11"/>
    <b v="0"/>
    <x v="3"/>
    <x v="0"/>
    <x v="1"/>
    <x v="0"/>
    <x v="0"/>
  </r>
  <r>
    <n v="866"/>
    <n v="0.19700000000000001"/>
    <x v="41"/>
    <x v="15"/>
    <n v="2"/>
    <x v="36"/>
    <x v="32"/>
    <x v="39"/>
    <n v="1"/>
    <x v="12"/>
    <b v="0"/>
    <x v="3"/>
    <x v="0"/>
    <x v="0"/>
    <x v="0"/>
    <x v="0"/>
  </r>
  <r>
    <n v="867"/>
    <n v="0.19700000000000001"/>
    <x v="25"/>
    <x v="10"/>
    <n v="2"/>
    <x v="41"/>
    <x v="89"/>
    <x v="39"/>
    <n v="1"/>
    <x v="13"/>
    <b v="0"/>
    <x v="3"/>
    <x v="1"/>
    <x v="0"/>
    <x v="0"/>
    <x v="1"/>
  </r>
  <r>
    <n v="868"/>
    <n v="0.19700000000000001"/>
    <x v="38"/>
    <x v="12"/>
    <n v="3"/>
    <x v="124"/>
    <x v="37"/>
    <x v="39"/>
    <n v="1"/>
    <x v="14"/>
    <b v="0"/>
    <x v="3"/>
    <x v="0"/>
    <x v="1"/>
    <x v="0"/>
    <x v="0"/>
  </r>
  <r>
    <n v="869"/>
    <n v="0.19700000000000001"/>
    <x v="23"/>
    <x v="13"/>
    <n v="6"/>
    <x v="108"/>
    <x v="41"/>
    <x v="39"/>
    <n v="1"/>
    <x v="15"/>
    <b v="0"/>
    <x v="3"/>
    <x v="0"/>
    <x v="1"/>
    <x v="0"/>
    <x v="0"/>
  </r>
  <r>
    <n v="870"/>
    <n v="0.18179999999999999"/>
    <x v="23"/>
    <x v="18"/>
    <n v="4"/>
    <x v="55"/>
    <x v="56"/>
    <x v="39"/>
    <n v="1"/>
    <x v="16"/>
    <b v="0"/>
    <x v="3"/>
    <x v="0"/>
    <x v="1"/>
    <x v="0"/>
    <x v="0"/>
  </r>
  <r>
    <n v="871"/>
    <n v="0.18179999999999999"/>
    <x v="25"/>
    <x v="19"/>
    <n v="4"/>
    <x v="158"/>
    <x v="171"/>
    <x v="39"/>
    <n v="1"/>
    <x v="17"/>
    <b v="0"/>
    <x v="3"/>
    <x v="0"/>
    <x v="1"/>
    <x v="0"/>
    <x v="0"/>
  </r>
  <r>
    <n v="872"/>
    <n v="0.18179999999999999"/>
    <x v="25"/>
    <x v="13"/>
    <n v="1"/>
    <x v="137"/>
    <x v="148"/>
    <x v="39"/>
    <n v="1"/>
    <x v="18"/>
    <b v="0"/>
    <x v="3"/>
    <x v="0"/>
    <x v="2"/>
    <x v="0"/>
    <x v="0"/>
  </r>
  <r>
    <n v="873"/>
    <n v="0.1212"/>
    <x v="22"/>
    <x v="17"/>
    <n v="1"/>
    <x v="129"/>
    <x v="129"/>
    <x v="39"/>
    <n v="1"/>
    <x v="19"/>
    <b v="0"/>
    <x v="3"/>
    <x v="0"/>
    <x v="13"/>
    <x v="0"/>
    <x v="0"/>
  </r>
  <r>
    <n v="874"/>
    <n v="0.13639999999999999"/>
    <x v="22"/>
    <x v="9"/>
    <n v="3"/>
    <x v="42"/>
    <x v="10"/>
    <x v="39"/>
    <n v="1"/>
    <x v="20"/>
    <b v="0"/>
    <x v="3"/>
    <x v="0"/>
    <x v="13"/>
    <x v="0"/>
    <x v="0"/>
  </r>
  <r>
    <n v="875"/>
    <n v="0.1061"/>
    <x v="39"/>
    <x v="17"/>
    <n v="8"/>
    <x v="24"/>
    <x v="60"/>
    <x v="39"/>
    <n v="1"/>
    <x v="21"/>
    <b v="0"/>
    <x v="3"/>
    <x v="0"/>
    <x v="14"/>
    <x v="0"/>
    <x v="0"/>
  </r>
  <r>
    <n v="876"/>
    <n v="0.1061"/>
    <x v="39"/>
    <x v="11"/>
    <n v="0"/>
    <x v="31"/>
    <x v="115"/>
    <x v="39"/>
    <n v="1"/>
    <x v="22"/>
    <b v="0"/>
    <x v="3"/>
    <x v="0"/>
    <x v="16"/>
    <x v="0"/>
    <x v="0"/>
  </r>
  <r>
    <n v="877"/>
    <n v="0.1061"/>
    <x v="39"/>
    <x v="9"/>
    <n v="3"/>
    <x v="33"/>
    <x v="47"/>
    <x v="39"/>
    <n v="1"/>
    <x v="23"/>
    <b v="0"/>
    <x v="3"/>
    <x v="0"/>
    <x v="16"/>
    <x v="0"/>
    <x v="0"/>
  </r>
  <r>
    <n v="878"/>
    <n v="7.5800000000000006E-2"/>
    <x v="42"/>
    <x v="11"/>
    <n v="0"/>
    <x v="19"/>
    <x v="22"/>
    <x v="40"/>
    <n v="1"/>
    <x v="0"/>
    <b v="0"/>
    <x v="4"/>
    <x v="0"/>
    <x v="18"/>
    <x v="0"/>
    <x v="0"/>
  </r>
  <r>
    <n v="879"/>
    <n v="0.1061"/>
    <x v="42"/>
    <x v="6"/>
    <n v="0"/>
    <x v="7"/>
    <x v="85"/>
    <x v="40"/>
    <n v="1"/>
    <x v="1"/>
    <b v="0"/>
    <x v="4"/>
    <x v="0"/>
    <x v="18"/>
    <x v="0"/>
    <x v="0"/>
  </r>
  <r>
    <n v="880"/>
    <n v="7.5800000000000006E-2"/>
    <x v="41"/>
    <x v="3"/>
    <n v="1"/>
    <x v="6"/>
    <x v="6"/>
    <x v="40"/>
    <n v="1"/>
    <x v="2"/>
    <b v="0"/>
    <x v="4"/>
    <x v="0"/>
    <x v="19"/>
    <x v="0"/>
    <x v="0"/>
  </r>
  <r>
    <n v="881"/>
    <n v="7.5800000000000006E-2"/>
    <x v="49"/>
    <x v="7"/>
    <n v="0"/>
    <x v="6"/>
    <x v="5"/>
    <x v="40"/>
    <n v="1"/>
    <x v="3"/>
    <b v="0"/>
    <x v="4"/>
    <x v="0"/>
    <x v="20"/>
    <x v="0"/>
    <x v="0"/>
  </r>
  <r>
    <n v="882"/>
    <n v="0.1061"/>
    <x v="49"/>
    <x v="14"/>
    <n v="0"/>
    <x v="7"/>
    <x v="85"/>
    <x v="40"/>
    <n v="1"/>
    <x v="5"/>
    <b v="0"/>
    <x v="4"/>
    <x v="0"/>
    <x v="20"/>
    <x v="0"/>
    <x v="0"/>
  </r>
  <r>
    <n v="883"/>
    <n v="0.1515"/>
    <x v="49"/>
    <x v="0"/>
    <n v="0"/>
    <x v="30"/>
    <x v="74"/>
    <x v="40"/>
    <n v="1"/>
    <x v="6"/>
    <b v="0"/>
    <x v="4"/>
    <x v="0"/>
    <x v="20"/>
    <x v="0"/>
    <x v="0"/>
  </r>
  <r>
    <n v="884"/>
    <n v="0.1061"/>
    <x v="36"/>
    <x v="14"/>
    <n v="4"/>
    <x v="73"/>
    <x v="111"/>
    <x v="40"/>
    <n v="1"/>
    <x v="7"/>
    <b v="0"/>
    <x v="4"/>
    <x v="0"/>
    <x v="20"/>
    <x v="0"/>
    <x v="0"/>
  </r>
  <r>
    <n v="885"/>
    <n v="0.13639999999999999"/>
    <x v="16"/>
    <x v="0"/>
    <n v="1"/>
    <x v="174"/>
    <x v="185"/>
    <x v="40"/>
    <n v="1"/>
    <x v="8"/>
    <b v="0"/>
    <x v="4"/>
    <x v="0"/>
    <x v="18"/>
    <x v="0"/>
    <x v="0"/>
  </r>
  <r>
    <n v="886"/>
    <n v="0.13639999999999999"/>
    <x v="17"/>
    <x v="8"/>
    <n v="4"/>
    <x v="138"/>
    <x v="92"/>
    <x v="40"/>
    <n v="1"/>
    <x v="9"/>
    <b v="0"/>
    <x v="4"/>
    <x v="0"/>
    <x v="16"/>
    <x v="0"/>
    <x v="0"/>
  </r>
  <r>
    <n v="887"/>
    <n v="0.18179999999999999"/>
    <x v="42"/>
    <x v="0"/>
    <n v="8"/>
    <x v="82"/>
    <x v="29"/>
    <x v="40"/>
    <n v="1"/>
    <x v="10"/>
    <b v="0"/>
    <x v="4"/>
    <x v="0"/>
    <x v="14"/>
    <x v="0"/>
    <x v="0"/>
  </r>
  <r>
    <n v="888"/>
    <n v="0.1515"/>
    <x v="21"/>
    <x v="8"/>
    <n v="1"/>
    <x v="71"/>
    <x v="102"/>
    <x v="40"/>
    <n v="1"/>
    <x v="11"/>
    <b v="0"/>
    <x v="4"/>
    <x v="1"/>
    <x v="14"/>
    <x v="0"/>
    <x v="1"/>
  </r>
  <r>
    <n v="889"/>
    <n v="0.18179999999999999"/>
    <x v="22"/>
    <x v="6"/>
    <n v="4"/>
    <x v="77"/>
    <x v="42"/>
    <x v="40"/>
    <n v="1"/>
    <x v="12"/>
    <b v="0"/>
    <x v="4"/>
    <x v="1"/>
    <x v="15"/>
    <x v="0"/>
    <x v="1"/>
  </r>
  <r>
    <n v="890"/>
    <n v="0.16669999999999999"/>
    <x v="22"/>
    <x v="2"/>
    <n v="2"/>
    <x v="28"/>
    <x v="83"/>
    <x v="40"/>
    <n v="1"/>
    <x v="13"/>
    <b v="0"/>
    <x v="4"/>
    <x v="0"/>
    <x v="15"/>
    <x v="0"/>
    <x v="0"/>
  </r>
  <r>
    <n v="891"/>
    <n v="0.18179999999999999"/>
    <x v="46"/>
    <x v="4"/>
    <n v="2"/>
    <x v="90"/>
    <x v="154"/>
    <x v="40"/>
    <n v="1"/>
    <x v="14"/>
    <b v="0"/>
    <x v="4"/>
    <x v="0"/>
    <x v="2"/>
    <x v="0"/>
    <x v="0"/>
  </r>
  <r>
    <n v="892"/>
    <n v="0.18179999999999999"/>
    <x v="46"/>
    <x v="3"/>
    <n v="3"/>
    <x v="124"/>
    <x v="37"/>
    <x v="40"/>
    <n v="1"/>
    <x v="15"/>
    <b v="0"/>
    <x v="4"/>
    <x v="1"/>
    <x v="2"/>
    <x v="0"/>
    <x v="1"/>
  </r>
  <r>
    <n v="893"/>
    <n v="0.19700000000000001"/>
    <x v="38"/>
    <x v="2"/>
    <n v="7"/>
    <x v="109"/>
    <x v="67"/>
    <x v="40"/>
    <n v="1"/>
    <x v="16"/>
    <b v="0"/>
    <x v="4"/>
    <x v="1"/>
    <x v="2"/>
    <x v="0"/>
    <x v="1"/>
  </r>
  <r>
    <n v="894"/>
    <n v="0.19700000000000001"/>
    <x v="46"/>
    <x v="2"/>
    <n v="9"/>
    <x v="175"/>
    <x v="150"/>
    <x v="40"/>
    <n v="1"/>
    <x v="17"/>
    <b v="0"/>
    <x v="4"/>
    <x v="1"/>
    <x v="2"/>
    <x v="0"/>
    <x v="1"/>
  </r>
  <r>
    <n v="895"/>
    <n v="0.16669999999999999"/>
    <x v="19"/>
    <x v="4"/>
    <n v="2"/>
    <x v="176"/>
    <x v="186"/>
    <x v="40"/>
    <n v="1"/>
    <x v="18"/>
    <b v="0"/>
    <x v="4"/>
    <x v="1"/>
    <x v="15"/>
    <x v="0"/>
    <x v="1"/>
  </r>
  <r>
    <n v="896"/>
    <n v="0.1212"/>
    <x v="3"/>
    <x v="2"/>
    <n v="1"/>
    <x v="61"/>
    <x v="39"/>
    <x v="40"/>
    <n v="1"/>
    <x v="19"/>
    <b v="0"/>
    <x v="4"/>
    <x v="2"/>
    <x v="14"/>
    <x v="0"/>
    <x v="2"/>
  </r>
  <r>
    <n v="897"/>
    <n v="0.1515"/>
    <x v="3"/>
    <x v="8"/>
    <n v="0"/>
    <x v="152"/>
    <x v="11"/>
    <x v="40"/>
    <n v="1"/>
    <x v="20"/>
    <b v="0"/>
    <x v="4"/>
    <x v="2"/>
    <x v="14"/>
    <x v="0"/>
    <x v="2"/>
  </r>
  <r>
    <n v="898"/>
    <n v="0.1515"/>
    <x v="3"/>
    <x v="8"/>
    <n v="0"/>
    <x v="93"/>
    <x v="56"/>
    <x v="40"/>
    <n v="1"/>
    <x v="21"/>
    <b v="0"/>
    <x v="4"/>
    <x v="1"/>
    <x v="14"/>
    <x v="0"/>
    <x v="1"/>
  </r>
  <r>
    <n v="899"/>
    <n v="0.16669999999999999"/>
    <x v="1"/>
    <x v="8"/>
    <n v="4"/>
    <x v="76"/>
    <x v="66"/>
    <x v="40"/>
    <n v="1"/>
    <x v="22"/>
    <b v="0"/>
    <x v="4"/>
    <x v="2"/>
    <x v="13"/>
    <x v="0"/>
    <x v="2"/>
  </r>
  <r>
    <n v="900"/>
    <n v="0.1515"/>
    <x v="1"/>
    <x v="5"/>
    <n v="0"/>
    <x v="53"/>
    <x v="18"/>
    <x v="40"/>
    <n v="1"/>
    <x v="23"/>
    <b v="0"/>
    <x v="4"/>
    <x v="2"/>
    <x v="13"/>
    <x v="0"/>
    <x v="2"/>
  </r>
  <r>
    <n v="901"/>
    <n v="0.13639999999999999"/>
    <x v="3"/>
    <x v="5"/>
    <n v="0"/>
    <x v="20"/>
    <x v="0"/>
    <x v="41"/>
    <n v="1"/>
    <x v="0"/>
    <b v="0"/>
    <x v="5"/>
    <x v="2"/>
    <x v="14"/>
    <x v="0"/>
    <x v="2"/>
  </r>
  <r>
    <n v="902"/>
    <n v="0.1515"/>
    <x v="1"/>
    <x v="7"/>
    <n v="0"/>
    <x v="7"/>
    <x v="85"/>
    <x v="41"/>
    <n v="1"/>
    <x v="1"/>
    <b v="0"/>
    <x v="5"/>
    <x v="2"/>
    <x v="14"/>
    <x v="0"/>
    <x v="2"/>
  </r>
  <r>
    <n v="903"/>
    <n v="0.1515"/>
    <x v="1"/>
    <x v="7"/>
    <n v="0"/>
    <x v="35"/>
    <x v="6"/>
    <x v="41"/>
    <n v="1"/>
    <x v="2"/>
    <b v="0"/>
    <x v="5"/>
    <x v="2"/>
    <x v="14"/>
    <x v="0"/>
    <x v="2"/>
  </r>
  <r>
    <n v="904"/>
    <n v="0.13639999999999999"/>
    <x v="29"/>
    <x v="6"/>
    <n v="0"/>
    <x v="4"/>
    <x v="4"/>
    <x v="41"/>
    <n v="1"/>
    <x v="4"/>
    <b v="0"/>
    <x v="5"/>
    <x v="1"/>
    <x v="14"/>
    <x v="0"/>
    <x v="1"/>
  </r>
  <r>
    <n v="905"/>
    <n v="0.1212"/>
    <x v="20"/>
    <x v="6"/>
    <n v="0"/>
    <x v="8"/>
    <x v="24"/>
    <x v="41"/>
    <n v="1"/>
    <x v="5"/>
    <b v="0"/>
    <x v="5"/>
    <x v="1"/>
    <x v="16"/>
    <x v="0"/>
    <x v="1"/>
  </r>
  <r>
    <n v="906"/>
    <n v="0.1212"/>
    <x v="47"/>
    <x v="3"/>
    <n v="0"/>
    <x v="16"/>
    <x v="132"/>
    <x v="41"/>
    <n v="1"/>
    <x v="6"/>
    <b v="0"/>
    <x v="5"/>
    <x v="1"/>
    <x v="16"/>
    <x v="0"/>
    <x v="1"/>
  </r>
  <r>
    <n v="907"/>
    <n v="7.5800000000000006E-2"/>
    <x v="20"/>
    <x v="12"/>
    <n v="0"/>
    <x v="177"/>
    <x v="111"/>
    <x v="41"/>
    <n v="1"/>
    <x v="7"/>
    <b v="0"/>
    <x v="5"/>
    <x v="0"/>
    <x v="18"/>
    <x v="0"/>
    <x v="0"/>
  </r>
  <r>
    <n v="908"/>
    <n v="7.5800000000000006E-2"/>
    <x v="36"/>
    <x v="9"/>
    <n v="5"/>
    <x v="178"/>
    <x v="106"/>
    <x v="41"/>
    <n v="1"/>
    <x v="8"/>
    <b v="0"/>
    <x v="5"/>
    <x v="0"/>
    <x v="18"/>
    <x v="0"/>
    <x v="0"/>
  </r>
  <r>
    <n v="909"/>
    <n v="0.1061"/>
    <x v="16"/>
    <x v="11"/>
    <n v="1"/>
    <x v="179"/>
    <x v="78"/>
    <x v="41"/>
    <n v="1"/>
    <x v="9"/>
    <b v="0"/>
    <x v="5"/>
    <x v="0"/>
    <x v="16"/>
    <x v="0"/>
    <x v="0"/>
  </r>
  <r>
    <n v="910"/>
    <n v="0.1061"/>
    <x v="16"/>
    <x v="4"/>
    <n v="1"/>
    <x v="60"/>
    <x v="17"/>
    <x v="41"/>
    <n v="1"/>
    <x v="10"/>
    <b v="0"/>
    <x v="5"/>
    <x v="0"/>
    <x v="16"/>
    <x v="0"/>
    <x v="0"/>
  </r>
  <r>
    <n v="911"/>
    <n v="0.1212"/>
    <x v="17"/>
    <x v="11"/>
    <n v="1"/>
    <x v="100"/>
    <x v="79"/>
    <x v="41"/>
    <n v="1"/>
    <x v="11"/>
    <b v="0"/>
    <x v="5"/>
    <x v="0"/>
    <x v="14"/>
    <x v="0"/>
    <x v="0"/>
  </r>
  <r>
    <n v="912"/>
    <n v="0.13639999999999999"/>
    <x v="46"/>
    <x v="13"/>
    <n v="4"/>
    <x v="65"/>
    <x v="83"/>
    <x v="41"/>
    <n v="1"/>
    <x v="12"/>
    <b v="0"/>
    <x v="5"/>
    <x v="0"/>
    <x v="13"/>
    <x v="0"/>
    <x v="0"/>
  </r>
  <r>
    <n v="913"/>
    <n v="0.16669999999999999"/>
    <x v="44"/>
    <x v="4"/>
    <n v="3"/>
    <x v="79"/>
    <x v="69"/>
    <x v="41"/>
    <n v="1"/>
    <x v="13"/>
    <b v="0"/>
    <x v="5"/>
    <x v="0"/>
    <x v="15"/>
    <x v="0"/>
    <x v="0"/>
  </r>
  <r>
    <n v="914"/>
    <n v="0.18179999999999999"/>
    <x v="57"/>
    <x v="3"/>
    <n v="6"/>
    <x v="76"/>
    <x v="61"/>
    <x v="41"/>
    <n v="1"/>
    <x v="14"/>
    <b v="0"/>
    <x v="5"/>
    <x v="0"/>
    <x v="2"/>
    <x v="0"/>
    <x v="0"/>
  </r>
  <r>
    <n v="915"/>
    <n v="0.19700000000000001"/>
    <x v="59"/>
    <x v="2"/>
    <n v="0"/>
    <x v="54"/>
    <x v="89"/>
    <x v="41"/>
    <n v="1"/>
    <x v="15"/>
    <b v="0"/>
    <x v="5"/>
    <x v="0"/>
    <x v="2"/>
    <x v="0"/>
    <x v="0"/>
  </r>
  <r>
    <n v="916"/>
    <n v="0.18179999999999999"/>
    <x v="57"/>
    <x v="4"/>
    <n v="4"/>
    <x v="83"/>
    <x v="138"/>
    <x v="41"/>
    <n v="1"/>
    <x v="16"/>
    <b v="0"/>
    <x v="5"/>
    <x v="0"/>
    <x v="2"/>
    <x v="0"/>
    <x v="0"/>
  </r>
  <r>
    <n v="917"/>
    <n v="0.18179999999999999"/>
    <x v="60"/>
    <x v="5"/>
    <n v="6"/>
    <x v="136"/>
    <x v="187"/>
    <x v="41"/>
    <n v="1"/>
    <x v="17"/>
    <b v="0"/>
    <x v="5"/>
    <x v="0"/>
    <x v="15"/>
    <x v="0"/>
    <x v="0"/>
  </r>
  <r>
    <n v="918"/>
    <n v="0.18179999999999999"/>
    <x v="40"/>
    <x v="7"/>
    <n v="3"/>
    <x v="175"/>
    <x v="188"/>
    <x v="41"/>
    <n v="1"/>
    <x v="18"/>
    <b v="0"/>
    <x v="5"/>
    <x v="0"/>
    <x v="13"/>
    <x v="0"/>
    <x v="0"/>
  </r>
  <r>
    <n v="919"/>
    <n v="0.16669999999999999"/>
    <x v="40"/>
    <x v="14"/>
    <n v="2"/>
    <x v="59"/>
    <x v="59"/>
    <x v="41"/>
    <n v="1"/>
    <x v="19"/>
    <b v="0"/>
    <x v="5"/>
    <x v="0"/>
    <x v="14"/>
    <x v="0"/>
    <x v="0"/>
  </r>
  <r>
    <n v="920"/>
    <n v="0.18179999999999999"/>
    <x v="62"/>
    <x v="1"/>
    <n v="4"/>
    <x v="139"/>
    <x v="54"/>
    <x v="41"/>
    <n v="1"/>
    <x v="20"/>
    <b v="0"/>
    <x v="5"/>
    <x v="0"/>
    <x v="14"/>
    <x v="0"/>
    <x v="0"/>
  </r>
  <r>
    <n v="921"/>
    <n v="0.21210000000000001"/>
    <x v="17"/>
    <x v="0"/>
    <n v="2"/>
    <x v="14"/>
    <x v="44"/>
    <x v="41"/>
    <n v="1"/>
    <x v="21"/>
    <b v="0"/>
    <x v="5"/>
    <x v="0"/>
    <x v="14"/>
    <x v="0"/>
    <x v="0"/>
  </r>
  <r>
    <n v="922"/>
    <n v="0.19700000000000001"/>
    <x v="17"/>
    <x v="0"/>
    <n v="4"/>
    <x v="12"/>
    <x v="41"/>
    <x v="41"/>
    <n v="1"/>
    <x v="22"/>
    <b v="0"/>
    <x v="5"/>
    <x v="0"/>
    <x v="16"/>
    <x v="0"/>
    <x v="0"/>
  </r>
  <r>
    <n v="923"/>
    <n v="0.1515"/>
    <x v="16"/>
    <x v="14"/>
    <n v="1"/>
    <x v="39"/>
    <x v="19"/>
    <x v="41"/>
    <n v="1"/>
    <x v="23"/>
    <b v="0"/>
    <x v="5"/>
    <x v="0"/>
    <x v="16"/>
    <x v="0"/>
    <x v="0"/>
  </r>
  <r>
    <n v="924"/>
    <n v="0.13639999999999999"/>
    <x v="36"/>
    <x v="14"/>
    <n v="2"/>
    <x v="98"/>
    <x v="8"/>
    <x v="42"/>
    <n v="1"/>
    <x v="0"/>
    <b v="0"/>
    <x v="6"/>
    <x v="0"/>
    <x v="18"/>
    <x v="0"/>
    <x v="0"/>
  </r>
  <r>
    <n v="925"/>
    <n v="0.13639999999999999"/>
    <x v="47"/>
    <x v="1"/>
    <n v="1"/>
    <x v="8"/>
    <x v="85"/>
    <x v="42"/>
    <n v="1"/>
    <x v="1"/>
    <b v="0"/>
    <x v="6"/>
    <x v="0"/>
    <x v="18"/>
    <x v="0"/>
    <x v="0"/>
  </r>
  <r>
    <n v="926"/>
    <n v="0.13639999999999999"/>
    <x v="47"/>
    <x v="1"/>
    <n v="0"/>
    <x v="35"/>
    <x v="6"/>
    <x v="42"/>
    <n v="1"/>
    <x v="2"/>
    <b v="0"/>
    <x v="6"/>
    <x v="0"/>
    <x v="18"/>
    <x v="0"/>
    <x v="0"/>
  </r>
  <r>
    <n v="927"/>
    <n v="0.1212"/>
    <x v="30"/>
    <x v="1"/>
    <n v="0"/>
    <x v="22"/>
    <x v="48"/>
    <x v="42"/>
    <n v="1"/>
    <x v="5"/>
    <b v="0"/>
    <x v="6"/>
    <x v="0"/>
    <x v="19"/>
    <x v="0"/>
    <x v="0"/>
  </r>
  <r>
    <n v="928"/>
    <n v="0.18179999999999999"/>
    <x v="31"/>
    <x v="0"/>
    <n v="1"/>
    <x v="140"/>
    <x v="108"/>
    <x v="42"/>
    <n v="1"/>
    <x v="6"/>
    <b v="0"/>
    <x v="6"/>
    <x v="0"/>
    <x v="18"/>
    <x v="0"/>
    <x v="0"/>
  </r>
  <r>
    <n v="929"/>
    <n v="0.16669999999999999"/>
    <x v="63"/>
    <x v="0"/>
    <n v="1"/>
    <x v="26"/>
    <x v="30"/>
    <x v="42"/>
    <n v="1"/>
    <x v="7"/>
    <b v="0"/>
    <x v="6"/>
    <x v="0"/>
    <x v="19"/>
    <x v="0"/>
    <x v="0"/>
  </r>
  <r>
    <n v="930"/>
    <n v="0.1212"/>
    <x v="32"/>
    <x v="8"/>
    <n v="4"/>
    <x v="180"/>
    <x v="183"/>
    <x v="42"/>
    <n v="1"/>
    <x v="8"/>
    <b v="0"/>
    <x v="6"/>
    <x v="0"/>
    <x v="18"/>
    <x v="0"/>
    <x v="0"/>
  </r>
  <r>
    <n v="931"/>
    <n v="0.1212"/>
    <x v="32"/>
    <x v="6"/>
    <n v="8"/>
    <x v="126"/>
    <x v="189"/>
    <x v="42"/>
    <n v="1"/>
    <x v="9"/>
    <b v="0"/>
    <x v="6"/>
    <x v="0"/>
    <x v="16"/>
    <x v="0"/>
    <x v="0"/>
  </r>
  <r>
    <n v="932"/>
    <n v="0.13639999999999999"/>
    <x v="27"/>
    <x v="5"/>
    <n v="5"/>
    <x v="87"/>
    <x v="40"/>
    <x v="42"/>
    <n v="1"/>
    <x v="10"/>
    <b v="0"/>
    <x v="6"/>
    <x v="0"/>
    <x v="14"/>
    <x v="0"/>
    <x v="0"/>
  </r>
  <r>
    <n v="933"/>
    <n v="0.2273"/>
    <x v="19"/>
    <x v="7"/>
    <n v="12"/>
    <x v="15"/>
    <x v="37"/>
    <x v="42"/>
    <n v="1"/>
    <x v="11"/>
    <b v="0"/>
    <x v="6"/>
    <x v="0"/>
    <x v="1"/>
    <x v="0"/>
    <x v="0"/>
  </r>
  <r>
    <n v="934"/>
    <n v="0.2273"/>
    <x v="19"/>
    <x v="7"/>
    <n v="7"/>
    <x v="27"/>
    <x v="68"/>
    <x v="42"/>
    <n v="1"/>
    <x v="12"/>
    <b v="0"/>
    <x v="6"/>
    <x v="0"/>
    <x v="1"/>
    <x v="0"/>
    <x v="0"/>
  </r>
  <r>
    <n v="935"/>
    <n v="0.2273"/>
    <x v="23"/>
    <x v="5"/>
    <n v="21"/>
    <x v="121"/>
    <x v="14"/>
    <x v="42"/>
    <n v="1"/>
    <x v="13"/>
    <b v="0"/>
    <x v="6"/>
    <x v="0"/>
    <x v="0"/>
    <x v="0"/>
    <x v="0"/>
  </r>
  <r>
    <n v="936"/>
    <n v="0.28789999999999999"/>
    <x v="60"/>
    <x v="2"/>
    <n v="17"/>
    <x v="28"/>
    <x v="11"/>
    <x v="42"/>
    <n v="1"/>
    <x v="14"/>
    <b v="0"/>
    <x v="6"/>
    <x v="0"/>
    <x v="11"/>
    <x v="0"/>
    <x v="0"/>
  </r>
  <r>
    <n v="937"/>
    <n v="0.31819999999999998"/>
    <x v="58"/>
    <x v="8"/>
    <n v="12"/>
    <x v="133"/>
    <x v="30"/>
    <x v="42"/>
    <n v="1"/>
    <x v="15"/>
    <b v="0"/>
    <x v="6"/>
    <x v="0"/>
    <x v="3"/>
    <x v="0"/>
    <x v="0"/>
  </r>
  <r>
    <n v="938"/>
    <n v="0.28789999999999999"/>
    <x v="40"/>
    <x v="5"/>
    <n v="14"/>
    <x v="181"/>
    <x v="139"/>
    <x v="42"/>
    <n v="1"/>
    <x v="16"/>
    <b v="0"/>
    <x v="6"/>
    <x v="0"/>
    <x v="11"/>
    <x v="0"/>
    <x v="0"/>
  </r>
  <r>
    <n v="939"/>
    <n v="0.33329999999999999"/>
    <x v="64"/>
    <x v="0"/>
    <n v="18"/>
    <x v="182"/>
    <x v="190"/>
    <x v="42"/>
    <n v="1"/>
    <x v="17"/>
    <b v="0"/>
    <x v="6"/>
    <x v="0"/>
    <x v="11"/>
    <x v="0"/>
    <x v="0"/>
  </r>
  <r>
    <n v="940"/>
    <n v="0.31819999999999998"/>
    <x v="40"/>
    <x v="0"/>
    <n v="9"/>
    <x v="159"/>
    <x v="178"/>
    <x v="42"/>
    <n v="1"/>
    <x v="18"/>
    <b v="0"/>
    <x v="6"/>
    <x v="0"/>
    <x v="17"/>
    <x v="0"/>
    <x v="0"/>
  </r>
  <r>
    <n v="941"/>
    <n v="0.30299999999999999"/>
    <x v="39"/>
    <x v="0"/>
    <n v="7"/>
    <x v="111"/>
    <x v="129"/>
    <x v="42"/>
    <n v="1"/>
    <x v="19"/>
    <b v="0"/>
    <x v="6"/>
    <x v="0"/>
    <x v="12"/>
    <x v="0"/>
    <x v="0"/>
  </r>
  <r>
    <n v="942"/>
    <n v="0.2273"/>
    <x v="28"/>
    <x v="7"/>
    <n v="2"/>
    <x v="124"/>
    <x v="55"/>
    <x v="42"/>
    <n v="1"/>
    <x v="20"/>
    <b v="0"/>
    <x v="6"/>
    <x v="0"/>
    <x v="1"/>
    <x v="0"/>
    <x v="0"/>
  </r>
  <r>
    <n v="943"/>
    <n v="0.21210000000000001"/>
    <x v="29"/>
    <x v="7"/>
    <n v="1"/>
    <x v="24"/>
    <x v="105"/>
    <x v="42"/>
    <n v="1"/>
    <x v="21"/>
    <b v="0"/>
    <x v="6"/>
    <x v="0"/>
    <x v="2"/>
    <x v="0"/>
    <x v="0"/>
  </r>
  <r>
    <n v="944"/>
    <n v="0.2273"/>
    <x v="26"/>
    <x v="1"/>
    <n v="2"/>
    <x v="40"/>
    <x v="74"/>
    <x v="42"/>
    <n v="1"/>
    <x v="22"/>
    <b v="0"/>
    <x v="6"/>
    <x v="0"/>
    <x v="2"/>
    <x v="0"/>
    <x v="0"/>
  </r>
  <r>
    <n v="945"/>
    <n v="0.2424"/>
    <x v="27"/>
    <x v="0"/>
    <n v="5"/>
    <x v="41"/>
    <x v="26"/>
    <x v="42"/>
    <n v="1"/>
    <x v="23"/>
    <b v="0"/>
    <x v="6"/>
    <x v="0"/>
    <x v="15"/>
    <x v="0"/>
    <x v="0"/>
  </r>
  <r>
    <n v="946"/>
    <n v="0.19700000000000001"/>
    <x v="27"/>
    <x v="1"/>
    <n v="3"/>
    <x v="2"/>
    <x v="33"/>
    <x v="43"/>
    <n v="1"/>
    <x v="0"/>
    <b v="0"/>
    <x v="0"/>
    <x v="0"/>
    <x v="13"/>
    <x v="0"/>
    <x v="0"/>
  </r>
  <r>
    <n v="947"/>
    <n v="0.21210000000000001"/>
    <x v="3"/>
    <x v="0"/>
    <n v="2"/>
    <x v="97"/>
    <x v="108"/>
    <x v="43"/>
    <n v="1"/>
    <x v="1"/>
    <b v="0"/>
    <x v="0"/>
    <x v="0"/>
    <x v="14"/>
    <x v="0"/>
    <x v="0"/>
  </r>
  <r>
    <n v="948"/>
    <n v="0.21210000000000001"/>
    <x v="1"/>
    <x v="0"/>
    <n v="2"/>
    <x v="0"/>
    <x v="93"/>
    <x v="43"/>
    <n v="1"/>
    <x v="2"/>
    <b v="0"/>
    <x v="0"/>
    <x v="0"/>
    <x v="14"/>
    <x v="0"/>
    <x v="0"/>
  </r>
  <r>
    <n v="949"/>
    <n v="0.19700000000000001"/>
    <x v="1"/>
    <x v="0"/>
    <n v="3"/>
    <x v="7"/>
    <x v="98"/>
    <x v="43"/>
    <n v="1"/>
    <x v="3"/>
    <b v="0"/>
    <x v="0"/>
    <x v="0"/>
    <x v="16"/>
    <x v="0"/>
    <x v="0"/>
  </r>
  <r>
    <n v="950"/>
    <n v="0.16669999999999999"/>
    <x v="32"/>
    <x v="1"/>
    <n v="0"/>
    <x v="22"/>
    <x v="48"/>
    <x v="43"/>
    <n v="1"/>
    <x v="4"/>
    <b v="0"/>
    <x v="0"/>
    <x v="0"/>
    <x v="16"/>
    <x v="0"/>
    <x v="0"/>
  </r>
  <r>
    <n v="951"/>
    <n v="0.16669999999999999"/>
    <x v="32"/>
    <x v="1"/>
    <n v="0"/>
    <x v="4"/>
    <x v="4"/>
    <x v="43"/>
    <n v="1"/>
    <x v="5"/>
    <b v="0"/>
    <x v="0"/>
    <x v="0"/>
    <x v="16"/>
    <x v="0"/>
    <x v="0"/>
  </r>
  <r>
    <n v="952"/>
    <n v="0.13639999999999999"/>
    <x v="43"/>
    <x v="5"/>
    <n v="1"/>
    <x v="4"/>
    <x v="5"/>
    <x v="43"/>
    <n v="1"/>
    <x v="6"/>
    <b v="0"/>
    <x v="0"/>
    <x v="0"/>
    <x v="16"/>
    <x v="0"/>
    <x v="0"/>
  </r>
  <r>
    <n v="953"/>
    <n v="0.1515"/>
    <x v="1"/>
    <x v="14"/>
    <n v="2"/>
    <x v="33"/>
    <x v="62"/>
    <x v="43"/>
    <n v="1"/>
    <x v="7"/>
    <b v="0"/>
    <x v="0"/>
    <x v="0"/>
    <x v="16"/>
    <x v="0"/>
    <x v="0"/>
  </r>
  <r>
    <n v="954"/>
    <n v="0.1515"/>
    <x v="3"/>
    <x v="7"/>
    <n v="2"/>
    <x v="95"/>
    <x v="33"/>
    <x v="43"/>
    <n v="1"/>
    <x v="8"/>
    <b v="0"/>
    <x v="0"/>
    <x v="0"/>
    <x v="14"/>
    <x v="0"/>
    <x v="0"/>
  </r>
  <r>
    <n v="955"/>
    <n v="0.18179999999999999"/>
    <x v="26"/>
    <x v="7"/>
    <n v="5"/>
    <x v="101"/>
    <x v="74"/>
    <x v="43"/>
    <n v="1"/>
    <x v="9"/>
    <b v="0"/>
    <x v="0"/>
    <x v="0"/>
    <x v="13"/>
    <x v="0"/>
    <x v="0"/>
  </r>
  <r>
    <n v="956"/>
    <n v="0.21210000000000001"/>
    <x v="48"/>
    <x v="2"/>
    <n v="13"/>
    <x v="13"/>
    <x v="11"/>
    <x v="43"/>
    <n v="1"/>
    <x v="10"/>
    <b v="0"/>
    <x v="0"/>
    <x v="0"/>
    <x v="1"/>
    <x v="0"/>
    <x v="0"/>
  </r>
  <r>
    <n v="957"/>
    <n v="0.2727"/>
    <x v="40"/>
    <x v="9"/>
    <n v="30"/>
    <x v="152"/>
    <x v="182"/>
    <x v="43"/>
    <n v="1"/>
    <x v="11"/>
    <b v="0"/>
    <x v="0"/>
    <x v="0"/>
    <x v="11"/>
    <x v="0"/>
    <x v="0"/>
  </r>
  <r>
    <n v="958"/>
    <n v="0.2727"/>
    <x v="17"/>
    <x v="17"/>
    <n v="27"/>
    <x v="139"/>
    <x v="151"/>
    <x v="43"/>
    <n v="1"/>
    <x v="12"/>
    <b v="0"/>
    <x v="0"/>
    <x v="0"/>
    <x v="11"/>
    <x v="0"/>
    <x v="0"/>
  </r>
  <r>
    <n v="959"/>
    <n v="0.2727"/>
    <x v="17"/>
    <x v="12"/>
    <n v="32"/>
    <x v="145"/>
    <x v="170"/>
    <x v="43"/>
    <n v="1"/>
    <x v="13"/>
    <b v="0"/>
    <x v="0"/>
    <x v="0"/>
    <x v="11"/>
    <x v="0"/>
    <x v="0"/>
  </r>
  <r>
    <n v="960"/>
    <n v="0.31819999999999998"/>
    <x v="62"/>
    <x v="3"/>
    <n v="30"/>
    <x v="92"/>
    <x v="151"/>
    <x v="43"/>
    <n v="1"/>
    <x v="14"/>
    <b v="0"/>
    <x v="0"/>
    <x v="0"/>
    <x v="10"/>
    <x v="0"/>
    <x v="0"/>
  </r>
  <r>
    <n v="961"/>
    <n v="0.30299999999999999"/>
    <x v="44"/>
    <x v="12"/>
    <n v="47"/>
    <x v="69"/>
    <x v="178"/>
    <x v="43"/>
    <n v="1"/>
    <x v="15"/>
    <b v="0"/>
    <x v="0"/>
    <x v="0"/>
    <x v="10"/>
    <x v="0"/>
    <x v="0"/>
  </r>
  <r>
    <n v="962"/>
    <n v="0.30299999999999999"/>
    <x v="44"/>
    <x v="12"/>
    <n v="42"/>
    <x v="145"/>
    <x v="191"/>
    <x v="43"/>
    <n v="1"/>
    <x v="16"/>
    <b v="0"/>
    <x v="0"/>
    <x v="0"/>
    <x v="10"/>
    <x v="0"/>
    <x v="0"/>
  </r>
  <r>
    <n v="963"/>
    <n v="0.28789999999999999"/>
    <x v="62"/>
    <x v="18"/>
    <n v="24"/>
    <x v="183"/>
    <x v="120"/>
    <x v="43"/>
    <n v="1"/>
    <x v="17"/>
    <b v="0"/>
    <x v="0"/>
    <x v="0"/>
    <x v="3"/>
    <x v="0"/>
    <x v="0"/>
  </r>
  <r>
    <n v="964"/>
    <n v="0.2576"/>
    <x v="41"/>
    <x v="9"/>
    <n v="4"/>
    <x v="91"/>
    <x v="37"/>
    <x v="43"/>
    <n v="1"/>
    <x v="18"/>
    <b v="0"/>
    <x v="0"/>
    <x v="0"/>
    <x v="17"/>
    <x v="0"/>
    <x v="0"/>
  </r>
  <r>
    <n v="965"/>
    <n v="0.2727"/>
    <x v="41"/>
    <x v="8"/>
    <n v="2"/>
    <x v="87"/>
    <x v="102"/>
    <x v="43"/>
    <n v="1"/>
    <x v="19"/>
    <b v="0"/>
    <x v="0"/>
    <x v="0"/>
    <x v="17"/>
    <x v="0"/>
    <x v="0"/>
  </r>
  <r>
    <n v="966"/>
    <n v="0.2576"/>
    <x v="48"/>
    <x v="6"/>
    <n v="1"/>
    <x v="87"/>
    <x v="1"/>
    <x v="43"/>
    <n v="1"/>
    <x v="20"/>
    <b v="0"/>
    <x v="0"/>
    <x v="0"/>
    <x v="12"/>
    <x v="0"/>
    <x v="0"/>
  </r>
  <r>
    <n v="967"/>
    <n v="0.30299999999999999"/>
    <x v="48"/>
    <x v="0"/>
    <n v="9"/>
    <x v="76"/>
    <x v="41"/>
    <x v="43"/>
    <n v="1"/>
    <x v="21"/>
    <b v="0"/>
    <x v="0"/>
    <x v="0"/>
    <x v="12"/>
    <x v="0"/>
    <x v="0"/>
  </r>
  <r>
    <n v="968"/>
    <n v="0.2576"/>
    <x v="18"/>
    <x v="1"/>
    <n v="6"/>
    <x v="87"/>
    <x v="79"/>
    <x v="43"/>
    <n v="1"/>
    <x v="22"/>
    <b v="0"/>
    <x v="0"/>
    <x v="0"/>
    <x v="0"/>
    <x v="0"/>
    <x v="0"/>
  </r>
  <r>
    <n v="969"/>
    <n v="0.2273"/>
    <x v="33"/>
    <x v="7"/>
    <n v="1"/>
    <x v="17"/>
    <x v="2"/>
    <x v="43"/>
    <n v="1"/>
    <x v="23"/>
    <b v="0"/>
    <x v="0"/>
    <x v="0"/>
    <x v="1"/>
    <x v="0"/>
    <x v="0"/>
  </r>
  <r>
    <n v="970"/>
    <n v="0.2273"/>
    <x v="26"/>
    <x v="14"/>
    <n v="5"/>
    <x v="60"/>
    <x v="21"/>
    <x v="44"/>
    <n v="1"/>
    <x v="0"/>
    <b v="1"/>
    <x v="1"/>
    <x v="0"/>
    <x v="2"/>
    <x v="1"/>
    <x v="0"/>
  </r>
  <r>
    <n v="971"/>
    <n v="0.2273"/>
    <x v="29"/>
    <x v="1"/>
    <n v="1"/>
    <x v="140"/>
    <x v="108"/>
    <x v="44"/>
    <n v="1"/>
    <x v="1"/>
    <b v="1"/>
    <x v="1"/>
    <x v="0"/>
    <x v="2"/>
    <x v="1"/>
    <x v="0"/>
  </r>
  <r>
    <n v="972"/>
    <n v="0.2273"/>
    <x v="2"/>
    <x v="1"/>
    <n v="1"/>
    <x v="23"/>
    <x v="25"/>
    <x v="44"/>
    <n v="1"/>
    <x v="2"/>
    <b v="1"/>
    <x v="1"/>
    <x v="1"/>
    <x v="2"/>
    <x v="1"/>
    <x v="1"/>
  </r>
  <r>
    <n v="973"/>
    <n v="0.2273"/>
    <x v="27"/>
    <x v="14"/>
    <n v="4"/>
    <x v="21"/>
    <x v="47"/>
    <x v="44"/>
    <n v="1"/>
    <x v="3"/>
    <b v="1"/>
    <x v="1"/>
    <x v="1"/>
    <x v="2"/>
    <x v="1"/>
    <x v="1"/>
  </r>
  <r>
    <n v="974"/>
    <n v="0.21210000000000001"/>
    <x v="27"/>
    <x v="8"/>
    <n v="0"/>
    <x v="6"/>
    <x v="5"/>
    <x v="44"/>
    <n v="1"/>
    <x v="4"/>
    <b v="1"/>
    <x v="1"/>
    <x v="1"/>
    <x v="2"/>
    <x v="1"/>
    <x v="1"/>
  </r>
  <r>
    <n v="975"/>
    <n v="0.21210000000000001"/>
    <x v="27"/>
    <x v="7"/>
    <n v="2"/>
    <x v="35"/>
    <x v="36"/>
    <x v="44"/>
    <n v="1"/>
    <x v="6"/>
    <b v="1"/>
    <x v="1"/>
    <x v="1"/>
    <x v="2"/>
    <x v="1"/>
    <x v="1"/>
  </r>
  <r>
    <n v="976"/>
    <n v="0.2727"/>
    <x v="28"/>
    <x v="0"/>
    <n v="0"/>
    <x v="35"/>
    <x v="6"/>
    <x v="44"/>
    <n v="1"/>
    <x v="7"/>
    <b v="1"/>
    <x v="1"/>
    <x v="1"/>
    <x v="1"/>
    <x v="1"/>
    <x v="1"/>
  </r>
  <r>
    <n v="977"/>
    <n v="0.2273"/>
    <x v="26"/>
    <x v="5"/>
    <n v="1"/>
    <x v="48"/>
    <x v="47"/>
    <x v="44"/>
    <n v="1"/>
    <x v="8"/>
    <b v="1"/>
    <x v="1"/>
    <x v="1"/>
    <x v="1"/>
    <x v="1"/>
    <x v="1"/>
  </r>
  <r>
    <n v="978"/>
    <n v="0.2273"/>
    <x v="54"/>
    <x v="6"/>
    <n v="12"/>
    <x v="96"/>
    <x v="105"/>
    <x v="44"/>
    <n v="1"/>
    <x v="9"/>
    <b v="1"/>
    <x v="1"/>
    <x v="1"/>
    <x v="0"/>
    <x v="1"/>
    <x v="1"/>
  </r>
  <r>
    <n v="979"/>
    <n v="0.2727"/>
    <x v="49"/>
    <x v="9"/>
    <n v="19"/>
    <x v="132"/>
    <x v="136"/>
    <x v="44"/>
    <n v="1"/>
    <x v="10"/>
    <b v="1"/>
    <x v="1"/>
    <x v="0"/>
    <x v="11"/>
    <x v="1"/>
    <x v="0"/>
  </r>
  <r>
    <n v="980"/>
    <n v="0.28789999999999999"/>
    <x v="17"/>
    <x v="10"/>
    <n v="26"/>
    <x v="132"/>
    <x v="59"/>
    <x v="44"/>
    <n v="1"/>
    <x v="11"/>
    <b v="1"/>
    <x v="1"/>
    <x v="0"/>
    <x v="3"/>
    <x v="1"/>
    <x v="0"/>
  </r>
  <r>
    <n v="981"/>
    <n v="0.31819999999999998"/>
    <x v="25"/>
    <x v="17"/>
    <n v="58"/>
    <x v="111"/>
    <x v="148"/>
    <x v="44"/>
    <n v="1"/>
    <x v="12"/>
    <b v="1"/>
    <x v="1"/>
    <x v="0"/>
    <x v="5"/>
    <x v="1"/>
    <x v="0"/>
  </r>
  <r>
    <n v="982"/>
    <n v="0.39389999999999997"/>
    <x v="44"/>
    <x v="11"/>
    <n v="62"/>
    <x v="50"/>
    <x v="38"/>
    <x v="44"/>
    <n v="1"/>
    <x v="13"/>
    <b v="1"/>
    <x v="1"/>
    <x v="0"/>
    <x v="4"/>
    <x v="1"/>
    <x v="0"/>
  </r>
  <r>
    <n v="983"/>
    <n v="0.40910000000000002"/>
    <x v="24"/>
    <x v="12"/>
    <n v="51"/>
    <x v="59"/>
    <x v="143"/>
    <x v="44"/>
    <n v="1"/>
    <x v="14"/>
    <b v="1"/>
    <x v="1"/>
    <x v="1"/>
    <x v="9"/>
    <x v="1"/>
    <x v="1"/>
  </r>
  <r>
    <n v="984"/>
    <n v="0.40910000000000002"/>
    <x v="24"/>
    <x v="4"/>
    <n v="40"/>
    <x v="184"/>
    <x v="123"/>
    <x v="44"/>
    <n v="1"/>
    <x v="15"/>
    <b v="1"/>
    <x v="1"/>
    <x v="1"/>
    <x v="9"/>
    <x v="1"/>
    <x v="1"/>
  </r>
  <r>
    <n v="985"/>
    <n v="0.42420000000000002"/>
    <x v="40"/>
    <x v="9"/>
    <n v="28"/>
    <x v="185"/>
    <x v="87"/>
    <x v="44"/>
    <n v="1"/>
    <x v="16"/>
    <b v="1"/>
    <x v="1"/>
    <x v="1"/>
    <x v="6"/>
    <x v="1"/>
    <x v="1"/>
  </r>
  <r>
    <n v="986"/>
    <n v="0.42420000000000002"/>
    <x v="40"/>
    <x v="9"/>
    <n v="30"/>
    <x v="73"/>
    <x v="139"/>
    <x v="44"/>
    <n v="1"/>
    <x v="17"/>
    <b v="1"/>
    <x v="1"/>
    <x v="0"/>
    <x v="6"/>
    <x v="1"/>
    <x v="0"/>
  </r>
  <r>
    <n v="987"/>
    <n v="0.40910000000000002"/>
    <x v="25"/>
    <x v="4"/>
    <n v="17"/>
    <x v="78"/>
    <x v="76"/>
    <x v="44"/>
    <n v="1"/>
    <x v="18"/>
    <b v="1"/>
    <x v="1"/>
    <x v="0"/>
    <x v="9"/>
    <x v="1"/>
    <x v="0"/>
  </r>
  <r>
    <n v="988"/>
    <n v="0.40910000000000002"/>
    <x v="23"/>
    <x v="3"/>
    <n v="11"/>
    <x v="54"/>
    <x v="42"/>
    <x v="44"/>
    <n v="1"/>
    <x v="19"/>
    <b v="1"/>
    <x v="1"/>
    <x v="0"/>
    <x v="9"/>
    <x v="1"/>
    <x v="0"/>
  </r>
  <r>
    <n v="989"/>
    <n v="0.40910000000000002"/>
    <x v="23"/>
    <x v="9"/>
    <n v="15"/>
    <x v="1"/>
    <x v="105"/>
    <x v="44"/>
    <n v="1"/>
    <x v="20"/>
    <b v="1"/>
    <x v="1"/>
    <x v="0"/>
    <x v="9"/>
    <x v="1"/>
    <x v="0"/>
  </r>
  <r>
    <n v="990"/>
    <n v="0.40910000000000002"/>
    <x v="23"/>
    <x v="11"/>
    <n v="6"/>
    <x v="108"/>
    <x v="41"/>
    <x v="44"/>
    <n v="1"/>
    <x v="21"/>
    <b v="1"/>
    <x v="1"/>
    <x v="0"/>
    <x v="9"/>
    <x v="1"/>
    <x v="0"/>
  </r>
  <r>
    <n v="991"/>
    <n v="0.40910000000000002"/>
    <x v="23"/>
    <x v="4"/>
    <n v="5"/>
    <x v="17"/>
    <x v="9"/>
    <x v="44"/>
    <n v="1"/>
    <x v="22"/>
    <b v="1"/>
    <x v="1"/>
    <x v="0"/>
    <x v="9"/>
    <x v="1"/>
    <x v="0"/>
  </r>
  <r>
    <n v="992"/>
    <n v="0.40910000000000002"/>
    <x v="23"/>
    <x v="11"/>
    <n v="3"/>
    <x v="2"/>
    <x v="33"/>
    <x v="44"/>
    <n v="1"/>
    <x v="23"/>
    <b v="1"/>
    <x v="1"/>
    <x v="0"/>
    <x v="9"/>
    <x v="1"/>
    <x v="0"/>
  </r>
  <r>
    <n v="993"/>
    <n v="0.39389999999999997"/>
    <x v="38"/>
    <x v="11"/>
    <n v="3"/>
    <x v="21"/>
    <x v="62"/>
    <x v="45"/>
    <n v="1"/>
    <x v="0"/>
    <b v="1"/>
    <x v="2"/>
    <x v="0"/>
    <x v="4"/>
    <x v="2"/>
    <x v="0"/>
  </r>
  <r>
    <n v="994"/>
    <n v="0.39389999999999997"/>
    <x v="38"/>
    <x v="11"/>
    <n v="1"/>
    <x v="8"/>
    <x v="85"/>
    <x v="45"/>
    <n v="1"/>
    <x v="1"/>
    <b v="1"/>
    <x v="2"/>
    <x v="0"/>
    <x v="4"/>
    <x v="2"/>
    <x v="0"/>
  </r>
  <r>
    <n v="995"/>
    <n v="0.33329999999999999"/>
    <x v="22"/>
    <x v="4"/>
    <n v="0"/>
    <x v="6"/>
    <x v="5"/>
    <x v="45"/>
    <n v="1"/>
    <x v="2"/>
    <b v="1"/>
    <x v="2"/>
    <x v="0"/>
    <x v="5"/>
    <x v="2"/>
    <x v="0"/>
  </r>
  <r>
    <n v="996"/>
    <n v="0.31819999999999998"/>
    <x v="15"/>
    <x v="6"/>
    <n v="1"/>
    <x v="4"/>
    <x v="5"/>
    <x v="45"/>
    <n v="1"/>
    <x v="3"/>
    <b v="1"/>
    <x v="2"/>
    <x v="0"/>
    <x v="10"/>
    <x v="2"/>
    <x v="0"/>
  </r>
  <r>
    <n v="997"/>
    <n v="0.30299999999999999"/>
    <x v="45"/>
    <x v="3"/>
    <n v="0"/>
    <x v="6"/>
    <x v="5"/>
    <x v="45"/>
    <n v="1"/>
    <x v="4"/>
    <b v="1"/>
    <x v="2"/>
    <x v="0"/>
    <x v="3"/>
    <x v="2"/>
    <x v="0"/>
  </r>
  <r>
    <n v="998"/>
    <n v="0.30299999999999999"/>
    <x v="45"/>
    <x v="3"/>
    <n v="0"/>
    <x v="35"/>
    <x v="6"/>
    <x v="45"/>
    <n v="1"/>
    <x v="5"/>
    <b v="1"/>
    <x v="2"/>
    <x v="0"/>
    <x v="3"/>
    <x v="2"/>
    <x v="0"/>
  </r>
  <r>
    <n v="999"/>
    <n v="0.30299999999999999"/>
    <x v="15"/>
    <x v="4"/>
    <n v="1"/>
    <x v="18"/>
    <x v="132"/>
    <x v="45"/>
    <n v="1"/>
    <x v="6"/>
    <b v="1"/>
    <x v="2"/>
    <x v="0"/>
    <x v="10"/>
    <x v="2"/>
    <x v="0"/>
  </r>
  <r>
    <n v="1000"/>
    <n v="0.30299999999999999"/>
    <x v="15"/>
    <x v="4"/>
    <n v="2"/>
    <x v="186"/>
    <x v="95"/>
    <x v="45"/>
    <n v="1"/>
    <x v="7"/>
    <b v="1"/>
    <x v="2"/>
    <x v="0"/>
    <x v="10"/>
    <x v="2"/>
    <x v="0"/>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r>
    <m/>
    <m/>
    <x v="61"/>
    <x v="20"/>
    <m/>
    <x v="150"/>
    <x v="165"/>
    <x v="28"/>
    <m/>
    <x v="24"/>
    <m/>
    <x v="7"/>
    <x v="4"/>
    <x v="23"/>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77343-2A3D-4002-BF8B-0EE0178B3A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29" firstHeaderRow="1" firstDataRow="1" firstDataCol="1"/>
  <pivotFields count="18">
    <pivotField showAll="0"/>
    <pivotField showAll="0"/>
    <pivotField showAll="0"/>
    <pivotField showAll="0">
      <items count="22">
        <item x="0"/>
        <item x="1"/>
        <item x="14"/>
        <item x="7"/>
        <item x="8"/>
        <item x="5"/>
        <item x="6"/>
        <item x="2"/>
        <item x="3"/>
        <item x="4"/>
        <item x="9"/>
        <item x="11"/>
        <item x="13"/>
        <item x="12"/>
        <item x="10"/>
        <item x="17"/>
        <item x="15"/>
        <item x="18"/>
        <item x="16"/>
        <item x="19"/>
        <item x="20"/>
        <item t="default"/>
      </items>
    </pivotField>
    <pivotField showAll="0"/>
    <pivotField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2"/>
        <item x="66"/>
        <item x="132"/>
        <item x="61"/>
        <item x="153"/>
        <item x="121"/>
        <item x="92"/>
        <item x="165"/>
        <item x="50"/>
        <item x="139"/>
        <item x="111"/>
        <item x="73"/>
        <item x="186"/>
        <item x="106"/>
        <item x="52"/>
        <item x="177"/>
        <item x="129"/>
        <item x="143"/>
        <item x="46"/>
        <item x="145"/>
        <item x="154"/>
        <item x="160"/>
        <item x="185"/>
        <item x="128"/>
        <item x="123"/>
        <item x="63"/>
        <item x="59"/>
        <item x="181"/>
        <item x="156"/>
        <item x="183"/>
        <item x="157"/>
        <item x="169"/>
        <item x="75"/>
        <item x="118"/>
        <item x="138"/>
        <item x="179"/>
        <item x="184"/>
        <item x="171"/>
        <item x="125"/>
        <item x="85"/>
        <item x="168"/>
        <item x="69"/>
        <item x="173"/>
        <item x="110"/>
        <item x="126"/>
        <item x="149"/>
        <item x="120"/>
        <item x="113"/>
        <item x="115"/>
        <item x="112"/>
        <item x="131"/>
        <item x="116"/>
        <item x="142"/>
        <item x="44"/>
        <item x="151"/>
        <item x="45"/>
        <item x="137"/>
        <item x="167"/>
        <item x="37"/>
        <item x="105"/>
        <item x="119"/>
        <item x="117"/>
        <item x="175"/>
        <item x="81"/>
        <item x="136"/>
        <item x="80"/>
        <item x="159"/>
        <item x="68"/>
        <item x="176"/>
        <item x="163"/>
        <item x="141"/>
        <item x="158"/>
        <item x="178"/>
        <item x="104"/>
        <item x="162"/>
        <item x="51"/>
        <item x="86"/>
        <item x="58"/>
        <item x="155"/>
        <item x="161"/>
        <item x="103"/>
        <item x="67"/>
        <item x="84"/>
        <item x="62"/>
        <item x="182"/>
        <item x="166"/>
        <item x="127"/>
        <item x="114"/>
        <item x="174"/>
        <item x="57"/>
        <item x="134"/>
        <item x="147"/>
        <item x="135"/>
        <item x="180"/>
        <item x="107"/>
        <item x="74"/>
        <item x="164"/>
        <item x="148"/>
        <item x="170"/>
        <item x="146"/>
        <item x="172"/>
        <item x="130"/>
        <item x="150"/>
        <item t="default"/>
      </items>
    </pivotField>
    <pivotField dataField="1"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1"/>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7"/>
        <item x="159"/>
        <item x="142"/>
        <item x="14"/>
        <item x="169"/>
        <item x="59"/>
        <item x="135"/>
        <item x="182"/>
        <item x="65"/>
        <item x="155"/>
        <item x="126"/>
        <item x="130"/>
        <item x="164"/>
        <item x="151"/>
        <item x="179"/>
        <item x="78"/>
        <item x="92"/>
        <item x="139"/>
        <item x="149"/>
        <item x="176"/>
        <item x="116"/>
        <item x="131"/>
        <item x="113"/>
        <item x="73"/>
        <item x="140"/>
        <item x="87"/>
        <item x="170"/>
        <item x="114"/>
        <item x="120"/>
        <item x="119"/>
        <item x="189"/>
        <item x="145"/>
        <item x="124"/>
        <item x="191"/>
        <item x="163"/>
        <item x="174"/>
        <item x="166"/>
        <item x="148"/>
        <item x="158"/>
        <item x="38"/>
        <item x="107"/>
        <item x="168"/>
        <item x="45"/>
        <item x="125"/>
        <item x="128"/>
        <item x="188"/>
        <item x="143"/>
        <item x="123"/>
        <item x="82"/>
        <item x="187"/>
        <item x="150"/>
        <item x="172"/>
        <item x="72"/>
        <item x="186"/>
        <item x="81"/>
        <item x="178"/>
        <item x="173"/>
        <item x="171"/>
        <item x="156"/>
        <item x="106"/>
        <item x="49"/>
        <item x="58"/>
        <item x="157"/>
        <item x="147"/>
        <item x="91"/>
        <item x="104"/>
        <item x="71"/>
        <item x="64"/>
        <item x="141"/>
        <item x="185"/>
        <item x="121"/>
        <item x="177"/>
        <item x="86"/>
        <item x="190"/>
        <item x="57"/>
        <item x="146"/>
        <item x="183"/>
        <item x="112"/>
        <item x="77"/>
        <item x="175"/>
        <item x="161"/>
        <item x="162"/>
        <item x="180"/>
        <item x="160"/>
        <item x="184"/>
        <item x="144"/>
        <item x="165"/>
        <item t="default"/>
      </items>
    </pivotField>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28"/>
        <item t="default"/>
      </items>
    </pivotField>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items count="5">
        <item x="1"/>
        <item x="2"/>
        <item x="0"/>
        <item x="3"/>
        <item t="default"/>
      </items>
    </pivotField>
    <pivotField showAll="0">
      <items count="6">
        <item x="2"/>
        <item x="1"/>
        <item x="0"/>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cnt" fld="6"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62AD6B-82E8-4B9A-9A33-7EFE5F5724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5" firstHeaderRow="1" firstDataRow="1" firstDataCol="1"/>
  <pivotFields count="18">
    <pivotField showAll="0"/>
    <pivotField showAll="0"/>
    <pivotField showAll="0"/>
    <pivotField showAll="0">
      <items count="22">
        <item x="0"/>
        <item x="1"/>
        <item x="14"/>
        <item x="7"/>
        <item x="8"/>
        <item x="5"/>
        <item x="6"/>
        <item x="2"/>
        <item x="3"/>
        <item x="4"/>
        <item x="9"/>
        <item x="11"/>
        <item x="13"/>
        <item x="12"/>
        <item x="10"/>
        <item x="17"/>
        <item x="15"/>
        <item x="18"/>
        <item x="16"/>
        <item x="19"/>
        <item x="20"/>
        <item t="default"/>
      </items>
    </pivotField>
    <pivotField showAll="0"/>
    <pivotField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2"/>
        <item x="66"/>
        <item x="132"/>
        <item x="61"/>
        <item x="153"/>
        <item x="121"/>
        <item x="92"/>
        <item x="165"/>
        <item x="50"/>
        <item x="139"/>
        <item x="111"/>
        <item x="73"/>
        <item x="186"/>
        <item x="106"/>
        <item x="52"/>
        <item x="177"/>
        <item x="129"/>
        <item x="143"/>
        <item x="46"/>
        <item x="145"/>
        <item x="154"/>
        <item x="160"/>
        <item x="185"/>
        <item x="128"/>
        <item x="123"/>
        <item x="63"/>
        <item x="59"/>
        <item x="181"/>
        <item x="156"/>
        <item x="183"/>
        <item x="157"/>
        <item x="169"/>
        <item x="75"/>
        <item x="118"/>
        <item x="138"/>
        <item x="179"/>
        <item x="184"/>
        <item x="171"/>
        <item x="125"/>
        <item x="85"/>
        <item x="168"/>
        <item x="69"/>
        <item x="173"/>
        <item x="110"/>
        <item x="126"/>
        <item x="149"/>
        <item x="120"/>
        <item x="113"/>
        <item x="115"/>
        <item x="112"/>
        <item x="131"/>
        <item x="116"/>
        <item x="142"/>
        <item x="44"/>
        <item x="151"/>
        <item x="45"/>
        <item x="137"/>
        <item x="167"/>
        <item x="37"/>
        <item x="105"/>
        <item x="119"/>
        <item x="117"/>
        <item x="175"/>
        <item x="81"/>
        <item x="136"/>
        <item x="80"/>
        <item x="159"/>
        <item x="68"/>
        <item x="176"/>
        <item x="163"/>
        <item x="141"/>
        <item x="158"/>
        <item x="178"/>
        <item x="104"/>
        <item x="162"/>
        <item x="51"/>
        <item x="86"/>
        <item x="58"/>
        <item x="155"/>
        <item x="161"/>
        <item x="103"/>
        <item x="67"/>
        <item x="84"/>
        <item x="62"/>
        <item x="182"/>
        <item x="166"/>
        <item x="127"/>
        <item x="114"/>
        <item x="174"/>
        <item x="57"/>
        <item x="134"/>
        <item x="147"/>
        <item x="135"/>
        <item x="180"/>
        <item x="107"/>
        <item x="74"/>
        <item x="164"/>
        <item x="148"/>
        <item x="170"/>
        <item x="146"/>
        <item x="172"/>
        <item x="130"/>
        <item x="150"/>
        <item t="default"/>
      </items>
    </pivotField>
    <pivotField dataField="1" showAll="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28"/>
        <item t="default"/>
      </items>
    </pivotField>
    <pivotField showAll="0"/>
    <pivotField showAll="0"/>
    <pivotField showAll="0"/>
    <pivotField showAll="0"/>
    <pivotField showAll="0"/>
    <pivotField showAll="0"/>
    <pivotField showAll="0">
      <items count="5">
        <item x="1"/>
        <item x="2"/>
        <item x="0"/>
        <item x="3"/>
        <item t="default"/>
      </items>
    </pivotField>
    <pivotField showAll="0">
      <items count="6">
        <item x="2"/>
        <item x="1"/>
        <item x="0"/>
        <item x="3"/>
        <item x="4"/>
        <item t="default"/>
      </items>
    </pivotField>
    <pivotField axis="axisRow" showAll="0">
      <items count="369">
        <item h="1" sd="0" x="0"/>
        <item h="1" sd="0" x="1"/>
        <item h="1" sd="0" x="2"/>
        <item h="1" sd="0" x="3"/>
        <item h="1" sd="0" x="4"/>
        <item h="1" sd="0" x="5"/>
        <item h="1" sd="0" x="6"/>
        <item h="1" sd="0" x="7"/>
        <item h="1" sd="0" x="8"/>
        <item h="1" sd="0" x="9"/>
        <item h="1" sd="0" x="10"/>
        <item h="1" sd="0" x="11"/>
        <item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7"/>
  </rowFields>
  <rowItems count="2">
    <i>
      <x v="1"/>
    </i>
    <i t="grand">
      <x/>
    </i>
  </rowItems>
  <colItems count="1">
    <i/>
  </colItems>
  <dataFields count="1">
    <dataField name="Sum of cnt" fld="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FA4E4F-CAE3-4271-B78C-410ED85A7E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25" firstHeaderRow="1" firstDataRow="1" firstDataCol="1"/>
  <pivotFields count="18">
    <pivotField showAll="0"/>
    <pivotField showAll="0"/>
    <pivotField showAll="0"/>
    <pivotField axis="axisRow" showAll="0">
      <items count="22">
        <item x="0"/>
        <item x="1"/>
        <item x="14"/>
        <item x="7"/>
        <item x="8"/>
        <item x="5"/>
        <item x="6"/>
        <item x="2"/>
        <item x="3"/>
        <item x="4"/>
        <item x="9"/>
        <item x="11"/>
        <item x="13"/>
        <item x="12"/>
        <item x="10"/>
        <item x="17"/>
        <item x="15"/>
        <item x="18"/>
        <item x="16"/>
        <item x="19"/>
        <item x="20"/>
        <item t="default"/>
      </items>
    </pivotField>
    <pivotField showAll="0"/>
    <pivotField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2"/>
        <item x="66"/>
        <item x="132"/>
        <item x="61"/>
        <item x="153"/>
        <item x="121"/>
        <item x="92"/>
        <item x="165"/>
        <item x="50"/>
        <item x="139"/>
        <item x="111"/>
        <item x="73"/>
        <item x="186"/>
        <item x="106"/>
        <item x="52"/>
        <item x="177"/>
        <item x="129"/>
        <item x="143"/>
        <item x="46"/>
        <item x="145"/>
        <item x="154"/>
        <item x="160"/>
        <item x="185"/>
        <item x="128"/>
        <item x="123"/>
        <item x="63"/>
        <item x="59"/>
        <item x="181"/>
        <item x="156"/>
        <item x="183"/>
        <item x="157"/>
        <item x="169"/>
        <item x="75"/>
        <item x="118"/>
        <item x="138"/>
        <item x="179"/>
        <item x="184"/>
        <item x="171"/>
        <item x="125"/>
        <item x="85"/>
        <item x="168"/>
        <item x="69"/>
        <item x="173"/>
        <item x="110"/>
        <item x="126"/>
        <item x="149"/>
        <item x="120"/>
        <item x="113"/>
        <item x="115"/>
        <item x="112"/>
        <item x="131"/>
        <item x="116"/>
        <item x="142"/>
        <item x="44"/>
        <item x="151"/>
        <item x="45"/>
        <item x="137"/>
        <item x="167"/>
        <item x="37"/>
        <item x="105"/>
        <item x="119"/>
        <item x="117"/>
        <item x="175"/>
        <item x="81"/>
        <item x="136"/>
        <item x="80"/>
        <item x="159"/>
        <item x="68"/>
        <item x="176"/>
        <item x="163"/>
        <item x="141"/>
        <item x="158"/>
        <item x="178"/>
        <item x="104"/>
        <item x="162"/>
        <item x="51"/>
        <item x="86"/>
        <item x="58"/>
        <item x="155"/>
        <item x="161"/>
        <item x="103"/>
        <item x="67"/>
        <item x="84"/>
        <item x="62"/>
        <item x="182"/>
        <item x="166"/>
        <item x="127"/>
        <item x="114"/>
        <item x="174"/>
        <item x="57"/>
        <item x="134"/>
        <item x="147"/>
        <item x="135"/>
        <item x="180"/>
        <item x="107"/>
        <item x="74"/>
        <item x="164"/>
        <item x="148"/>
        <item x="170"/>
        <item x="146"/>
        <item x="172"/>
        <item x="130"/>
        <item x="150"/>
        <item t="default"/>
      </items>
    </pivotField>
    <pivotField dataField="1"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28"/>
        <item t="default"/>
      </items>
    </pivotField>
    <pivotField showAll="0"/>
    <pivotField showAll="0"/>
    <pivotField showAll="0"/>
    <pivotField showAll="0"/>
    <pivotField showAll="0"/>
    <pivotField showAll="0">
      <items count="25">
        <item x="22"/>
        <item x="21"/>
        <item x="20"/>
        <item x="19"/>
        <item x="18"/>
        <item x="16"/>
        <item x="14"/>
        <item x="13"/>
        <item x="15"/>
        <item x="2"/>
        <item x="1"/>
        <item x="0"/>
        <item x="12"/>
        <item x="17"/>
        <item x="11"/>
        <item x="3"/>
        <item x="10"/>
        <item x="5"/>
        <item x="4"/>
        <item x="9"/>
        <item x="6"/>
        <item x="8"/>
        <item x="7"/>
        <item x="23"/>
        <item t="default"/>
      </items>
    </pivotField>
    <pivotField showAll="0">
      <items count="5">
        <item x="1"/>
        <item x="2"/>
        <item x="0"/>
        <item x="3"/>
        <item t="default"/>
      </items>
    </pivotField>
    <pivotField showAll="0">
      <items count="6">
        <item x="2"/>
        <item x="1"/>
        <item x="0"/>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cnt" fld="6"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4F15B0-CA5E-4D8E-8B54-960D55987A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8" firstHeaderRow="1" firstDataRow="1" firstDataCol="1"/>
  <pivotFields count="18">
    <pivotField showAll="0"/>
    <pivotField showAll="0"/>
    <pivotField showAll="0"/>
    <pivotField showAll="0">
      <items count="22">
        <item x="0"/>
        <item x="1"/>
        <item x="14"/>
        <item x="7"/>
        <item x="8"/>
        <item x="5"/>
        <item x="6"/>
        <item x="2"/>
        <item x="3"/>
        <item x="4"/>
        <item x="9"/>
        <item x="11"/>
        <item x="13"/>
        <item x="12"/>
        <item x="10"/>
        <item x="17"/>
        <item x="15"/>
        <item x="18"/>
        <item x="16"/>
        <item x="19"/>
        <item x="20"/>
        <item t="default"/>
      </items>
    </pivotField>
    <pivotField showAll="0"/>
    <pivotField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2"/>
        <item x="66"/>
        <item x="132"/>
        <item x="61"/>
        <item x="153"/>
        <item x="121"/>
        <item x="92"/>
        <item x="165"/>
        <item x="50"/>
        <item x="139"/>
        <item x="111"/>
        <item x="73"/>
        <item x="186"/>
        <item x="106"/>
        <item x="52"/>
        <item x="177"/>
        <item x="129"/>
        <item x="143"/>
        <item x="46"/>
        <item x="145"/>
        <item x="154"/>
        <item x="160"/>
        <item x="185"/>
        <item x="128"/>
        <item x="123"/>
        <item x="63"/>
        <item x="59"/>
        <item x="181"/>
        <item x="156"/>
        <item x="183"/>
        <item x="157"/>
        <item x="169"/>
        <item x="75"/>
        <item x="118"/>
        <item x="138"/>
        <item x="179"/>
        <item x="184"/>
        <item x="171"/>
        <item x="125"/>
        <item x="85"/>
        <item x="168"/>
        <item x="69"/>
        <item x="173"/>
        <item x="110"/>
        <item x="126"/>
        <item x="149"/>
        <item x="120"/>
        <item x="113"/>
        <item x="115"/>
        <item x="112"/>
        <item x="131"/>
        <item x="116"/>
        <item x="142"/>
        <item x="44"/>
        <item x="151"/>
        <item x="45"/>
        <item x="137"/>
        <item x="167"/>
        <item x="37"/>
        <item x="105"/>
        <item x="119"/>
        <item x="117"/>
        <item x="175"/>
        <item x="81"/>
        <item x="136"/>
        <item x="80"/>
        <item x="159"/>
        <item x="68"/>
        <item x="176"/>
        <item x="163"/>
        <item x="141"/>
        <item x="158"/>
        <item x="178"/>
        <item x="104"/>
        <item x="162"/>
        <item x="51"/>
        <item x="86"/>
        <item x="58"/>
        <item x="155"/>
        <item x="161"/>
        <item x="103"/>
        <item x="67"/>
        <item x="84"/>
        <item x="62"/>
        <item x="182"/>
        <item x="166"/>
        <item x="127"/>
        <item x="114"/>
        <item x="174"/>
        <item x="57"/>
        <item x="134"/>
        <item x="147"/>
        <item x="135"/>
        <item x="180"/>
        <item x="107"/>
        <item x="74"/>
        <item x="164"/>
        <item x="148"/>
        <item x="170"/>
        <item x="146"/>
        <item x="172"/>
        <item x="130"/>
        <item x="150"/>
        <item t="default"/>
      </items>
    </pivotField>
    <pivotField dataField="1"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28"/>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items count="6">
        <item x="2"/>
        <item x="1"/>
        <item x="0"/>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um of cnt" fld="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703DB3-06B7-4594-AEC9-E962D228E5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9" firstHeaderRow="1" firstDataRow="1" firstDataCol="1"/>
  <pivotFields count="18">
    <pivotField showAll="0"/>
    <pivotField showAll="0"/>
    <pivotField showAll="0"/>
    <pivotField showAll="0">
      <items count="22">
        <item x="0"/>
        <item x="1"/>
        <item x="14"/>
        <item x="7"/>
        <item x="8"/>
        <item x="5"/>
        <item x="6"/>
        <item x="2"/>
        <item x="3"/>
        <item x="4"/>
        <item x="9"/>
        <item x="11"/>
        <item x="13"/>
        <item x="12"/>
        <item x="10"/>
        <item x="17"/>
        <item x="15"/>
        <item x="18"/>
        <item x="16"/>
        <item x="19"/>
        <item x="20"/>
        <item t="default"/>
      </items>
    </pivotField>
    <pivotField showAll="0"/>
    <pivotField showAll="0">
      <items count="188">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2"/>
        <item x="66"/>
        <item x="132"/>
        <item x="61"/>
        <item x="153"/>
        <item x="121"/>
        <item x="92"/>
        <item x="165"/>
        <item x="50"/>
        <item x="139"/>
        <item x="111"/>
        <item x="73"/>
        <item x="186"/>
        <item x="106"/>
        <item x="52"/>
        <item x="177"/>
        <item x="129"/>
        <item x="143"/>
        <item x="46"/>
        <item x="145"/>
        <item x="154"/>
        <item x="160"/>
        <item x="185"/>
        <item x="128"/>
        <item x="123"/>
        <item x="63"/>
        <item x="59"/>
        <item x="181"/>
        <item x="156"/>
        <item x="183"/>
        <item x="157"/>
        <item x="169"/>
        <item x="75"/>
        <item x="118"/>
        <item x="138"/>
        <item x="179"/>
        <item x="184"/>
        <item x="171"/>
        <item x="125"/>
        <item x="85"/>
        <item x="168"/>
        <item x="69"/>
        <item x="173"/>
        <item x="110"/>
        <item x="126"/>
        <item x="149"/>
        <item x="120"/>
        <item x="113"/>
        <item x="115"/>
        <item x="112"/>
        <item x="131"/>
        <item x="116"/>
        <item x="142"/>
        <item x="44"/>
        <item x="151"/>
        <item x="45"/>
        <item x="137"/>
        <item x="167"/>
        <item x="37"/>
        <item x="105"/>
        <item x="119"/>
        <item x="117"/>
        <item x="175"/>
        <item x="81"/>
        <item x="136"/>
        <item x="80"/>
        <item x="159"/>
        <item x="68"/>
        <item x="176"/>
        <item x="163"/>
        <item x="141"/>
        <item x="158"/>
        <item x="178"/>
        <item x="104"/>
        <item x="162"/>
        <item x="51"/>
        <item x="86"/>
        <item x="58"/>
        <item x="155"/>
        <item x="161"/>
        <item x="103"/>
        <item x="67"/>
        <item x="84"/>
        <item x="62"/>
        <item x="182"/>
        <item x="166"/>
        <item x="127"/>
        <item x="114"/>
        <item x="174"/>
        <item x="57"/>
        <item x="134"/>
        <item x="147"/>
        <item x="135"/>
        <item x="180"/>
        <item x="107"/>
        <item x="74"/>
        <item x="164"/>
        <item x="148"/>
        <item x="170"/>
        <item x="146"/>
        <item x="172"/>
        <item x="130"/>
        <item x="150"/>
        <item t="default"/>
      </items>
    </pivotField>
    <pivotField dataField="1" showAll="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9"/>
        <item x="30"/>
        <item x="31"/>
        <item x="32"/>
        <item x="33"/>
        <item x="34"/>
        <item x="35"/>
        <item x="36"/>
        <item x="37"/>
        <item x="38"/>
        <item x="39"/>
        <item x="40"/>
        <item x="41"/>
        <item x="42"/>
        <item x="43"/>
        <item x="44"/>
        <item x="45"/>
        <item x="28"/>
        <item t="default"/>
      </items>
    </pivotField>
    <pivotField showAll="0"/>
    <pivotField showAll="0"/>
    <pivotField showAll="0"/>
    <pivotField showAll="0"/>
    <pivotField showAll="0"/>
    <pivotField showAll="0"/>
    <pivotField showAll="0">
      <items count="5">
        <item x="1"/>
        <item x="2"/>
        <item x="0"/>
        <item x="3"/>
        <item t="default"/>
      </items>
    </pivotField>
    <pivotField axis="axisRow" showAll="0">
      <items count="6">
        <item x="2"/>
        <item x="1"/>
        <item x="0"/>
        <item x="3"/>
        <item x="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i>
    <i>
      <x v="1"/>
    </i>
    <i>
      <x v="2"/>
    </i>
    <i>
      <x v="3"/>
    </i>
    <i>
      <x v="4"/>
    </i>
    <i t="grand">
      <x/>
    </i>
  </rowItems>
  <colItems count="1">
    <i/>
  </colItems>
  <dataFields count="1">
    <dataField name="Sum of cnt" fld="6" baseField="0" baseItem="0"/>
  </dataFields>
  <chartFormats count="7">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5" count="1" selected="0">
            <x v="0"/>
          </reference>
        </references>
      </pivotArea>
    </chartFormat>
    <chartFormat chart="4" format="13">
      <pivotArea type="data" outline="0" fieldPosition="0">
        <references count="2">
          <reference field="4294967294" count="1" selected="0">
            <x v="0"/>
          </reference>
          <reference field="15" count="1" selected="0">
            <x v="1"/>
          </reference>
        </references>
      </pivotArea>
    </chartFormat>
    <chartFormat chart="4" format="14">
      <pivotArea type="data" outline="0" fieldPosition="0">
        <references count="2">
          <reference field="4294967294" count="1" selected="0">
            <x v="0"/>
          </reference>
          <reference field="15" count="1" selected="0">
            <x v="2"/>
          </reference>
        </references>
      </pivotArea>
    </chartFormat>
    <chartFormat chart="4" format="15">
      <pivotArea type="data" outline="0" fieldPosition="0">
        <references count="2">
          <reference field="4294967294" count="1" selected="0">
            <x v="0"/>
          </reference>
          <reference field="15" count="1" selected="0">
            <x v="3"/>
          </reference>
        </references>
      </pivotArea>
    </chartFormat>
    <chartFormat chart="4" format="1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A51B0FB-18EB-4B87-AC53-2876F9DE1604}" autoFormatId="16" applyNumberFormats="0" applyBorderFormats="0" applyFontFormats="0" applyPatternFormats="0" applyAlignmentFormats="0" applyWidthHeightFormats="0">
  <queryTableRefresh nextId="21" unboundColumnsRight="2">
    <queryTableFields count="16">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 id="10" name="dteday" tableColumnId="10"/>
      <queryTableField id="11" name="season" tableColumnId="11"/>
      <queryTableField id="14" name="hr" tableColumnId="14"/>
      <queryTableField id="15" name="holiday" tableColumnId="15"/>
      <queryTableField id="16" name="weekday" tableColumnId="16"/>
      <queryTableField id="17" name="weathersit" tableColumnId="17"/>
      <queryTableField id="18" name="temp" tableColumnId="18"/>
      <queryTableField id="19" dataBound="0" tableColumnId="1"/>
      <queryTableField id="20" dataBound="0" tableColumnId="9"/>
    </queryTableFields>
    <queryTableDeletedFields count="4">
      <deletedField name="yr"/>
      <deletedField name="mnth"/>
      <deletedField name="Unnamed: 0"/>
      <deletedField name="instant_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6D76C8E-0551-4EA8-8C40-2A1D0B761D1A}" autoFormatId="16" applyNumberFormats="0" applyBorderFormats="0" applyFontFormats="0" applyPatternFormats="0" applyAlignmentFormats="0" applyWidthHeightFormats="0">
  <queryTableRefresh nextId="19">
    <queryTableFields count="1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 id="9" name="instant_1" tableColumnId="9"/>
      <queryTableField id="10" name="dteday" tableColumnId="10"/>
      <queryTableField id="11" name="season" tableColumnId="11"/>
      <queryTableField id="12" name="yr" tableColumnId="12"/>
      <queryTableField id="13" name="mnth" tableColumnId="13"/>
      <queryTableField id="14" name="hr" tableColumnId="14"/>
      <queryTableField id="15" name="holiday" tableColumnId="15"/>
      <queryTableField id="16" name="weekday" tableColumnId="16"/>
      <queryTableField id="17" name="weathersit" tableColumnId="17"/>
      <queryTableField id="18" name="temp"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8259919-6F88-420F-8381-2A3FF53E1BA2}" autoFormatId="16" applyNumberFormats="0" applyBorderFormats="0" applyFontFormats="0" applyPatternFormats="0" applyAlignmentFormats="0" applyWidthHeightFormats="0">
  <queryTableRefresh nextId="19">
    <queryTableFields count="18">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name="Unnamed: 0" tableColumnId="17"/>
      <queryTableField id="18" name="instant_1"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dspeed" xr10:uid="{B23AD0DF-2F7E-49CF-98D8-A6AF1AE0C555}" sourceName="windspeed">
  <pivotTables>
    <pivotTable tabId="5" name="PivotTable1"/>
    <pivotTable tabId="11" name="PivotTable1"/>
    <pivotTable tabId="8" name="PivotTable4"/>
    <pivotTable tabId="7" name="PivotTable3"/>
    <pivotTable tabId="6" name="PivotTable2"/>
  </pivotTables>
  <data>
    <tabular pivotCacheId="1077728906">
      <items count="21">
        <i x="0" s="1"/>
        <i x="1" s="1"/>
        <i x="14" s="1"/>
        <i x="7" s="1"/>
        <i x="8" s="1"/>
        <i x="5" s="1"/>
        <i x="6" s="1"/>
        <i x="2" s="1"/>
        <i x="3" s="1"/>
        <i x="4" s="1"/>
        <i x="9" s="1"/>
        <i x="11" s="1"/>
        <i x="13" s="1"/>
        <i x="12" s="1"/>
        <i x="10" s="1"/>
        <i x="17" s="1"/>
        <i x="15" s="1"/>
        <i x="18" s="1"/>
        <i x="16" s="1"/>
        <i x="19"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CDB6F433-4293-4968-9BD7-4DDCC9D84169}" sourceName="registered">
  <pivotTables>
    <pivotTable tabId="5" name="PivotTable1"/>
    <pivotTable tabId="11" name="PivotTable1"/>
    <pivotTable tabId="8" name="PivotTable4"/>
    <pivotTable tabId="7" name="PivotTable3"/>
    <pivotTable tabId="6" name="PivotTable2"/>
  </pivotTables>
  <data>
    <tabular pivotCacheId="1077728906">
      <items count="187">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2" s="1"/>
        <i x="66" s="1"/>
        <i x="132" s="1"/>
        <i x="61" s="1"/>
        <i x="153" s="1"/>
        <i x="121" s="1"/>
        <i x="92" s="1"/>
        <i x="165" s="1"/>
        <i x="50" s="1"/>
        <i x="139" s="1"/>
        <i x="111" s="1"/>
        <i x="73" s="1"/>
        <i x="186" s="1"/>
        <i x="106" s="1"/>
        <i x="52" s="1"/>
        <i x="177" s="1"/>
        <i x="129" s="1"/>
        <i x="143" s="1"/>
        <i x="46" s="1"/>
        <i x="145" s="1"/>
        <i x="154" s="1"/>
        <i x="160" s="1"/>
        <i x="185" s="1"/>
        <i x="128" s="1"/>
        <i x="123" s="1"/>
        <i x="63" s="1"/>
        <i x="59" s="1"/>
        <i x="181" s="1"/>
        <i x="156" s="1"/>
        <i x="183" s="1"/>
        <i x="157" s="1"/>
        <i x="169" s="1"/>
        <i x="75" s="1"/>
        <i x="118" s="1"/>
        <i x="138" s="1"/>
        <i x="179" s="1"/>
        <i x="184" s="1"/>
        <i x="171" s="1"/>
        <i x="125" s="1"/>
        <i x="85" s="1"/>
        <i x="168" s="1"/>
        <i x="69" s="1"/>
        <i x="173" s="1"/>
        <i x="110" s="1"/>
        <i x="126" s="1"/>
        <i x="149" s="1"/>
        <i x="120" s="1"/>
        <i x="113" s="1"/>
        <i x="115" s="1"/>
        <i x="112" s="1"/>
        <i x="131" s="1"/>
        <i x="116" s="1"/>
        <i x="142" s="1"/>
        <i x="44" s="1"/>
        <i x="151" s="1"/>
        <i x="45" s="1"/>
        <i x="137" s="1"/>
        <i x="167" s="1"/>
        <i x="37" s="1"/>
        <i x="105" s="1"/>
        <i x="119" s="1"/>
        <i x="117" s="1"/>
        <i x="175" s="1"/>
        <i x="81" s="1"/>
        <i x="136" s="1"/>
        <i x="80" s="1"/>
        <i x="159" s="1"/>
        <i x="68" s="1"/>
        <i x="176" s="1"/>
        <i x="163" s="1"/>
        <i x="141" s="1"/>
        <i x="158" s="1"/>
        <i x="178" s="1"/>
        <i x="104" s="1"/>
        <i x="162" s="1"/>
        <i x="51" s="1"/>
        <i x="86" s="1"/>
        <i x="58" s="1"/>
        <i x="155" s="1"/>
        <i x="161" s="1"/>
        <i x="103" s="1"/>
        <i x="67" s="1"/>
        <i x="84" s="1"/>
        <i x="62" s="1"/>
        <i x="182" s="1"/>
        <i x="166" s="1"/>
        <i x="127" s="1"/>
        <i x="114" s="1"/>
        <i x="174" s="1"/>
        <i x="57" s="1"/>
        <i x="134" s="1"/>
        <i x="147" s="1"/>
        <i x="135" s="1"/>
        <i x="180" s="1"/>
        <i x="107" s="1"/>
        <i x="74" s="1"/>
        <i x="164" s="1"/>
        <i x="148" s="1"/>
        <i x="170" s="1"/>
        <i x="146" s="1"/>
        <i x="172" s="1"/>
        <i x="130" s="1"/>
        <i x="15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B1CF4F0D-2902-43AE-B70B-FB179A56664C}" sourceName="temp">
  <pivotTables>
    <pivotTable tabId="5" name="PivotTable1"/>
  </pivotTables>
  <data>
    <tabular pivotCacheId="1077728906">
      <items count="24">
        <i x="22" s="1"/>
        <i x="21" s="1"/>
        <i x="20" s="1"/>
        <i x="19" s="1"/>
        <i x="18" s="1"/>
        <i x="16" s="1"/>
        <i x="14" s="1"/>
        <i x="13" s="1"/>
        <i x="15" s="1"/>
        <i x="2" s="1"/>
        <i x="1" s="1"/>
        <i x="0" s="1"/>
        <i x="12" s="1"/>
        <i x="17" s="1"/>
        <i x="11" s="1"/>
        <i x="3" s="1"/>
        <i x="10" s="1"/>
        <i x="5" s="1"/>
        <i x="4" s="1"/>
        <i x="9" s="1"/>
        <i x="6" s="1"/>
        <i x="8" s="1"/>
        <i x="7" s="1"/>
        <i x="2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61A20A47-39DF-4943-A617-F0D79B225E9E}" sourceName="days">
  <pivotTables>
    <pivotTable tabId="5" name="PivotTable1"/>
    <pivotTable tabId="11" name="PivotTable1"/>
    <pivotTable tabId="8" name="PivotTable4"/>
    <pivotTable tabId="7" name="PivotTable3"/>
    <pivotTable tabId="6" name="PivotTable2"/>
  </pivotTables>
  <data>
    <tabular pivotCacheId="1077728906">
      <items count="4">
        <i x="1" s="1"/>
        <i x="2"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98CC0DCB-96F4-49BF-B845-ECF7F39DC764}" sourceName="weather">
  <pivotTables>
    <pivotTable tabId="11" name="PivotTable1"/>
    <pivotTable tabId="8" name="PivotTable4"/>
    <pivotTable tabId="7" name="PivotTable3"/>
    <pivotTable tabId="6" name="PivotTable2"/>
    <pivotTable tabId="5" name="PivotTable1"/>
  </pivotTables>
  <data>
    <tabular pivotCacheId="1077728906">
      <items count="5">
        <i x="2" s="1"/>
        <i x="1" s="1"/>
        <i x="0" s="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dspeed" xr10:uid="{5C10887A-120F-408F-8A56-E968120DE066}" cache="Slicer_windspeed" caption="windspeed" rowHeight="241300"/>
  <slicer name="registered" xr10:uid="{F7E6C125-9B31-49F7-923B-4C7305F6FBFF}" cache="Slicer_registered" caption="registered" rowHeight="241300"/>
  <slicer name="temp" xr10:uid="{6A95DAA6-F1CA-405B-91A4-D87B225F9AE8}" cache="Slicer_temp" caption="temp" rowHeight="241300"/>
  <slicer name="days" xr10:uid="{185D5C87-F32B-4316-A884-7267C5211163}" cache="Slicer_days" caption="days" rowHeight="241300"/>
  <slicer name="weather" xr10:uid="{0427A581-811E-4ED9-81BF-9B99FC3E3800}" cache="Slicer_weather" caption="weath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D9B51E-DCD6-4168-B4E3-914BA5FF80F7}" name="Append1" displayName="Append1" ref="A1:P1012" tableType="queryTable" totalsRowShown="0" headerRowDxfId="21" headerRowBorderDxfId="20" tableBorderDxfId="19" totalsRowBorderDxfId="18">
  <autoFilter ref="A1:P1012" xr:uid="{13D9B51E-DCD6-4168-B4E3-914BA5FF80F7}"/>
  <tableColumns count="16">
    <tableColumn id="2" xr3:uid="{7C375844-EF90-4867-BCD6-8F61D86DB9B6}" uniqueName="2" name="instant" queryTableFieldId="2" dataDxfId="17"/>
    <tableColumn id="3" xr3:uid="{96FB7827-E78E-4CE5-9FA6-79FDB4896FA5}" uniqueName="3" name="atemp" queryTableFieldId="3" dataDxfId="16"/>
    <tableColumn id="4" xr3:uid="{EE4A9E11-9E02-47BE-A33D-8EBD5B8EFCDB}" uniqueName="4" name="hum" queryTableFieldId="4" dataDxfId="15"/>
    <tableColumn id="5" xr3:uid="{8D8EC91E-BB07-4A52-B3DD-A88C4EE73FC1}" uniqueName="5" name="windspeed" queryTableFieldId="5" dataDxfId="14"/>
    <tableColumn id="6" xr3:uid="{899EB0D1-D846-4ED1-A6F5-6E811D6957A6}" uniqueName="6" name="casual" queryTableFieldId="6" dataDxfId="13"/>
    <tableColumn id="7" xr3:uid="{BE575DBE-F084-4913-BA98-CB53FFF7670D}" uniqueName="7" name="registered" queryTableFieldId="7" dataDxfId="12"/>
    <tableColumn id="8" xr3:uid="{D8DF515C-6B50-41E8-B13D-09A68B81FE1D}" uniqueName="8" name="cnt" queryTableFieldId="8" dataDxfId="11"/>
    <tableColumn id="10" xr3:uid="{D589DA4C-53D3-4D62-8D7F-ECCCEEE856DB}" uniqueName="10" name="dteday" queryTableFieldId="10" dataDxfId="10"/>
    <tableColumn id="11" xr3:uid="{083AD3DD-9660-4906-9D10-9932F35E490A}" uniqueName="11" name="season" queryTableFieldId="11" dataDxfId="9"/>
    <tableColumn id="14" xr3:uid="{8BB72D29-095A-43E0-8B2B-1AC0C80B1F62}" uniqueName="14" name="hr" queryTableFieldId="14" dataDxfId="8"/>
    <tableColumn id="15" xr3:uid="{FC6200FE-8C74-4715-9539-87DA7B30FE63}" uniqueName="15" name="holiday" queryTableFieldId="15" dataDxfId="7"/>
    <tableColumn id="16" xr3:uid="{3C5CD238-00EE-4A85-BD8B-0B4F300A1BA9}" uniqueName="16" name="weekday" queryTableFieldId="16" dataDxfId="6"/>
    <tableColumn id="17" xr3:uid="{CD018E26-D26D-48F4-9F6A-3857E3BF97F0}" uniqueName="17" name="weathersit" queryTableFieldId="17" dataDxfId="5"/>
    <tableColumn id="18" xr3:uid="{2BA71A24-0563-4815-9837-209BA4A5F05C}" uniqueName="18" name="temp" queryTableFieldId="18" dataDxfId="4"/>
    <tableColumn id="1" xr3:uid="{E8AC6373-F9BD-4D5C-A106-6D4DF858372C}" uniqueName="1" name="days" queryTableFieldId="19" dataDxfId="3">
      <calculatedColumnFormula>WEEKDAY(Append1[[#This Row],[dteday]]-1)</calculatedColumnFormula>
    </tableColumn>
    <tableColumn id="9" xr3:uid="{6FB856F6-7CC4-4CAE-958E-C474FEC74AAE}" uniqueName="9" name="weather" queryTableFieldId="20" dataDxfId="2">
      <calculatedColumnFormula>IF(Append1[[#This Row],[weathersit]]=0,"sunny",IF(Append1[[#This Row],[weathersit]]=1,"mist",IF(Append1[[#This Row],[weathersit]]=2,"lightrain","extremerain")))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12A2D-5D2D-4963-AE93-F67C74680D03}" name="f_data_1" displayName="f_data_1" ref="A1:R612" tableType="queryTable" totalsRowShown="0">
  <autoFilter ref="A1:R612" xr:uid="{2B312A2D-5D2D-4963-AE93-F67C74680D03}"/>
  <tableColumns count="18">
    <tableColumn id="1" xr3:uid="{FE2605C5-EAE6-43F9-BAAA-5BA1ED1FE1B3}" uniqueName="1" name="Unnamed: 0" queryTableFieldId="1"/>
    <tableColumn id="2" xr3:uid="{A29DB0A7-5A8C-45D2-BFF1-BCEE02D71F14}" uniqueName="2" name="instant" queryTableFieldId="2"/>
    <tableColumn id="3" xr3:uid="{330740E1-26EA-4A10-86FD-6D1E73476152}" uniqueName="3" name="atemp" queryTableFieldId="3"/>
    <tableColumn id="4" xr3:uid="{58FEDA39-4836-4DC6-AC71-29ADC0741E6D}" uniqueName="4" name="hum" queryTableFieldId="4"/>
    <tableColumn id="5" xr3:uid="{524C618E-8BB7-429A-818C-F8E6B96873DC}" uniqueName="5" name="windspeed" queryTableFieldId="5"/>
    <tableColumn id="6" xr3:uid="{3032ECFA-1E46-4032-A73F-FE32E5E625FE}" uniqueName="6" name="casual" queryTableFieldId="6"/>
    <tableColumn id="7" xr3:uid="{15A04AA1-19FD-4865-822D-077BF91A733F}" uniqueName="7" name="registered" queryTableFieldId="7"/>
    <tableColumn id="8" xr3:uid="{44F4F73E-C729-44BD-A6B7-4FDD5F0CFA15}" uniqueName="8" name="cnt" queryTableFieldId="8"/>
    <tableColumn id="9" xr3:uid="{F2294CA3-1A2B-4E05-9EEE-D0E90E736814}" uniqueName="9" name="instant_1" queryTableFieldId="9"/>
    <tableColumn id="10" xr3:uid="{AB0F4C07-5E25-49DA-B6DD-6B1DB49229D2}" uniqueName="10" name="dteday" queryTableFieldId="10" dataDxfId="1"/>
    <tableColumn id="11" xr3:uid="{A94A491D-7046-470C-A23D-B65AC9F968A9}" uniqueName="11" name="season" queryTableFieldId="11"/>
    <tableColumn id="12" xr3:uid="{9FEDB7A2-F523-40C4-8ECD-BBB0AB507BD6}" uniqueName="12" name="yr" queryTableFieldId="12"/>
    <tableColumn id="13" xr3:uid="{A2E70C15-82D3-46C0-B86F-7175325B58DF}" uniqueName="13" name="mnth" queryTableFieldId="13"/>
    <tableColumn id="14" xr3:uid="{9B08170E-5997-4452-BCA9-2B397A457EF7}" uniqueName="14" name="hr" queryTableFieldId="14"/>
    <tableColumn id="15" xr3:uid="{87372884-8CB5-4FC7-96D8-05977133EC5C}" uniqueName="15" name="holiday" queryTableFieldId="15"/>
    <tableColumn id="16" xr3:uid="{D4E70C02-FF2A-46D5-AF4B-2723D5FA3117}" uniqueName="16" name="weekday" queryTableFieldId="16"/>
    <tableColumn id="17" xr3:uid="{1C94414D-62DE-439A-AC30-FCC20D0CCE74}" uniqueName="17" name="weathersit" queryTableFieldId="17"/>
    <tableColumn id="18" xr3:uid="{80DFB15C-42EC-4725-A727-8BF298DA89D6}" uniqueName="18" name="temp"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D09302-66E2-4B27-89F9-550994A0CB18}" name="fdata_2" displayName="fdata_2" ref="A1:R4803" tableType="queryTable" totalsRowShown="0">
  <autoFilter ref="A1:R4803" xr:uid="{41D09302-66E2-4B27-89F9-550994A0CB18}"/>
  <tableColumns count="18">
    <tableColumn id="1" xr3:uid="{8F2C05EC-359C-408E-8EE7-AC9D0248BED3}" uniqueName="1" name="instant" queryTableFieldId="1"/>
    <tableColumn id="2" xr3:uid="{8F5F9850-81BC-489F-A741-94DC7B5DA821}" uniqueName="2" name="dteday" queryTableFieldId="2" dataDxfId="0"/>
    <tableColumn id="3" xr3:uid="{469E2C96-9807-4A16-8862-51E34A04183E}" uniqueName="3" name="season" queryTableFieldId="3"/>
    <tableColumn id="4" xr3:uid="{60C75CAF-0D14-46D6-A9B2-E626CCC71CB4}" uniqueName="4" name="yr" queryTableFieldId="4"/>
    <tableColumn id="5" xr3:uid="{22329F11-1FF3-4FD3-BCB1-6E72B229DB4F}" uniqueName="5" name="mnth" queryTableFieldId="5"/>
    <tableColumn id="6" xr3:uid="{CD810987-E137-49C5-9558-0DD2C5A856BD}" uniqueName="6" name="hr" queryTableFieldId="6"/>
    <tableColumn id="7" xr3:uid="{2AA03AA7-E840-4CA9-ACD5-DBBF213E2791}" uniqueName="7" name="holiday" queryTableFieldId="7"/>
    <tableColumn id="8" xr3:uid="{A7F10D7C-A41A-4FC9-A0A9-C87793394EB9}" uniqueName="8" name="weekday" queryTableFieldId="8"/>
    <tableColumn id="9" xr3:uid="{BA70C718-9FDE-4D51-8FC4-0F249CC8C24E}" uniqueName="9" name="weathersit" queryTableFieldId="9"/>
    <tableColumn id="10" xr3:uid="{76B0E6B0-EBA6-4C93-BCAC-49E8720165D8}" uniqueName="10" name="temp" queryTableFieldId="10"/>
    <tableColumn id="11" xr3:uid="{E03C96D8-B7F2-4FBC-B801-563D6795629F}" uniqueName="11" name="atemp" queryTableFieldId="11"/>
    <tableColumn id="12" xr3:uid="{29F7CB3C-C8AE-4F11-B506-D8D5DF9E1693}" uniqueName="12" name="hum" queryTableFieldId="12"/>
    <tableColumn id="13" xr3:uid="{AAED177A-712C-403D-92F6-6B7CA81ABDD3}" uniqueName="13" name="windspeed" queryTableFieldId="13"/>
    <tableColumn id="14" xr3:uid="{14DD39C1-376B-4FA8-B3BC-C6DF8A965302}" uniqueName="14" name="casual" queryTableFieldId="14"/>
    <tableColumn id="15" xr3:uid="{6A204493-E662-42BB-87B4-4ACF32B5506A}" uniqueName="15" name="registered" queryTableFieldId="15"/>
    <tableColumn id="16" xr3:uid="{A0DF8D13-1AE7-4C4E-AAD7-4E10FFD527B9}" uniqueName="16" name="cnt" queryTableFieldId="16"/>
    <tableColumn id="17" xr3:uid="{175087A1-4FD1-4D96-B778-63C20BA825BD}" uniqueName="17" name="Unnamed: 0" queryTableFieldId="17"/>
    <tableColumn id="18" xr3:uid="{4B4CBBC1-8161-488D-99A5-E3AE81233BBD}" uniqueName="18" name="instant_1"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818B-D491-4EDD-8533-A2311EF747DE}">
  <dimension ref="A3:B29"/>
  <sheetViews>
    <sheetView workbookViewId="0">
      <selection activeCell="C14" sqref="C14"/>
    </sheetView>
  </sheetViews>
  <sheetFormatPr defaultRowHeight="15" x14ac:dyDescent="0.25"/>
  <cols>
    <col min="1" max="1" width="13.140625" bestFit="1" customWidth="1"/>
    <col min="2" max="2" width="10.28515625" bestFit="1" customWidth="1"/>
    <col min="3" max="3" width="9.42578125" bestFit="1" customWidth="1"/>
    <col min="4" max="4" width="13.140625" bestFit="1" customWidth="1"/>
  </cols>
  <sheetData>
    <row r="3" spans="1:2" x14ac:dyDescent="0.25">
      <c r="A3" s="10" t="s">
        <v>33</v>
      </c>
      <c r="B3" t="s">
        <v>32</v>
      </c>
    </row>
    <row r="4" spans="1:2" x14ac:dyDescent="0.25">
      <c r="A4" s="11">
        <v>0</v>
      </c>
      <c r="B4">
        <v>703</v>
      </c>
    </row>
    <row r="5" spans="1:2" x14ac:dyDescent="0.25">
      <c r="A5" s="11">
        <v>1</v>
      </c>
      <c r="B5">
        <v>460</v>
      </c>
    </row>
    <row r="6" spans="1:2" x14ac:dyDescent="0.25">
      <c r="A6" s="11">
        <v>2</v>
      </c>
      <c r="B6">
        <v>294</v>
      </c>
    </row>
    <row r="7" spans="1:2" x14ac:dyDescent="0.25">
      <c r="A7" s="11">
        <v>3</v>
      </c>
      <c r="B7">
        <v>151</v>
      </c>
    </row>
    <row r="8" spans="1:2" x14ac:dyDescent="0.25">
      <c r="A8" s="11">
        <v>4</v>
      </c>
      <c r="B8">
        <v>69</v>
      </c>
    </row>
    <row r="9" spans="1:2" x14ac:dyDescent="0.25">
      <c r="A9" s="11">
        <v>5</v>
      </c>
      <c r="B9">
        <v>164</v>
      </c>
    </row>
    <row r="10" spans="1:2" x14ac:dyDescent="0.25">
      <c r="A10" s="11">
        <v>6</v>
      </c>
      <c r="B10">
        <v>822</v>
      </c>
    </row>
    <row r="11" spans="1:2" x14ac:dyDescent="0.25">
      <c r="A11" s="11">
        <v>7</v>
      </c>
      <c r="B11">
        <v>2339</v>
      </c>
    </row>
    <row r="12" spans="1:2" x14ac:dyDescent="0.25">
      <c r="A12" s="11">
        <v>8</v>
      </c>
      <c r="B12">
        <v>5388</v>
      </c>
    </row>
    <row r="13" spans="1:2" x14ac:dyDescent="0.25">
      <c r="A13" s="11">
        <v>9</v>
      </c>
      <c r="B13">
        <v>3672</v>
      </c>
    </row>
    <row r="14" spans="1:2" x14ac:dyDescent="0.25">
      <c r="A14" s="11">
        <v>10</v>
      </c>
      <c r="B14">
        <v>2253</v>
      </c>
    </row>
    <row r="15" spans="1:2" x14ac:dyDescent="0.25">
      <c r="A15" s="11">
        <v>11</v>
      </c>
      <c r="B15">
        <v>2494</v>
      </c>
    </row>
    <row r="16" spans="1:2" x14ac:dyDescent="0.25">
      <c r="A16" s="11">
        <v>12</v>
      </c>
      <c r="B16">
        <v>3283</v>
      </c>
    </row>
    <row r="17" spans="1:2" x14ac:dyDescent="0.25">
      <c r="A17" s="11">
        <v>13</v>
      </c>
      <c r="B17">
        <v>3376</v>
      </c>
    </row>
    <row r="18" spans="1:2" x14ac:dyDescent="0.25">
      <c r="A18" s="11">
        <v>14</v>
      </c>
      <c r="B18">
        <v>3200</v>
      </c>
    </row>
    <row r="19" spans="1:2" x14ac:dyDescent="0.25">
      <c r="A19" s="11">
        <v>15</v>
      </c>
      <c r="B19">
        <v>3352</v>
      </c>
    </row>
    <row r="20" spans="1:2" x14ac:dyDescent="0.25">
      <c r="A20" s="11">
        <v>16</v>
      </c>
      <c r="B20">
        <v>3928</v>
      </c>
    </row>
    <row r="21" spans="1:2" x14ac:dyDescent="0.25">
      <c r="A21" s="11">
        <v>17</v>
      </c>
      <c r="B21">
        <v>6169</v>
      </c>
    </row>
    <row r="22" spans="1:2" x14ac:dyDescent="0.25">
      <c r="A22" s="11">
        <v>18</v>
      </c>
      <c r="B22">
        <v>5283</v>
      </c>
    </row>
    <row r="23" spans="1:2" x14ac:dyDescent="0.25">
      <c r="A23" s="11">
        <v>19</v>
      </c>
      <c r="B23">
        <v>3661</v>
      </c>
    </row>
    <row r="24" spans="1:2" x14ac:dyDescent="0.25">
      <c r="A24" s="11">
        <v>20</v>
      </c>
      <c r="B24">
        <v>2656</v>
      </c>
    </row>
    <row r="25" spans="1:2" x14ac:dyDescent="0.25">
      <c r="A25" s="11">
        <v>21</v>
      </c>
      <c r="B25">
        <v>1996</v>
      </c>
    </row>
    <row r="26" spans="1:2" x14ac:dyDescent="0.25">
      <c r="A26" s="11">
        <v>22</v>
      </c>
      <c r="B26">
        <v>1508</v>
      </c>
    </row>
    <row r="27" spans="1:2" x14ac:dyDescent="0.25">
      <c r="A27" s="11">
        <v>23</v>
      </c>
      <c r="B27">
        <v>1083</v>
      </c>
    </row>
    <row r="28" spans="1:2" x14ac:dyDescent="0.25">
      <c r="A28" s="11" t="s">
        <v>34</v>
      </c>
    </row>
    <row r="29" spans="1:2" x14ac:dyDescent="0.25">
      <c r="A29" s="11" t="s">
        <v>35</v>
      </c>
      <c r="B29">
        <v>58304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8302-6F7E-425E-BAD8-7FA03084A5A9}">
  <dimension ref="A3:B5"/>
  <sheetViews>
    <sheetView workbookViewId="0">
      <selection activeCell="O9" sqref="O9"/>
    </sheetView>
  </sheetViews>
  <sheetFormatPr defaultRowHeight="15" x14ac:dyDescent="0.25"/>
  <cols>
    <col min="1" max="1" width="13.140625" bestFit="1" customWidth="1"/>
    <col min="2" max="2" width="10.28515625" bestFit="1" customWidth="1"/>
  </cols>
  <sheetData>
    <row r="3" spans="1:2" x14ac:dyDescent="0.25">
      <c r="A3" s="10" t="s">
        <v>33</v>
      </c>
      <c r="B3" t="s">
        <v>32</v>
      </c>
    </row>
    <row r="4" spans="1:2" x14ac:dyDescent="0.25">
      <c r="A4" s="11" t="s">
        <v>36</v>
      </c>
      <c r="B4">
        <v>1162</v>
      </c>
    </row>
    <row r="5" spans="1:2" x14ac:dyDescent="0.25">
      <c r="A5" s="11" t="s">
        <v>35</v>
      </c>
      <c r="B5">
        <v>1162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17FF-1F38-4FD9-9717-B734BD23E51A}">
  <dimension ref="A3:B25"/>
  <sheetViews>
    <sheetView workbookViewId="0">
      <selection activeCell="M17" sqref="M17"/>
    </sheetView>
  </sheetViews>
  <sheetFormatPr defaultRowHeight="15" x14ac:dyDescent="0.25"/>
  <cols>
    <col min="1" max="1" width="13.140625" bestFit="1" customWidth="1"/>
    <col min="2" max="2" width="10.28515625" bestFit="1" customWidth="1"/>
  </cols>
  <sheetData>
    <row r="3" spans="1:2" x14ac:dyDescent="0.25">
      <c r="A3" s="10" t="s">
        <v>33</v>
      </c>
      <c r="B3" t="s">
        <v>32</v>
      </c>
    </row>
    <row r="4" spans="1:2" x14ac:dyDescent="0.25">
      <c r="A4" s="11">
        <v>0</v>
      </c>
      <c r="B4">
        <v>7845</v>
      </c>
    </row>
    <row r="5" spans="1:2" x14ac:dyDescent="0.25">
      <c r="A5" s="11">
        <v>8.9599999999999999E-2</v>
      </c>
      <c r="B5">
        <v>4149</v>
      </c>
    </row>
    <row r="6" spans="1:2" x14ac:dyDescent="0.25">
      <c r="A6" s="11">
        <v>0.1045</v>
      </c>
      <c r="B6">
        <v>4350</v>
      </c>
    </row>
    <row r="7" spans="1:2" x14ac:dyDescent="0.25">
      <c r="A7" s="11">
        <v>0.1343</v>
      </c>
      <c r="B7">
        <v>5261</v>
      </c>
    </row>
    <row r="8" spans="1:2" x14ac:dyDescent="0.25">
      <c r="A8" s="11">
        <v>0.16420000000000001</v>
      </c>
      <c r="B8">
        <v>5609</v>
      </c>
    </row>
    <row r="9" spans="1:2" x14ac:dyDescent="0.25">
      <c r="A9" s="11">
        <v>0.19400000000000001</v>
      </c>
      <c r="B9">
        <v>4668</v>
      </c>
    </row>
    <row r="10" spans="1:2" x14ac:dyDescent="0.25">
      <c r="A10" s="11">
        <v>0.22389999999999999</v>
      </c>
      <c r="B10">
        <v>3546</v>
      </c>
    </row>
    <row r="11" spans="1:2" x14ac:dyDescent="0.25">
      <c r="A11" s="11">
        <v>0.25369999999999998</v>
      </c>
      <c r="B11">
        <v>4074</v>
      </c>
    </row>
    <row r="12" spans="1:2" x14ac:dyDescent="0.25">
      <c r="A12" s="11">
        <v>0.28360000000000002</v>
      </c>
      <c r="B12">
        <v>3516</v>
      </c>
    </row>
    <row r="13" spans="1:2" x14ac:dyDescent="0.25">
      <c r="A13" s="11">
        <v>0.29849999999999999</v>
      </c>
      <c r="B13">
        <v>2872</v>
      </c>
    </row>
    <row r="14" spans="1:2" x14ac:dyDescent="0.25">
      <c r="A14" s="11">
        <v>0.32840000000000003</v>
      </c>
      <c r="B14">
        <v>3608</v>
      </c>
    </row>
    <row r="15" spans="1:2" x14ac:dyDescent="0.25">
      <c r="A15" s="11">
        <v>0.35820000000000002</v>
      </c>
      <c r="B15">
        <v>2069</v>
      </c>
    </row>
    <row r="16" spans="1:2" x14ac:dyDescent="0.25">
      <c r="A16" s="11">
        <v>0.3881</v>
      </c>
      <c r="B16">
        <v>1250</v>
      </c>
    </row>
    <row r="17" spans="1:2" x14ac:dyDescent="0.25">
      <c r="A17" s="11">
        <v>0.41789999999999999</v>
      </c>
      <c r="B17">
        <v>1432</v>
      </c>
    </row>
    <row r="18" spans="1:2" x14ac:dyDescent="0.25">
      <c r="A18" s="11">
        <v>0.44779999999999998</v>
      </c>
      <c r="B18">
        <v>1107</v>
      </c>
    </row>
    <row r="19" spans="1:2" x14ac:dyDescent="0.25">
      <c r="A19" s="11">
        <v>0.4627</v>
      </c>
      <c r="B19">
        <v>881</v>
      </c>
    </row>
    <row r="20" spans="1:2" x14ac:dyDescent="0.25">
      <c r="A20" s="11">
        <v>0.49249999999999999</v>
      </c>
      <c r="B20">
        <v>629</v>
      </c>
    </row>
    <row r="21" spans="1:2" x14ac:dyDescent="0.25">
      <c r="A21" s="11">
        <v>0.52239999999999998</v>
      </c>
      <c r="B21">
        <v>682</v>
      </c>
    </row>
    <row r="22" spans="1:2" x14ac:dyDescent="0.25">
      <c r="A22" s="11">
        <v>0.55220000000000002</v>
      </c>
      <c r="B22">
        <v>374</v>
      </c>
    </row>
    <row r="23" spans="1:2" x14ac:dyDescent="0.25">
      <c r="A23" s="11">
        <v>0.58209999999999995</v>
      </c>
      <c r="B23">
        <v>382</v>
      </c>
    </row>
    <row r="24" spans="1:2" x14ac:dyDescent="0.25">
      <c r="A24" s="11" t="s">
        <v>34</v>
      </c>
    </row>
    <row r="25" spans="1:2" x14ac:dyDescent="0.25">
      <c r="A25" s="11" t="s">
        <v>35</v>
      </c>
      <c r="B25">
        <v>58304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9B44-9644-4C3C-B378-3B40B2944914}">
  <dimension ref="A3:B8"/>
  <sheetViews>
    <sheetView topLeftCell="A2" workbookViewId="0">
      <selection activeCell="P14" sqref="K14:P21"/>
    </sheetView>
  </sheetViews>
  <sheetFormatPr defaultRowHeight="15" x14ac:dyDescent="0.25"/>
  <cols>
    <col min="1" max="1" width="13.140625" bestFit="1" customWidth="1"/>
    <col min="2" max="2" width="10.28515625" bestFit="1" customWidth="1"/>
  </cols>
  <sheetData>
    <row r="3" spans="1:2" x14ac:dyDescent="0.25">
      <c r="A3" s="10" t="s">
        <v>33</v>
      </c>
      <c r="B3" t="s">
        <v>32</v>
      </c>
    </row>
    <row r="4" spans="1:2" x14ac:dyDescent="0.25">
      <c r="A4" s="11" t="s">
        <v>14</v>
      </c>
      <c r="B4">
        <v>8121</v>
      </c>
    </row>
    <row r="5" spans="1:2" x14ac:dyDescent="0.25">
      <c r="A5" s="11" t="s">
        <v>37</v>
      </c>
      <c r="B5">
        <v>8450</v>
      </c>
    </row>
    <row r="6" spans="1:2" x14ac:dyDescent="0.25">
      <c r="A6" s="11" t="s">
        <v>20</v>
      </c>
      <c r="B6">
        <v>41733</v>
      </c>
    </row>
    <row r="7" spans="1:2" x14ac:dyDescent="0.25">
      <c r="A7" s="11" t="s">
        <v>34</v>
      </c>
    </row>
    <row r="8" spans="1:2" x14ac:dyDescent="0.25">
      <c r="A8" s="11" t="s">
        <v>35</v>
      </c>
      <c r="B8">
        <v>58304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874C-B7BC-4355-8947-9258B7C0A2D6}">
  <dimension ref="A3:B9"/>
  <sheetViews>
    <sheetView workbookViewId="0">
      <selection activeCell="A3" sqref="A3:B9"/>
    </sheetView>
  </sheetViews>
  <sheetFormatPr defaultRowHeight="15" x14ac:dyDescent="0.25"/>
  <cols>
    <col min="1" max="1" width="13.140625" bestFit="1" customWidth="1"/>
    <col min="2" max="2" width="10.28515625" bestFit="1" customWidth="1"/>
    <col min="3" max="3" width="8.42578125" bestFit="1" customWidth="1"/>
    <col min="4" max="4" width="6" bestFit="1" customWidth="1"/>
    <col min="5" max="5" width="6.28515625" bestFit="1" customWidth="1"/>
    <col min="6" max="6" width="7.28515625" bestFit="1" customWidth="1"/>
    <col min="7" max="7" width="11.28515625" bestFit="1" customWidth="1"/>
  </cols>
  <sheetData>
    <row r="3" spans="1:2" x14ac:dyDescent="0.25">
      <c r="A3" s="10" t="s">
        <v>33</v>
      </c>
      <c r="B3" t="s">
        <v>32</v>
      </c>
    </row>
    <row r="4" spans="1:2" x14ac:dyDescent="0.25">
      <c r="A4" s="11" t="s">
        <v>38</v>
      </c>
      <c r="B4">
        <v>2825</v>
      </c>
    </row>
    <row r="5" spans="1:2" x14ac:dyDescent="0.25">
      <c r="A5" s="11" t="s">
        <v>39</v>
      </c>
      <c r="B5">
        <v>18106</v>
      </c>
    </row>
    <row r="6" spans="1:2" x14ac:dyDescent="0.25">
      <c r="A6" s="11" t="s">
        <v>26</v>
      </c>
      <c r="B6">
        <v>37373</v>
      </c>
    </row>
    <row r="7" spans="1:2" x14ac:dyDescent="0.25">
      <c r="A7" s="11" t="s">
        <v>25</v>
      </c>
    </row>
    <row r="8" spans="1:2" x14ac:dyDescent="0.25">
      <c r="A8" s="11" t="s">
        <v>34</v>
      </c>
    </row>
    <row r="9" spans="1:2" x14ac:dyDescent="0.25">
      <c r="A9" s="11" t="s">
        <v>35</v>
      </c>
      <c r="B9">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83F9-116C-4D8E-8E86-794E885E77B7}">
  <dimension ref="A1:S1012"/>
  <sheetViews>
    <sheetView topLeftCell="A2" workbookViewId="0">
      <selection activeCell="H13" sqref="H13"/>
    </sheetView>
  </sheetViews>
  <sheetFormatPr defaultRowHeight="15" x14ac:dyDescent="0.25"/>
  <cols>
    <col min="1" max="1" width="9.42578125" bestFit="1" customWidth="1"/>
    <col min="2" max="2" width="9" bestFit="1" customWidth="1"/>
    <col min="3" max="3" width="7.28515625" bestFit="1" customWidth="1"/>
    <col min="4" max="4" width="13.140625" bestFit="1" customWidth="1"/>
    <col min="5" max="5" width="8.7109375" bestFit="1" customWidth="1"/>
    <col min="6" max="6" width="12.42578125" bestFit="1" customWidth="1"/>
    <col min="7" max="7" width="6" bestFit="1" customWidth="1"/>
    <col min="8" max="8" width="9.7109375" bestFit="1" customWidth="1"/>
    <col min="9" max="9" width="9.42578125" bestFit="1" customWidth="1"/>
    <col min="10" max="10" width="5.140625" bestFit="1" customWidth="1"/>
    <col min="11" max="11" width="9.85546875" bestFit="1" customWidth="1"/>
    <col min="12" max="12" width="11.28515625" bestFit="1" customWidth="1"/>
    <col min="13" max="13" width="12.85546875" bestFit="1" customWidth="1"/>
    <col min="14" max="14" width="8" bestFit="1" customWidth="1"/>
    <col min="15" max="15" width="11.5703125" customWidth="1"/>
    <col min="16" max="16" width="14.7109375" customWidth="1"/>
    <col min="17" max="17" width="13.42578125" customWidth="1"/>
  </cols>
  <sheetData>
    <row r="1" spans="1:19" x14ac:dyDescent="0.25">
      <c r="A1" s="2" t="s">
        <v>1</v>
      </c>
      <c r="B1" s="2" t="s">
        <v>2</v>
      </c>
      <c r="C1" s="2" t="s">
        <v>3</v>
      </c>
      <c r="D1" s="2" t="s">
        <v>4</v>
      </c>
      <c r="E1" s="2" t="s">
        <v>5</v>
      </c>
      <c r="F1" s="2" t="s">
        <v>6</v>
      </c>
      <c r="G1" s="2" t="s">
        <v>7</v>
      </c>
      <c r="H1" s="2" t="s">
        <v>9</v>
      </c>
      <c r="I1" s="2" t="s">
        <v>10</v>
      </c>
      <c r="J1" s="2" t="s">
        <v>13</v>
      </c>
      <c r="K1" s="2" t="s">
        <v>14</v>
      </c>
      <c r="L1" s="2" t="s">
        <v>15</v>
      </c>
      <c r="M1" s="2" t="s">
        <v>16</v>
      </c>
      <c r="N1" s="3" t="s">
        <v>17</v>
      </c>
      <c r="O1" s="2" t="s">
        <v>18</v>
      </c>
      <c r="P1" s="2" t="s">
        <v>24</v>
      </c>
    </row>
    <row r="2" spans="1:19" x14ac:dyDescent="0.25">
      <c r="A2" s="4">
        <v>1</v>
      </c>
      <c r="B2" s="4">
        <v>0.28789999999999999</v>
      </c>
      <c r="C2" s="4">
        <v>0.81</v>
      </c>
      <c r="D2" s="4">
        <v>0</v>
      </c>
      <c r="E2" s="4">
        <v>3</v>
      </c>
      <c r="F2" s="4">
        <v>13</v>
      </c>
      <c r="G2" s="4">
        <v>16</v>
      </c>
      <c r="H2" s="5">
        <v>40544</v>
      </c>
      <c r="I2" s="4">
        <v>1</v>
      </c>
      <c r="J2" s="4">
        <v>0</v>
      </c>
      <c r="K2" s="4" t="b">
        <f>IF(Append1[[#This Row],[days]]="working day",FALSE,TRUE)</f>
        <v>0</v>
      </c>
      <c r="L2" s="4">
        <v>6</v>
      </c>
      <c r="M2" s="4">
        <v>1</v>
      </c>
      <c r="N2" s="6">
        <v>0.24</v>
      </c>
      <c r="O2" s="2" t="str">
        <f>IF(Append1[[#This Row],[weekday]]=0,"holiday",IF(AND(Append1[[#This Row],[weekday]]&gt;1,Append1[[#This Row],[weekday]]&lt;7),"working day","weekend"))</f>
        <v>working day</v>
      </c>
      <c r="P2" s="2" t="str">
        <f>IF(Append1[[#This Row],[weathersit]]=0,"sunny",IF(Append1[[#This Row],[weathersit]]=1,"mist",IF(Append1[[#This Row],[weathersit]]=2,"lightrain","extremerain")))</f>
        <v>mist</v>
      </c>
      <c r="Q2" t="s">
        <v>31</v>
      </c>
    </row>
    <row r="3" spans="1:19" x14ac:dyDescent="0.25">
      <c r="A3" s="4">
        <v>2</v>
      </c>
      <c r="B3" s="4">
        <v>0.2727</v>
      </c>
      <c r="C3" s="4">
        <v>0.8</v>
      </c>
      <c r="D3" s="4">
        <v>0</v>
      </c>
      <c r="E3" s="4">
        <v>8</v>
      </c>
      <c r="F3" s="4">
        <v>32</v>
      </c>
      <c r="G3" s="4">
        <v>40</v>
      </c>
      <c r="H3" s="5">
        <v>40544</v>
      </c>
      <c r="I3" s="4">
        <v>1</v>
      </c>
      <c r="J3" s="4">
        <v>1</v>
      </c>
      <c r="K3" s="4" t="b">
        <f>IF(Append1[[#This Row],[days]]="working day",FALSE,TRUE)</f>
        <v>0</v>
      </c>
      <c r="L3" s="4">
        <v>6</v>
      </c>
      <c r="M3" s="4">
        <v>1</v>
      </c>
      <c r="N3" s="6">
        <v>0.22</v>
      </c>
      <c r="O3" s="2" t="str">
        <f>IF(Append1[[#This Row],[weekday]]=0,"holiday",IF(AND(Append1[[#This Row],[weekday]]&gt;1,Append1[[#This Row],[weekday]]&lt;7),"working day","weekend"))</f>
        <v>working day</v>
      </c>
      <c r="P3" s="4" t="str">
        <f>IF(Append1[[#This Row],[weathersit]]=0,"sunny",IF(Append1[[#This Row],[weathersit]]=1,"mist",IF(Append1[[#This Row],[weathersit]]=2,"lightrain","extremerain")))</f>
        <v>mist</v>
      </c>
      <c r="Q3" t="s">
        <v>23</v>
      </c>
    </row>
    <row r="4" spans="1:19" x14ac:dyDescent="0.25">
      <c r="A4" s="4">
        <v>3</v>
      </c>
      <c r="B4" s="4">
        <v>0.2727</v>
      </c>
      <c r="C4" s="4">
        <v>0.8</v>
      </c>
      <c r="D4" s="4">
        <v>0</v>
      </c>
      <c r="E4" s="4">
        <v>5</v>
      </c>
      <c r="F4" s="4">
        <v>27</v>
      </c>
      <c r="G4" s="4">
        <v>32</v>
      </c>
      <c r="H4" s="5">
        <v>40544</v>
      </c>
      <c r="I4" s="4">
        <v>1</v>
      </c>
      <c r="J4" s="4">
        <v>2</v>
      </c>
      <c r="K4" s="4" t="b">
        <f>IF(Append1[[#This Row],[days]]="working day",FALSE,TRUE)</f>
        <v>0</v>
      </c>
      <c r="L4" s="4">
        <v>6</v>
      </c>
      <c r="M4" s="4">
        <v>1</v>
      </c>
      <c r="N4" s="6">
        <v>0.22</v>
      </c>
      <c r="O4" s="2" t="str">
        <f>IF(Append1[[#This Row],[weekday]]=0,"holiday",IF(AND(Append1[[#This Row],[weekday]]&gt;1,Append1[[#This Row],[weekday]]&lt;7),"working day","weekend"))</f>
        <v>working day</v>
      </c>
      <c r="P4" s="4" t="str">
        <f>IF(Append1[[#This Row],[weathersit]]=0,"sunny",IF(Append1[[#This Row],[weathersit]]=1,"mist",IF(Append1[[#This Row],[weathersit]]=2,"lightrain","extremerain")))</f>
        <v>mist</v>
      </c>
    </row>
    <row r="5" spans="1:19" x14ac:dyDescent="0.25">
      <c r="A5" s="4">
        <v>4</v>
      </c>
      <c r="B5" s="4">
        <v>0.28789999999999999</v>
      </c>
      <c r="C5" s="4">
        <v>0.75</v>
      </c>
      <c r="D5" s="4">
        <v>0</v>
      </c>
      <c r="E5" s="4">
        <v>3</v>
      </c>
      <c r="F5" s="4">
        <v>10</v>
      </c>
      <c r="G5" s="4">
        <v>13</v>
      </c>
      <c r="H5" s="5">
        <v>40544</v>
      </c>
      <c r="I5" s="4">
        <v>1</v>
      </c>
      <c r="J5" s="4">
        <v>3</v>
      </c>
      <c r="K5" s="4" t="b">
        <f>IF(Append1[[#This Row],[days]]="working day",FALSE,TRUE)</f>
        <v>0</v>
      </c>
      <c r="L5" s="4">
        <v>6</v>
      </c>
      <c r="M5" s="4">
        <v>1</v>
      </c>
      <c r="N5" s="6">
        <v>0.24</v>
      </c>
      <c r="O5" s="2" t="str">
        <f>IF(Append1[[#This Row],[weekday]]=0,"holiday",IF(AND(Append1[[#This Row],[weekday]]&gt;1,Append1[[#This Row],[weekday]]&lt;7),"working day","weekend"))</f>
        <v>working day</v>
      </c>
      <c r="P5" s="4" t="str">
        <f>IF(Append1[[#This Row],[weathersit]]=0,"sunny",IF(Append1[[#This Row],[weathersit]]=1,"mist",IF(Append1[[#This Row],[weathersit]]=2,"lightrain","extremerain")))</f>
        <v>mist</v>
      </c>
      <c r="Q5" t="s">
        <v>30</v>
      </c>
    </row>
    <row r="6" spans="1:19" x14ac:dyDescent="0.25">
      <c r="A6" s="4">
        <v>5</v>
      </c>
      <c r="B6" s="4">
        <v>0.28789999999999999</v>
      </c>
      <c r="C6" s="4">
        <v>0.75</v>
      </c>
      <c r="D6" s="4">
        <v>0</v>
      </c>
      <c r="E6" s="4">
        <v>0</v>
      </c>
      <c r="F6" s="4">
        <v>1</v>
      </c>
      <c r="G6" s="4">
        <v>1</v>
      </c>
      <c r="H6" s="5">
        <v>40544</v>
      </c>
      <c r="I6" s="4">
        <v>1</v>
      </c>
      <c r="J6" s="4">
        <v>4</v>
      </c>
      <c r="K6" s="4" t="b">
        <f>IF(Append1[[#This Row],[days]]="working day",FALSE,TRUE)</f>
        <v>0</v>
      </c>
      <c r="L6" s="4">
        <v>6</v>
      </c>
      <c r="M6" s="4">
        <v>1</v>
      </c>
      <c r="N6" s="6">
        <v>0.24</v>
      </c>
      <c r="O6" s="2" t="str">
        <f>IF(Append1[[#This Row],[weekday]]=0,"holiday",IF(AND(Append1[[#This Row],[weekday]]&gt;1,Append1[[#This Row],[weekday]]&lt;7),"working day","weekend"))</f>
        <v>working day</v>
      </c>
      <c r="P6" s="4" t="str">
        <f>IF(Append1[[#This Row],[weathersit]]=0,"sunny",IF(Append1[[#This Row],[weathersit]]=1,"mist",IF(Append1[[#This Row],[weathersit]]=2,"lightrain","extremerain")))</f>
        <v>mist</v>
      </c>
    </row>
    <row r="7" spans="1:19" x14ac:dyDescent="0.25">
      <c r="A7" s="4">
        <v>6</v>
      </c>
      <c r="B7" s="4">
        <v>0.2576</v>
      </c>
      <c r="C7" s="4">
        <v>0.75</v>
      </c>
      <c r="D7" s="4">
        <v>8.9599999999999999E-2</v>
      </c>
      <c r="E7" s="4">
        <v>0</v>
      </c>
      <c r="F7" s="4">
        <v>1</v>
      </c>
      <c r="G7" s="4">
        <v>1</v>
      </c>
      <c r="H7" s="5">
        <v>40544</v>
      </c>
      <c r="I7" s="4">
        <v>1</v>
      </c>
      <c r="J7" s="4">
        <v>5</v>
      </c>
      <c r="K7" s="4" t="b">
        <f>IF(Append1[[#This Row],[days]]="working day",FALSE,TRUE)</f>
        <v>0</v>
      </c>
      <c r="L7" s="4">
        <v>6</v>
      </c>
      <c r="M7" s="4">
        <v>2</v>
      </c>
      <c r="N7" s="6">
        <v>0.24</v>
      </c>
      <c r="O7" s="2" t="str">
        <f>IF(Append1[[#This Row],[weekday]]=0,"holiday",IF(AND(Append1[[#This Row],[weekday]]&gt;1,Append1[[#This Row],[weekday]]&lt;7),"working day","weekend"))</f>
        <v>working day</v>
      </c>
      <c r="P7" s="4" t="str">
        <f>IF(Append1[[#This Row],[weathersit]]=0,"sunny",IF(Append1[[#This Row],[weathersit]]=1,"mist",IF(Append1[[#This Row],[weathersit]]=2,"lightrain","extremerain")))</f>
        <v>lightrain</v>
      </c>
      <c r="Q7" s="4"/>
      <c r="R7" s="4"/>
      <c r="S7" s="4"/>
    </row>
    <row r="8" spans="1:19" x14ac:dyDescent="0.25">
      <c r="A8" s="4">
        <v>7</v>
      </c>
      <c r="B8" s="4">
        <v>0.2727</v>
      </c>
      <c r="C8" s="4">
        <v>0.8</v>
      </c>
      <c r="D8" s="4">
        <v>0</v>
      </c>
      <c r="E8" s="4">
        <v>2</v>
      </c>
      <c r="F8" s="4">
        <v>0</v>
      </c>
      <c r="G8" s="4">
        <v>2</v>
      </c>
      <c r="H8" s="5">
        <v>40544</v>
      </c>
      <c r="I8" s="4">
        <v>1</v>
      </c>
      <c r="J8" s="4">
        <v>6</v>
      </c>
      <c r="K8" s="4" t="b">
        <f>IF(Append1[[#This Row],[days]]="working day",FALSE,TRUE)</f>
        <v>0</v>
      </c>
      <c r="L8" s="4">
        <v>6</v>
      </c>
      <c r="M8" s="4">
        <v>1</v>
      </c>
      <c r="N8" s="6">
        <v>0.22</v>
      </c>
      <c r="O8" s="2" t="str">
        <f>IF(Append1[[#This Row],[weekday]]=0,"holiday",IF(AND(Append1[[#This Row],[weekday]]&gt;1,Append1[[#This Row],[weekday]]&lt;7),"working day","weekend"))</f>
        <v>working day</v>
      </c>
      <c r="P8" s="4" t="str">
        <f>IF(Append1[[#This Row],[weathersit]]=0,"sunny",IF(Append1[[#This Row],[weathersit]]=1,"mist",IF(Append1[[#This Row],[weathersit]]=2,"lightrain","extremerain")))</f>
        <v>mist</v>
      </c>
      <c r="Q8" s="4" t="s">
        <v>19</v>
      </c>
      <c r="R8" s="4">
        <f>COUNTIF(O2:O1002,"weekend")</f>
        <v>149</v>
      </c>
      <c r="S8" s="4"/>
    </row>
    <row r="9" spans="1:19" x14ac:dyDescent="0.25">
      <c r="A9" s="4">
        <v>8</v>
      </c>
      <c r="B9" s="4">
        <v>0.2576</v>
      </c>
      <c r="C9" s="4">
        <v>0.86</v>
      </c>
      <c r="D9" s="4">
        <v>0</v>
      </c>
      <c r="E9" s="4">
        <v>1</v>
      </c>
      <c r="F9" s="4">
        <v>2</v>
      </c>
      <c r="G9" s="4">
        <v>3</v>
      </c>
      <c r="H9" s="5">
        <v>40544</v>
      </c>
      <c r="I9" s="4">
        <v>1</v>
      </c>
      <c r="J9" s="4">
        <v>7</v>
      </c>
      <c r="K9" s="4" t="b">
        <f>IF(Append1[[#This Row],[days]]="working day",FALSE,TRUE)</f>
        <v>0</v>
      </c>
      <c r="L9" s="4">
        <v>6</v>
      </c>
      <c r="M9" s="4">
        <v>1</v>
      </c>
      <c r="N9" s="6">
        <v>0.2</v>
      </c>
      <c r="O9" s="2" t="str">
        <f>IF(Append1[[#This Row],[weekday]]=0,"holiday",IF(AND(Append1[[#This Row],[weekday]]&gt;1,Append1[[#This Row],[weekday]]&lt;7),"working day","weekend"))</f>
        <v>working day</v>
      </c>
      <c r="P9" s="4" t="str">
        <f>IF(Append1[[#This Row],[weathersit]]=0,"sunny",IF(Append1[[#This Row],[weathersit]]=1,"mist",IF(Append1[[#This Row],[weathersit]]=2,"lightrain","extremerain")))</f>
        <v>mist</v>
      </c>
      <c r="Q9" s="4" t="s">
        <v>14</v>
      </c>
      <c r="R9" s="4">
        <f>COUNTIF(O5:O1002,"holiday")</f>
        <v>165</v>
      </c>
      <c r="S9" s="4"/>
    </row>
    <row r="10" spans="1:19" x14ac:dyDescent="0.25">
      <c r="A10" s="4">
        <v>9</v>
      </c>
      <c r="B10" s="4">
        <f ca="1">IF(B10="",AVERAGE(B2:B1002),B10)</f>
        <v>0</v>
      </c>
      <c r="C10" s="4">
        <v>0.75</v>
      </c>
      <c r="D10" s="4">
        <v>0</v>
      </c>
      <c r="E10" s="4">
        <v>1</v>
      </c>
      <c r="F10" s="4">
        <v>7</v>
      </c>
      <c r="G10" s="4">
        <v>8</v>
      </c>
      <c r="H10" s="5">
        <v>40544</v>
      </c>
      <c r="I10" s="4">
        <v>1</v>
      </c>
      <c r="J10" s="4">
        <v>8</v>
      </c>
      <c r="K10" s="4" t="b">
        <f>IF(Append1[[#This Row],[days]]="working day",FALSE,TRUE)</f>
        <v>0</v>
      </c>
      <c r="L10" s="4">
        <v>6</v>
      </c>
      <c r="M10" s="4">
        <v>1</v>
      </c>
      <c r="N10" s="6">
        <v>0.24</v>
      </c>
      <c r="O10" s="2" t="str">
        <f>IF(Append1[[#This Row],[weekday]]=0,"holiday",IF(AND(Append1[[#This Row],[weekday]]&gt;1,Append1[[#This Row],[weekday]]&lt;7),"working day","weekend"))</f>
        <v>working day</v>
      </c>
      <c r="P10" s="4" t="str">
        <f>IF(Append1[[#This Row],[weathersit]]=0,"sunny",IF(Append1[[#This Row],[weathersit]]=1,"mist",IF(Append1[[#This Row],[weathersit]]=2,"lightrain","extremerain")))</f>
        <v>mist</v>
      </c>
      <c r="Q10" s="4" t="s">
        <v>20</v>
      </c>
      <c r="R10" s="4">
        <f>COUNTIF(O2:O1002,"working day")</f>
        <v>687</v>
      </c>
      <c r="S10" s="4"/>
    </row>
    <row r="11" spans="1:19" x14ac:dyDescent="0.25">
      <c r="A11" s="4">
        <v>10</v>
      </c>
      <c r="B11" s="4">
        <v>0.34849999999999998</v>
      </c>
      <c r="C11" s="4">
        <v>0.76</v>
      </c>
      <c r="D11" s="4">
        <v>0</v>
      </c>
      <c r="E11" s="4">
        <v>8</v>
      </c>
      <c r="F11" s="4">
        <v>6</v>
      </c>
      <c r="G11" s="4">
        <v>14</v>
      </c>
      <c r="H11" s="5">
        <v>40544</v>
      </c>
      <c r="I11" s="4">
        <v>1</v>
      </c>
      <c r="J11" s="4">
        <v>9</v>
      </c>
      <c r="K11" s="4" t="b">
        <f>IF(Append1[[#This Row],[days]]="working day",FALSE,TRUE)</f>
        <v>0</v>
      </c>
      <c r="L11" s="4">
        <v>6</v>
      </c>
      <c r="M11" s="4">
        <v>1</v>
      </c>
      <c r="N11" s="6">
        <v>0.32</v>
      </c>
      <c r="O11" s="2" t="str">
        <f>IF(Append1[[#This Row],[weekday]]=0,"holiday",IF(AND(Append1[[#This Row],[weekday]]&gt;1,Append1[[#This Row],[weekday]]&lt;7),"working day","weekend"))</f>
        <v>working day</v>
      </c>
      <c r="P11" s="4" t="str">
        <f>IF(Append1[[#This Row],[weathersit]]=0,"sunny",IF(Append1[[#This Row],[weathersit]]=1,"mist",IF(Append1[[#This Row],[weathersit]]=2,"lightrain","extremerain")))</f>
        <v>mist</v>
      </c>
      <c r="Q11" s="4"/>
      <c r="R11" s="4"/>
      <c r="S11" s="4"/>
    </row>
    <row r="12" spans="1:19" x14ac:dyDescent="0.25">
      <c r="A12" s="4">
        <v>11</v>
      </c>
      <c r="B12" s="4">
        <v>0.39389999999999997</v>
      </c>
      <c r="C12" s="4">
        <v>0.76</v>
      </c>
      <c r="D12" s="4">
        <v>0.25369999999999998</v>
      </c>
      <c r="E12" s="4">
        <v>12</v>
      </c>
      <c r="F12" s="4">
        <v>24</v>
      </c>
      <c r="G12" s="4">
        <v>36</v>
      </c>
      <c r="H12" s="5">
        <v>40544</v>
      </c>
      <c r="I12" s="4">
        <v>1</v>
      </c>
      <c r="J12" s="4">
        <v>10</v>
      </c>
      <c r="K12" s="4" t="b">
        <f>IF(Append1[[#This Row],[days]]="working day",FALSE,TRUE)</f>
        <v>0</v>
      </c>
      <c r="L12" s="4">
        <v>6</v>
      </c>
      <c r="M12" s="4">
        <v>1</v>
      </c>
      <c r="N12" s="6">
        <v>0.38</v>
      </c>
      <c r="O12" s="2" t="str">
        <f>IF(Append1[[#This Row],[weekday]]=0,"holiday",IF(AND(Append1[[#This Row],[weekday]]&gt;1,Append1[[#This Row],[weekday]]&lt;7),"working day","weekend"))</f>
        <v>working day</v>
      </c>
      <c r="P12" s="4" t="str">
        <f>IF(Append1[[#This Row],[weathersit]]=0,"sunny",IF(Append1[[#This Row],[weathersit]]=1,"mist",IF(Append1[[#This Row],[weathersit]]=2,"lightrain","extremerain")))</f>
        <v>mist</v>
      </c>
    </row>
    <row r="13" spans="1:19" x14ac:dyDescent="0.25">
      <c r="A13" s="4">
        <v>12</v>
      </c>
      <c r="B13" s="4">
        <v>0.33329999999999999</v>
      </c>
      <c r="C13" s="4">
        <v>0.81</v>
      </c>
      <c r="D13" s="4">
        <v>0.28360000000000002</v>
      </c>
      <c r="E13" s="4">
        <v>26</v>
      </c>
      <c r="F13" s="4">
        <v>30</v>
      </c>
      <c r="G13" s="4">
        <v>56</v>
      </c>
      <c r="H13" s="5">
        <v>40544</v>
      </c>
      <c r="I13" s="4">
        <v>1</v>
      </c>
      <c r="J13" s="4">
        <v>11</v>
      </c>
      <c r="K13" s="4" t="b">
        <f>IF(Append1[[#This Row],[days]]="working day",FALSE,TRUE)</f>
        <v>0</v>
      </c>
      <c r="L13" s="4">
        <v>6</v>
      </c>
      <c r="M13" s="4">
        <v>1</v>
      </c>
      <c r="N13" s="6">
        <v>0.36</v>
      </c>
      <c r="O13" s="2" t="str">
        <f>IF(Append1[[#This Row],[weekday]]=0,"holiday",IF(AND(Append1[[#This Row],[weekday]]&gt;1,Append1[[#This Row],[weekday]]&lt;7),"working day","weekend"))</f>
        <v>working day</v>
      </c>
      <c r="P13" s="4" t="str">
        <f>IF(Append1[[#This Row],[weathersit]]=0,"sunny",IF(Append1[[#This Row],[weathersit]]=1,"mist",IF(Append1[[#This Row],[weathersit]]=2,"lightrain","extremerain")))</f>
        <v>mist</v>
      </c>
    </row>
    <row r="14" spans="1:19" x14ac:dyDescent="0.25">
      <c r="A14" s="4">
        <v>13</v>
      </c>
      <c r="B14" s="4">
        <v>0.42420000000000002</v>
      </c>
      <c r="C14" s="4">
        <v>0.77</v>
      </c>
      <c r="D14" s="4">
        <v>0.28360000000000002</v>
      </c>
      <c r="E14" s="4">
        <v>29</v>
      </c>
      <c r="F14" s="4">
        <v>55</v>
      </c>
      <c r="G14" s="4">
        <v>84</v>
      </c>
      <c r="H14" s="5">
        <v>40544</v>
      </c>
      <c r="I14" s="4">
        <v>1</v>
      </c>
      <c r="J14" s="4">
        <v>12</v>
      </c>
      <c r="K14" s="4" t="b">
        <f>IF(Append1[[#This Row],[days]]="working day",FALSE,TRUE)</f>
        <v>0</v>
      </c>
      <c r="L14" s="4">
        <v>6</v>
      </c>
      <c r="M14" s="4">
        <v>1</v>
      </c>
      <c r="N14" s="6">
        <v>0.42</v>
      </c>
      <c r="O14" s="2" t="str">
        <f>IF(Append1[[#This Row],[weekday]]=0,"holiday",IF(AND(Append1[[#This Row],[weekday]]&gt;1,Append1[[#This Row],[weekday]]&lt;7),"working day","weekend"))</f>
        <v>working day</v>
      </c>
      <c r="P14" s="4" t="str">
        <f>IF(Append1[[#This Row],[weathersit]]=0,"sunny",IF(Append1[[#This Row],[weathersit]]=1,"mist",IF(Append1[[#This Row],[weathersit]]=2,"lightrain","extremerain")))</f>
        <v>mist</v>
      </c>
    </row>
    <row r="15" spans="1:19" x14ac:dyDescent="0.25">
      <c r="A15" s="4">
        <v>14</v>
      </c>
      <c r="B15" s="4">
        <v>0.45450000000000002</v>
      </c>
      <c r="C15" s="4">
        <v>0.72</v>
      </c>
      <c r="D15" s="4">
        <v>0.29849999999999999</v>
      </c>
      <c r="E15" s="4">
        <v>47</v>
      </c>
      <c r="F15" s="4">
        <v>47</v>
      </c>
      <c r="G15" s="4">
        <v>94</v>
      </c>
      <c r="H15" s="5">
        <v>40544</v>
      </c>
      <c r="I15" s="4">
        <v>1</v>
      </c>
      <c r="J15" s="4">
        <v>13</v>
      </c>
      <c r="K15" s="4" t="b">
        <f>IF(Append1[[#This Row],[days]]="working day",FALSE,TRUE)</f>
        <v>0</v>
      </c>
      <c r="L15" s="4">
        <v>6</v>
      </c>
      <c r="M15" s="4">
        <v>2</v>
      </c>
      <c r="N15" s="6">
        <v>0.46</v>
      </c>
      <c r="O15" s="2" t="str">
        <f>IF(Append1[[#This Row],[weekday]]=0,"holiday",IF(AND(Append1[[#This Row],[weekday]]&gt;1,Append1[[#This Row],[weekday]]&lt;7),"working day","weekend"))</f>
        <v>working day</v>
      </c>
      <c r="P15" s="4" t="str">
        <f>IF(Append1[[#This Row],[weathersit]]=0,"sunny",IF(Append1[[#This Row],[weathersit]]=1,"mist",IF(Append1[[#This Row],[weathersit]]=2,"lightrain","extremerain")))</f>
        <v>lightrain</v>
      </c>
      <c r="Q15" t="s">
        <v>21</v>
      </c>
      <c r="R15" t="s">
        <v>22</v>
      </c>
    </row>
    <row r="16" spans="1:19" x14ac:dyDescent="0.25">
      <c r="A16" s="4">
        <v>15</v>
      </c>
      <c r="B16" s="4">
        <v>0.45450000000000002</v>
      </c>
      <c r="C16" s="4">
        <v>0.72</v>
      </c>
      <c r="D16" s="4">
        <v>0.28360000000000002</v>
      </c>
      <c r="E16" s="4">
        <v>35</v>
      </c>
      <c r="F16" s="4">
        <v>71</v>
      </c>
      <c r="G16" s="4">
        <v>106</v>
      </c>
      <c r="H16" s="5">
        <v>40544</v>
      </c>
      <c r="I16" s="4">
        <v>1</v>
      </c>
      <c r="J16" s="4">
        <v>14</v>
      </c>
      <c r="K16" s="4" t="b">
        <f>IF(Append1[[#This Row],[days]]="working day",FALSE,TRUE)</f>
        <v>0</v>
      </c>
      <c r="L16" s="4">
        <v>6</v>
      </c>
      <c r="M16" s="4">
        <v>2</v>
      </c>
      <c r="N16" s="6">
        <v>0.46</v>
      </c>
      <c r="O16" s="2" t="str">
        <f>IF(Append1[[#This Row],[weekday]]=0,"holiday",IF(AND(Append1[[#This Row],[weekday]]&gt;1,Append1[[#This Row],[weekday]]&lt;7),"working day","weekend"))</f>
        <v>working day</v>
      </c>
      <c r="P16" s="4" t="str">
        <f>IF(Append1[[#This Row],[weathersit]]=0,"sunny",IF(Append1[[#This Row],[weathersit]]=1,"mist",IF(Append1[[#This Row],[weathersit]]=2,"lightrain","extremerain")))</f>
        <v>lightrain</v>
      </c>
    </row>
    <row r="17" spans="1:18" x14ac:dyDescent="0.25">
      <c r="A17" s="4">
        <v>16</v>
      </c>
      <c r="B17" s="4">
        <v>0.43940000000000001</v>
      </c>
      <c r="C17" s="4">
        <v>0.77</v>
      </c>
      <c r="D17" s="4">
        <v>0.29849999999999999</v>
      </c>
      <c r="E17" s="4">
        <v>40</v>
      </c>
      <c r="F17" s="4">
        <v>70</v>
      </c>
      <c r="G17" s="4">
        <v>110</v>
      </c>
      <c r="H17" s="5">
        <v>40544</v>
      </c>
      <c r="I17" s="4">
        <v>1</v>
      </c>
      <c r="J17" s="4">
        <v>15</v>
      </c>
      <c r="K17" s="4" t="b">
        <f>IF(Append1[[#This Row],[days]]="working day",FALSE,TRUE)</f>
        <v>0</v>
      </c>
      <c r="L17" s="4">
        <v>6</v>
      </c>
      <c r="M17" s="4">
        <v>2</v>
      </c>
      <c r="N17" s="6">
        <v>0.44</v>
      </c>
      <c r="O17" s="2" t="str">
        <f>IF(Append1[[#This Row],[weekday]]=0,"holiday",IF(AND(Append1[[#This Row],[weekday]]&gt;1,Append1[[#This Row],[weekday]]&lt;7),"working day","weekend"))</f>
        <v>working day</v>
      </c>
      <c r="P17" s="4" t="str">
        <f>IF(Append1[[#This Row],[weathersit]]=0,"sunny",IF(Append1[[#This Row],[weathersit]]=1,"mist",IF(Append1[[#This Row],[weathersit]]=2,"lightrain","extremerain")))</f>
        <v>lightrain</v>
      </c>
      <c r="Q17" t="s">
        <v>24</v>
      </c>
    </row>
    <row r="18" spans="1:18" x14ac:dyDescent="0.25">
      <c r="A18" s="4">
        <v>17</v>
      </c>
      <c r="B18" s="4">
        <v>0.42420000000000002</v>
      </c>
      <c r="C18" s="4">
        <v>0.82</v>
      </c>
      <c r="D18" s="4">
        <v>0.29849999999999999</v>
      </c>
      <c r="E18" s="4">
        <v>41</v>
      </c>
      <c r="F18" s="4">
        <v>52</v>
      </c>
      <c r="G18" s="4">
        <v>93</v>
      </c>
      <c r="H18" s="5">
        <v>40544</v>
      </c>
      <c r="I18" s="4">
        <v>1</v>
      </c>
      <c r="J18" s="4">
        <v>16</v>
      </c>
      <c r="K18" s="4" t="b">
        <f>IF(Append1[[#This Row],[days]]="working day",FALSE,TRUE)</f>
        <v>0</v>
      </c>
      <c r="L18" s="4">
        <v>6</v>
      </c>
      <c r="M18" s="4">
        <v>2</v>
      </c>
      <c r="N18" s="6">
        <v>0.42</v>
      </c>
      <c r="O18" s="2" t="str">
        <f>IF(Append1[[#This Row],[weekday]]=0,"holiday",IF(AND(Append1[[#This Row],[weekday]]&gt;1,Append1[[#This Row],[weekday]]&lt;7),"working day","weekend"))</f>
        <v>working day</v>
      </c>
      <c r="P18" s="4" t="str">
        <f>IF(Append1[[#This Row],[weathersit]]=0,"sunny",IF(Append1[[#This Row],[weathersit]]=1,"mist",IF(Append1[[#This Row],[weathersit]]=2,"lightrain","extremerain")))</f>
        <v>lightrain</v>
      </c>
      <c r="Q18">
        <v>0</v>
      </c>
      <c r="R18" t="s">
        <v>25</v>
      </c>
    </row>
    <row r="19" spans="1:18" x14ac:dyDescent="0.25">
      <c r="A19" s="4">
        <v>18</v>
      </c>
      <c r="B19" s="4">
        <f ca="1">IF(B19="",AVERAGE(B2:B1002),B19)</f>
        <v>0</v>
      </c>
      <c r="C19" s="4">
        <v>0.82</v>
      </c>
      <c r="D19" s="4">
        <v>0.28360000000000002</v>
      </c>
      <c r="E19" s="4">
        <v>15</v>
      </c>
      <c r="F19" s="4">
        <v>52</v>
      </c>
      <c r="G19" s="4">
        <v>67</v>
      </c>
      <c r="H19" s="5">
        <v>40544</v>
      </c>
      <c r="I19" s="4">
        <v>1</v>
      </c>
      <c r="J19" s="4">
        <v>17</v>
      </c>
      <c r="K19" s="4" t="b">
        <f>IF(Append1[[#This Row],[days]]="working day",FALSE,TRUE)</f>
        <v>0</v>
      </c>
      <c r="L19" s="4">
        <v>6</v>
      </c>
      <c r="M19" s="4">
        <v>2</v>
      </c>
      <c r="N19" s="6">
        <v>0.44</v>
      </c>
      <c r="O19" s="2" t="str">
        <f>IF(Append1[[#This Row],[weekday]]=0,"holiday",IF(AND(Append1[[#This Row],[weekday]]&gt;1,Append1[[#This Row],[weekday]]&lt;7),"working day","weekend"))</f>
        <v>working day</v>
      </c>
      <c r="P19" s="4" t="str">
        <f>IF(Append1[[#This Row],[weathersit]]=0,"sunny",IF(Append1[[#This Row],[weathersit]]=1,"mist",IF(Append1[[#This Row],[weathersit]]=2,"lightrain","extremerain")))</f>
        <v>lightrain</v>
      </c>
      <c r="Q19">
        <v>1</v>
      </c>
      <c r="R19" t="s">
        <v>26</v>
      </c>
    </row>
    <row r="20" spans="1:18" x14ac:dyDescent="0.25">
      <c r="A20" s="4">
        <v>19</v>
      </c>
      <c r="B20" s="4">
        <v>0.42420000000000002</v>
      </c>
      <c r="C20" s="4">
        <v>0.88</v>
      </c>
      <c r="D20" s="4">
        <v>0.25369999999999998</v>
      </c>
      <c r="E20" s="4">
        <v>9</v>
      </c>
      <c r="F20" s="4">
        <v>26</v>
      </c>
      <c r="G20" s="4">
        <v>35</v>
      </c>
      <c r="H20" s="5">
        <v>40544</v>
      </c>
      <c r="I20" s="4">
        <v>1</v>
      </c>
      <c r="J20" s="4">
        <v>18</v>
      </c>
      <c r="K20" s="4" t="b">
        <f>IF(Append1[[#This Row],[days]]="working day",FALSE,TRUE)</f>
        <v>0</v>
      </c>
      <c r="L20" s="4">
        <v>6</v>
      </c>
      <c r="M20" s="4">
        <v>3</v>
      </c>
      <c r="N20" s="6">
        <v>0.42</v>
      </c>
      <c r="O20" s="2" t="str">
        <f>IF(Append1[[#This Row],[weekday]]=0,"holiday",IF(AND(Append1[[#This Row],[weekday]]&gt;1,Append1[[#This Row],[weekday]]&lt;7),"working day","weekend"))</f>
        <v>working day</v>
      </c>
      <c r="P20" s="4" t="str">
        <f>IF(Append1[[#This Row],[weathersit]]=0,"sunny",IF(Append1[[#This Row],[weathersit]]=1,"mist",IF(Append1[[#This Row],[weathersit]]=2,"lightrain","extremerain")))</f>
        <v>extremerain</v>
      </c>
      <c r="Q20">
        <v>2</v>
      </c>
      <c r="R20" t="s">
        <v>27</v>
      </c>
    </row>
    <row r="21" spans="1:18" x14ac:dyDescent="0.25">
      <c r="A21" s="4">
        <v>20</v>
      </c>
      <c r="B21" s="4">
        <v>0.42420000000000002</v>
      </c>
      <c r="C21" s="4">
        <v>0.88</v>
      </c>
      <c r="D21" s="4">
        <v>0.25369999999999998</v>
      </c>
      <c r="E21" s="4">
        <v>6</v>
      </c>
      <c r="F21" s="4">
        <v>31</v>
      </c>
      <c r="G21" s="4">
        <v>37</v>
      </c>
      <c r="H21" s="5">
        <v>40544</v>
      </c>
      <c r="I21" s="4">
        <v>1</v>
      </c>
      <c r="J21" s="4">
        <v>19</v>
      </c>
      <c r="K21" s="4" t="b">
        <f>IF(Append1[[#This Row],[days]]="working day",FALSE,TRUE)</f>
        <v>0</v>
      </c>
      <c r="L21" s="4">
        <v>6</v>
      </c>
      <c r="M21" s="4">
        <v>3</v>
      </c>
      <c r="N21" s="6">
        <v>0.42</v>
      </c>
      <c r="O21" s="2" t="str">
        <f>IF(Append1[[#This Row],[weekday]]=0,"holiday",IF(AND(Append1[[#This Row],[weekday]]&gt;1,Append1[[#This Row],[weekday]]&lt;7),"working day","weekend"))</f>
        <v>working day</v>
      </c>
      <c r="P21" s="4" t="str">
        <f>IF(Append1[[#This Row],[weathersit]]=0,"sunny",IF(Append1[[#This Row],[weathersit]]=1,"mist",IF(Append1[[#This Row],[weathersit]]=2,"lightrain","extremerain")))</f>
        <v>extremerain</v>
      </c>
      <c r="Q21" t="s">
        <v>28</v>
      </c>
      <c r="R21" t="s">
        <v>29</v>
      </c>
    </row>
    <row r="22" spans="1:18" x14ac:dyDescent="0.25">
      <c r="A22" s="4">
        <v>21</v>
      </c>
      <c r="B22" s="4">
        <v>0.40910000000000002</v>
      </c>
      <c r="C22" s="4">
        <v>0.87</v>
      </c>
      <c r="D22" s="4">
        <v>0.25369999999999998</v>
      </c>
      <c r="E22" s="4">
        <v>11</v>
      </c>
      <c r="F22" s="4">
        <v>25</v>
      </c>
      <c r="G22" s="4">
        <v>36</v>
      </c>
      <c r="H22" s="5">
        <v>40544</v>
      </c>
      <c r="I22" s="4">
        <v>1</v>
      </c>
      <c r="J22" s="4">
        <v>20</v>
      </c>
      <c r="K22" s="4" t="b">
        <f>IF(Append1[[#This Row],[days]]="working day",FALSE,TRUE)</f>
        <v>0</v>
      </c>
      <c r="L22" s="4">
        <v>6</v>
      </c>
      <c r="M22" s="4">
        <v>2</v>
      </c>
      <c r="N22" s="6">
        <v>0.4</v>
      </c>
      <c r="O22" s="2" t="str">
        <f>IF(Append1[[#This Row],[weekday]]=0,"holiday",IF(AND(Append1[[#This Row],[weekday]]&gt;1,Append1[[#This Row],[weekday]]&lt;7),"working day","weekend"))</f>
        <v>working day</v>
      </c>
      <c r="P22" s="4" t="str">
        <f>IF(Append1[[#This Row],[weathersit]]=0,"sunny",IF(Append1[[#This Row],[weathersit]]=1,"mist",IF(Append1[[#This Row],[weathersit]]=2,"lightrain","extremerain")))</f>
        <v>lightrain</v>
      </c>
    </row>
    <row r="23" spans="1:18" x14ac:dyDescent="0.25">
      <c r="A23" s="4">
        <v>22</v>
      </c>
      <c r="B23" s="4">
        <v>0.40910000000000002</v>
      </c>
      <c r="C23" s="4">
        <v>0.87</v>
      </c>
      <c r="D23" s="4">
        <v>0.19400000000000001</v>
      </c>
      <c r="E23" s="4">
        <v>3</v>
      </c>
      <c r="F23" s="4">
        <v>31</v>
      </c>
      <c r="G23" s="4">
        <v>34</v>
      </c>
      <c r="H23" s="5">
        <v>40544</v>
      </c>
      <c r="I23" s="4">
        <v>1</v>
      </c>
      <c r="J23" s="4">
        <v>21</v>
      </c>
      <c r="K23" s="4" t="b">
        <f>IF(Append1[[#This Row],[days]]="working day",FALSE,TRUE)</f>
        <v>0</v>
      </c>
      <c r="L23" s="4">
        <v>6</v>
      </c>
      <c r="M23" s="4">
        <v>2</v>
      </c>
      <c r="N23" s="6">
        <v>0.4</v>
      </c>
      <c r="O23" s="2" t="str">
        <f>IF(Append1[[#This Row],[weekday]]=0,"holiday",IF(AND(Append1[[#This Row],[weekday]]&gt;1,Append1[[#This Row],[weekday]]&lt;7),"working day","weekend"))</f>
        <v>working day</v>
      </c>
      <c r="P23" s="4" t="str">
        <f>IF(Append1[[#This Row],[weathersit]]=0,"sunny",IF(Append1[[#This Row],[weathersit]]=1,"mist",IF(Append1[[#This Row],[weathersit]]=2,"lightrain","extremerain")))</f>
        <v>lightrain</v>
      </c>
    </row>
    <row r="24" spans="1:18" x14ac:dyDescent="0.25">
      <c r="A24" s="4">
        <v>23</v>
      </c>
      <c r="B24" s="4">
        <v>0.40910000000000002</v>
      </c>
      <c r="C24" s="4">
        <v>0.94</v>
      </c>
      <c r="D24" s="4">
        <v>0.22389999999999999</v>
      </c>
      <c r="E24" s="4">
        <v>11</v>
      </c>
      <c r="F24" s="4">
        <v>17</v>
      </c>
      <c r="G24" s="4">
        <v>28</v>
      </c>
      <c r="H24" s="5">
        <v>40544</v>
      </c>
      <c r="I24" s="4">
        <v>1</v>
      </c>
      <c r="J24" s="4">
        <v>22</v>
      </c>
      <c r="K24" s="4" t="b">
        <f>IF(Append1[[#This Row],[days]]="working day",FALSE,TRUE)</f>
        <v>0</v>
      </c>
      <c r="L24" s="4">
        <v>6</v>
      </c>
      <c r="M24" s="4">
        <v>2</v>
      </c>
      <c r="N24" s="6">
        <v>0.4</v>
      </c>
      <c r="O24" s="2" t="str">
        <f>IF(Append1[[#This Row],[weekday]]=0,"holiday",IF(AND(Append1[[#This Row],[weekday]]&gt;1,Append1[[#This Row],[weekday]]&lt;7),"working day","weekend"))</f>
        <v>working day</v>
      </c>
      <c r="P24" s="4" t="str">
        <f>IF(Append1[[#This Row],[weathersit]]=0,"sunny",IF(Append1[[#This Row],[weathersit]]=1,"mist",IF(Append1[[#This Row],[weathersit]]=2,"lightrain","extremerain")))</f>
        <v>lightrain</v>
      </c>
    </row>
    <row r="25" spans="1:18" x14ac:dyDescent="0.25">
      <c r="A25" s="4">
        <v>24</v>
      </c>
      <c r="B25" s="4"/>
      <c r="C25" s="4">
        <v>0.88</v>
      </c>
      <c r="D25" s="4">
        <v>0.29849999999999999</v>
      </c>
      <c r="E25" s="4">
        <v>15</v>
      </c>
      <c r="F25" s="4">
        <v>24</v>
      </c>
      <c r="G25" s="4">
        <v>39</v>
      </c>
      <c r="H25" s="5">
        <v>40544</v>
      </c>
      <c r="I25" s="4">
        <v>1</v>
      </c>
      <c r="J25" s="4">
        <v>23</v>
      </c>
      <c r="K25" s="4" t="b">
        <f>IF(Append1[[#This Row],[days]]="working day",FALSE,TRUE)</f>
        <v>0</v>
      </c>
      <c r="L25" s="4">
        <v>6</v>
      </c>
      <c r="M25" s="4">
        <v>2</v>
      </c>
      <c r="N25" s="6">
        <v>0.46</v>
      </c>
      <c r="O25" s="2" t="str">
        <f>IF(Append1[[#This Row],[weekday]]=0,"holiday",IF(AND(Append1[[#This Row],[weekday]]&gt;1,Append1[[#This Row],[weekday]]&lt;7),"working day","weekend"))</f>
        <v>working day</v>
      </c>
      <c r="P25" s="4" t="str">
        <f>IF(Append1[[#This Row],[weathersit]]=0,"sunny",IF(Append1[[#This Row],[weathersit]]=1,"mist",IF(Append1[[#This Row],[weathersit]]=2,"lightrain","extremerain")))</f>
        <v>lightrain</v>
      </c>
    </row>
    <row r="26" spans="1:18" x14ac:dyDescent="0.25">
      <c r="A26" s="4">
        <v>25</v>
      </c>
      <c r="B26" s="4">
        <v>0.45450000000000002</v>
      </c>
      <c r="C26" s="4">
        <v>0.88</v>
      </c>
      <c r="D26" s="4">
        <v>0.29849999999999999</v>
      </c>
      <c r="E26" s="4">
        <v>4</v>
      </c>
      <c r="F26" s="4">
        <v>13</v>
      </c>
      <c r="G26" s="4">
        <v>17</v>
      </c>
      <c r="H26" s="5">
        <v>40545</v>
      </c>
      <c r="I26" s="4">
        <v>1</v>
      </c>
      <c r="J26" s="4">
        <v>0</v>
      </c>
      <c r="K26" s="4" t="b">
        <f>IF(Append1[[#This Row],[days]]="working day",FALSE,TRUE)</f>
        <v>1</v>
      </c>
      <c r="L26" s="4">
        <v>0</v>
      </c>
      <c r="M26" s="4">
        <v>2</v>
      </c>
      <c r="N26" s="6">
        <v>0.46</v>
      </c>
      <c r="O26" s="2" t="str">
        <f>IF(Append1[[#This Row],[weekday]]=0,"holiday",IF(AND(Append1[[#This Row],[weekday]]&gt;1,Append1[[#This Row],[weekday]]&lt;7),"working day","weekend"))</f>
        <v>holiday</v>
      </c>
      <c r="P26" s="4" t="str">
        <f>IF(Append1[[#This Row],[weathersit]]=0,"sunny",IF(Append1[[#This Row],[weathersit]]=1,"mist",IF(Append1[[#This Row],[weathersit]]=2,"lightrain","extremerain")))</f>
        <v>lightrain</v>
      </c>
    </row>
    <row r="27" spans="1:18" x14ac:dyDescent="0.25">
      <c r="A27" s="4">
        <v>26</v>
      </c>
      <c r="B27" s="4">
        <v>0.43940000000000001</v>
      </c>
      <c r="C27" s="4">
        <v>0.94</v>
      </c>
      <c r="D27" s="4">
        <v>0.25369999999999998</v>
      </c>
      <c r="E27" s="4">
        <v>1</v>
      </c>
      <c r="F27" s="4">
        <v>16</v>
      </c>
      <c r="G27" s="4">
        <v>17</v>
      </c>
      <c r="H27" s="5">
        <v>40545</v>
      </c>
      <c r="I27" s="4">
        <v>1</v>
      </c>
      <c r="J27" s="4">
        <v>1</v>
      </c>
      <c r="K27" s="4" t="b">
        <f>IF(Append1[[#This Row],[days]]="working day",FALSE,TRUE)</f>
        <v>1</v>
      </c>
      <c r="L27" s="4">
        <v>0</v>
      </c>
      <c r="M27" s="4">
        <v>2</v>
      </c>
      <c r="N27" s="6">
        <v>0.44</v>
      </c>
      <c r="O27" s="2" t="str">
        <f>IF(Append1[[#This Row],[weekday]]=0,"holiday",IF(AND(Append1[[#This Row],[weekday]]&gt;1,Append1[[#This Row],[weekday]]&lt;7),"working day","weekend"))</f>
        <v>holiday</v>
      </c>
      <c r="P27" s="4" t="str">
        <f>IF(Append1[[#This Row],[weathersit]]=0,"sunny",IF(Append1[[#This Row],[weathersit]]=1,"mist",IF(Append1[[#This Row],[weathersit]]=2,"lightrain","extremerain")))</f>
        <v>lightrain</v>
      </c>
    </row>
    <row r="28" spans="1:18" x14ac:dyDescent="0.25">
      <c r="A28" s="4">
        <v>27</v>
      </c>
      <c r="B28" s="4">
        <v>0.42420000000000002</v>
      </c>
      <c r="C28" s="4">
        <v>1</v>
      </c>
      <c r="D28" s="4">
        <v>0.28360000000000002</v>
      </c>
      <c r="E28" s="4">
        <v>1</v>
      </c>
      <c r="F28" s="4">
        <v>8</v>
      </c>
      <c r="G28" s="4">
        <v>9</v>
      </c>
      <c r="H28" s="5">
        <v>40545</v>
      </c>
      <c r="I28" s="4">
        <v>1</v>
      </c>
      <c r="J28" s="4">
        <v>2</v>
      </c>
      <c r="K28" s="4" t="b">
        <f>IF(Append1[[#This Row],[days]]="working day",FALSE,TRUE)</f>
        <v>1</v>
      </c>
      <c r="L28" s="4">
        <v>0</v>
      </c>
      <c r="M28" s="4">
        <v>2</v>
      </c>
      <c r="N28" s="6">
        <v>0.42</v>
      </c>
      <c r="O28" s="2" t="str">
        <f>IF(Append1[[#This Row],[weekday]]=0,"holiday",IF(AND(Append1[[#This Row],[weekday]]&gt;1,Append1[[#This Row],[weekday]]&lt;7),"working day","weekend"))</f>
        <v>holiday</v>
      </c>
      <c r="P28" s="4" t="str">
        <f>IF(Append1[[#This Row],[weathersit]]=0,"sunny",IF(Append1[[#This Row],[weathersit]]=1,"mist",IF(Append1[[#This Row],[weathersit]]=2,"lightrain","extremerain")))</f>
        <v>lightrain</v>
      </c>
    </row>
    <row r="29" spans="1:18" x14ac:dyDescent="0.25">
      <c r="A29" s="4">
        <v>28</v>
      </c>
      <c r="B29" s="4">
        <v>0.45450000000000002</v>
      </c>
      <c r="C29" s="4">
        <v>0.94</v>
      </c>
      <c r="D29" s="4">
        <v>0.19400000000000001</v>
      </c>
      <c r="E29" s="4">
        <v>2</v>
      </c>
      <c r="F29" s="4">
        <v>4</v>
      </c>
      <c r="G29" s="4">
        <v>6</v>
      </c>
      <c r="H29" s="5">
        <v>40545</v>
      </c>
      <c r="I29" s="4">
        <v>1</v>
      </c>
      <c r="J29" s="4">
        <v>3</v>
      </c>
      <c r="K29" s="4" t="b">
        <f>IF(Append1[[#This Row],[days]]="working day",FALSE,TRUE)</f>
        <v>1</v>
      </c>
      <c r="L29" s="4">
        <v>0</v>
      </c>
      <c r="M29" s="4">
        <v>2</v>
      </c>
      <c r="N29" s="6">
        <v>0.46</v>
      </c>
      <c r="O29" s="2" t="str">
        <f>IF(Append1[[#This Row],[weekday]]=0,"holiday",IF(AND(Append1[[#This Row],[weekday]]&gt;1,Append1[[#This Row],[weekday]]&lt;7),"working day","weekend"))</f>
        <v>holiday</v>
      </c>
      <c r="P29" s="4" t="str">
        <f>IF(Append1[[#This Row],[weathersit]]=0,"sunny",IF(Append1[[#This Row],[weathersit]]=1,"mist",IF(Append1[[#This Row],[weathersit]]=2,"lightrain","extremerain")))</f>
        <v>lightrain</v>
      </c>
    </row>
    <row r="30" spans="1:18" x14ac:dyDescent="0.25">
      <c r="A30" s="4">
        <v>29</v>
      </c>
      <c r="B30" s="4"/>
      <c r="C30" s="4">
        <v>0.94</v>
      </c>
      <c r="D30" s="4">
        <v>0.19400000000000001</v>
      </c>
      <c r="E30" s="4">
        <v>2</v>
      </c>
      <c r="F30" s="4">
        <v>1</v>
      </c>
      <c r="G30" s="4">
        <v>3</v>
      </c>
      <c r="H30" s="5">
        <v>40545</v>
      </c>
      <c r="I30" s="4">
        <v>1</v>
      </c>
      <c r="J30" s="4">
        <v>4</v>
      </c>
      <c r="K30" s="4" t="b">
        <f>IF(Append1[[#This Row],[days]]="working day",FALSE,TRUE)</f>
        <v>1</v>
      </c>
      <c r="L30" s="4">
        <v>0</v>
      </c>
      <c r="M30" s="4">
        <v>2</v>
      </c>
      <c r="N30" s="6">
        <v>0.46</v>
      </c>
      <c r="O30" s="2" t="str">
        <f>IF(Append1[[#This Row],[weekday]]=0,"holiday",IF(AND(Append1[[#This Row],[weekday]]&gt;1,Append1[[#This Row],[weekday]]&lt;7),"working day","weekend"))</f>
        <v>holiday</v>
      </c>
      <c r="P30" s="4" t="str">
        <f>IF(Append1[[#This Row],[weathersit]]=0,"sunny",IF(Append1[[#This Row],[weathersit]]=1,"mist",IF(Append1[[#This Row],[weathersit]]=2,"lightrain","extremerain")))</f>
        <v>lightrain</v>
      </c>
    </row>
    <row r="31" spans="1:18" x14ac:dyDescent="0.25">
      <c r="A31" s="4">
        <v>30</v>
      </c>
      <c r="B31" s="4">
        <v>0.42420000000000002</v>
      </c>
      <c r="C31" s="4">
        <v>0.77</v>
      </c>
      <c r="D31" s="4">
        <v>0.29849999999999999</v>
      </c>
      <c r="E31" s="4">
        <v>0</v>
      </c>
      <c r="F31" s="4">
        <v>2</v>
      </c>
      <c r="G31" s="4">
        <v>2</v>
      </c>
      <c r="H31" s="5">
        <v>40545</v>
      </c>
      <c r="I31" s="4">
        <v>1</v>
      </c>
      <c r="J31" s="4">
        <v>6</v>
      </c>
      <c r="K31" s="4" t="b">
        <f>IF(Append1[[#This Row],[days]]="working day",FALSE,TRUE)</f>
        <v>1</v>
      </c>
      <c r="L31" s="4">
        <v>0</v>
      </c>
      <c r="M31" s="4">
        <v>3</v>
      </c>
      <c r="N31" s="6">
        <v>0.42</v>
      </c>
      <c r="O31" s="2" t="str">
        <f>IF(Append1[[#This Row],[weekday]]=0,"holiday",IF(AND(Append1[[#This Row],[weekday]]&gt;1,Append1[[#This Row],[weekday]]&lt;7),"working day","weekend"))</f>
        <v>holiday</v>
      </c>
      <c r="P31" s="4" t="str">
        <f>IF(Append1[[#This Row],[weathersit]]=0,"sunny",IF(Append1[[#This Row],[weathersit]]=1,"mist",IF(Append1[[#This Row],[weathersit]]=2,"lightrain","extremerain")))</f>
        <v>extremerain</v>
      </c>
    </row>
    <row r="32" spans="1:18" x14ac:dyDescent="0.25">
      <c r="A32" s="4">
        <v>31</v>
      </c>
      <c r="B32" s="4">
        <v>0.40910000000000002</v>
      </c>
      <c r="C32" s="4">
        <v>0.76</v>
      </c>
      <c r="D32" s="4">
        <v>0.19400000000000001</v>
      </c>
      <c r="E32" s="4">
        <v>0</v>
      </c>
      <c r="F32" s="4">
        <v>1</v>
      </c>
      <c r="G32" s="4">
        <v>1</v>
      </c>
      <c r="H32" s="5">
        <v>40545</v>
      </c>
      <c r="I32" s="4">
        <v>1</v>
      </c>
      <c r="J32" s="4">
        <v>7</v>
      </c>
      <c r="K32" s="4" t="b">
        <f>IF(Append1[[#This Row],[days]]="working day",FALSE,TRUE)</f>
        <v>1</v>
      </c>
      <c r="L32" s="4">
        <v>0</v>
      </c>
      <c r="M32" s="4">
        <v>2</v>
      </c>
      <c r="N32" s="6">
        <v>0.4</v>
      </c>
      <c r="O32" s="2" t="str">
        <f>IF(Append1[[#This Row],[weekday]]=0,"holiday",IF(AND(Append1[[#This Row],[weekday]]&gt;1,Append1[[#This Row],[weekday]]&lt;7),"working day","weekend"))</f>
        <v>holiday</v>
      </c>
      <c r="P32" s="4" t="str">
        <f>IF(Append1[[#This Row],[weathersit]]=0,"sunny",IF(Append1[[#This Row],[weathersit]]=1,"mist",IF(Append1[[#This Row],[weathersit]]=2,"lightrain","extremerain")))</f>
        <v>lightrain</v>
      </c>
    </row>
    <row r="33" spans="1:16" x14ac:dyDescent="0.25">
      <c r="A33" s="4">
        <v>32</v>
      </c>
      <c r="B33" s="4">
        <v>0.40910000000000002</v>
      </c>
      <c r="C33" s="4">
        <v>0.71</v>
      </c>
      <c r="D33" s="4">
        <v>0.22389999999999999</v>
      </c>
      <c r="E33" s="4">
        <v>0</v>
      </c>
      <c r="F33" s="4">
        <v>8</v>
      </c>
      <c r="G33" s="4">
        <v>8</v>
      </c>
      <c r="H33" s="5">
        <v>40545</v>
      </c>
      <c r="I33" s="4">
        <v>1</v>
      </c>
      <c r="J33" s="4">
        <v>8</v>
      </c>
      <c r="K33" s="4" t="b">
        <f>IF(Append1[[#This Row],[days]]="working day",FALSE,TRUE)</f>
        <v>1</v>
      </c>
      <c r="L33" s="4">
        <v>0</v>
      </c>
      <c r="M33" s="4">
        <v>3</v>
      </c>
      <c r="N33" s="6">
        <v>0.4</v>
      </c>
      <c r="O33" s="2" t="str">
        <f>IF(Append1[[#This Row],[weekday]]=0,"holiday",IF(AND(Append1[[#This Row],[weekday]]&gt;1,Append1[[#This Row],[weekday]]&lt;7),"working day","weekend"))</f>
        <v>holiday</v>
      </c>
      <c r="P33" s="4" t="str">
        <f>IF(Append1[[#This Row],[weathersit]]=0,"sunny",IF(Append1[[#This Row],[weathersit]]=1,"mist",IF(Append1[[#This Row],[weathersit]]=2,"lightrain","extremerain")))</f>
        <v>extremerain</v>
      </c>
    </row>
    <row r="34" spans="1:16" x14ac:dyDescent="0.25">
      <c r="A34" s="4">
        <v>33</v>
      </c>
      <c r="B34" s="4"/>
      <c r="C34" s="4">
        <v>0.76</v>
      </c>
      <c r="D34" s="4">
        <v>0.22389999999999999</v>
      </c>
      <c r="E34" s="4">
        <v>1</v>
      </c>
      <c r="F34" s="4">
        <v>19</v>
      </c>
      <c r="G34" s="4">
        <v>20</v>
      </c>
      <c r="H34" s="5">
        <v>40545</v>
      </c>
      <c r="I34" s="4">
        <v>1</v>
      </c>
      <c r="J34" s="4">
        <v>9</v>
      </c>
      <c r="K34" s="4" t="b">
        <f>IF(Append1[[#This Row],[days]]="working day",FALSE,TRUE)</f>
        <v>1</v>
      </c>
      <c r="L34" s="4">
        <v>0</v>
      </c>
      <c r="M34" s="4">
        <v>2</v>
      </c>
      <c r="N34" s="6">
        <v>0.38</v>
      </c>
      <c r="O34" s="2" t="str">
        <f>IF(Append1[[#This Row],[weekday]]=0,"holiday",IF(AND(Append1[[#This Row],[weekday]]&gt;1,Append1[[#This Row],[weekday]]&lt;7),"working day","weekend"))</f>
        <v>holiday</v>
      </c>
      <c r="P34" s="4" t="str">
        <f>IF(Append1[[#This Row],[weathersit]]=0,"sunny",IF(Append1[[#This Row],[weathersit]]=1,"mist",IF(Append1[[#This Row],[weathersit]]=2,"lightrain","extremerain")))</f>
        <v>lightrain</v>
      </c>
    </row>
    <row r="35" spans="1:16" x14ac:dyDescent="0.25">
      <c r="A35" s="4">
        <v>34</v>
      </c>
      <c r="B35" s="4">
        <v>0.34849999999999998</v>
      </c>
      <c r="C35" s="4">
        <v>0.81</v>
      </c>
      <c r="D35" s="4">
        <v>0.22389999999999999</v>
      </c>
      <c r="E35" s="4">
        <v>7</v>
      </c>
      <c r="F35" s="4">
        <v>46</v>
      </c>
      <c r="G35" s="4">
        <v>53</v>
      </c>
      <c r="H35" s="5">
        <v>40545</v>
      </c>
      <c r="I35" s="4">
        <v>1</v>
      </c>
      <c r="J35" s="4">
        <v>10</v>
      </c>
      <c r="K35" s="4" t="b">
        <f>IF(Append1[[#This Row],[days]]="working day",FALSE,TRUE)</f>
        <v>1</v>
      </c>
      <c r="L35" s="4">
        <v>0</v>
      </c>
      <c r="M35" s="4">
        <v>2</v>
      </c>
      <c r="N35" s="6">
        <v>0.36</v>
      </c>
      <c r="O35" s="2" t="str">
        <f>IF(Append1[[#This Row],[weekday]]=0,"holiday",IF(AND(Append1[[#This Row],[weekday]]&gt;1,Append1[[#This Row],[weekday]]&lt;7),"working day","weekend"))</f>
        <v>holiday</v>
      </c>
      <c r="P35" s="4" t="str">
        <f>IF(Append1[[#This Row],[weathersit]]=0,"sunny",IF(Append1[[#This Row],[weathersit]]=1,"mist",IF(Append1[[#This Row],[weathersit]]=2,"lightrain","extremerain")))</f>
        <v>lightrain</v>
      </c>
    </row>
    <row r="36" spans="1:16" x14ac:dyDescent="0.25">
      <c r="A36" s="4">
        <v>35</v>
      </c>
      <c r="B36" s="4">
        <v>0.33329999999999999</v>
      </c>
      <c r="C36" s="4">
        <v>0.71</v>
      </c>
      <c r="D36" s="4">
        <v>0.25369999999999998</v>
      </c>
      <c r="E36" s="4">
        <v>16</v>
      </c>
      <c r="F36" s="4">
        <v>54</v>
      </c>
      <c r="G36" s="4">
        <v>70</v>
      </c>
      <c r="H36" s="5">
        <v>40545</v>
      </c>
      <c r="I36" s="4">
        <v>1</v>
      </c>
      <c r="J36" s="4">
        <v>11</v>
      </c>
      <c r="K36" s="4" t="b">
        <f>IF(Append1[[#This Row],[days]]="working day",FALSE,TRUE)</f>
        <v>1</v>
      </c>
      <c r="L36" s="4">
        <v>0</v>
      </c>
      <c r="M36" s="4">
        <v>2</v>
      </c>
      <c r="N36" s="6">
        <v>0.36</v>
      </c>
      <c r="O36" s="2" t="str">
        <f>IF(Append1[[#This Row],[weekday]]=0,"holiday",IF(AND(Append1[[#This Row],[weekday]]&gt;1,Append1[[#This Row],[weekday]]&lt;7),"working day","weekend"))</f>
        <v>holiday</v>
      </c>
      <c r="P36" s="4" t="str">
        <f>IF(Append1[[#This Row],[weathersit]]=0,"sunny",IF(Append1[[#This Row],[weathersit]]=1,"mist",IF(Append1[[#This Row],[weathersit]]=2,"lightrain","extremerain")))</f>
        <v>lightrain</v>
      </c>
    </row>
    <row r="37" spans="1:16" x14ac:dyDescent="0.25">
      <c r="A37" s="4">
        <v>36</v>
      </c>
      <c r="B37" s="4">
        <v>0.33329999999999999</v>
      </c>
      <c r="C37" s="4">
        <v>0.66</v>
      </c>
      <c r="D37" s="4">
        <v>0.29849999999999999</v>
      </c>
      <c r="E37" s="4">
        <v>20</v>
      </c>
      <c r="F37" s="4">
        <v>73</v>
      </c>
      <c r="G37" s="4">
        <v>93</v>
      </c>
      <c r="H37" s="5">
        <v>40545</v>
      </c>
      <c r="I37" s="4">
        <v>1</v>
      </c>
      <c r="J37" s="4">
        <v>12</v>
      </c>
      <c r="K37" s="4" t="b">
        <f>IF(Append1[[#This Row],[days]]="working day",FALSE,TRUE)</f>
        <v>1</v>
      </c>
      <c r="L37" s="4">
        <v>0</v>
      </c>
      <c r="M37" s="4">
        <v>2</v>
      </c>
      <c r="N37" s="6">
        <v>0.36</v>
      </c>
      <c r="O37" s="2" t="str">
        <f>IF(Append1[[#This Row],[weekday]]=0,"holiday",IF(AND(Append1[[#This Row],[weekday]]&gt;1,Append1[[#This Row],[weekday]]&lt;7),"working day","weekend"))</f>
        <v>holiday</v>
      </c>
      <c r="P37" s="4" t="str">
        <f>IF(Append1[[#This Row],[weathersit]]=0,"sunny",IF(Append1[[#This Row],[weathersit]]=1,"mist",IF(Append1[[#This Row],[weathersit]]=2,"lightrain","extremerain")))</f>
        <v>lightrain</v>
      </c>
    </row>
    <row r="38" spans="1:16" x14ac:dyDescent="0.25">
      <c r="A38" s="4">
        <v>37</v>
      </c>
      <c r="B38" s="4">
        <v>0.34849999999999998</v>
      </c>
      <c r="C38" s="4">
        <v>0.66</v>
      </c>
      <c r="D38" s="4">
        <v>0.1343</v>
      </c>
      <c r="E38" s="4">
        <v>11</v>
      </c>
      <c r="F38" s="4">
        <v>64</v>
      </c>
      <c r="G38" s="4">
        <v>75</v>
      </c>
      <c r="H38" s="5">
        <v>40545</v>
      </c>
      <c r="I38" s="4">
        <v>1</v>
      </c>
      <c r="J38" s="4">
        <v>13</v>
      </c>
      <c r="K38" s="4" t="b">
        <f>IF(Append1[[#This Row],[days]]="working day",FALSE,TRUE)</f>
        <v>1</v>
      </c>
      <c r="L38" s="4">
        <v>0</v>
      </c>
      <c r="M38" s="4">
        <v>2</v>
      </c>
      <c r="N38" s="6">
        <v>0.36</v>
      </c>
      <c r="O38" s="2" t="str">
        <f>IF(Append1[[#This Row],[weekday]]=0,"holiday",IF(AND(Append1[[#This Row],[weekday]]&gt;1,Append1[[#This Row],[weekday]]&lt;7),"working day","weekend"))</f>
        <v>holiday</v>
      </c>
      <c r="P38" s="4" t="str">
        <f>IF(Append1[[#This Row],[weathersit]]=0,"sunny",IF(Append1[[#This Row],[weathersit]]=1,"mist",IF(Append1[[#This Row],[weathersit]]=2,"lightrain","extremerain")))</f>
        <v>lightrain</v>
      </c>
    </row>
    <row r="39" spans="1:16" x14ac:dyDescent="0.25">
      <c r="A39" s="4">
        <v>38</v>
      </c>
      <c r="B39" s="4"/>
      <c r="C39" s="4">
        <v>0.76</v>
      </c>
      <c r="D39" s="4">
        <v>0.19400000000000001</v>
      </c>
      <c r="E39" s="4">
        <v>4</v>
      </c>
      <c r="F39" s="4">
        <v>55</v>
      </c>
      <c r="G39" s="4">
        <v>59</v>
      </c>
      <c r="H39" s="5">
        <v>40545</v>
      </c>
      <c r="I39" s="4">
        <v>1</v>
      </c>
      <c r="J39" s="4">
        <v>14</v>
      </c>
      <c r="K39" s="4" t="b">
        <f>IF(Append1[[#This Row],[days]]="working day",FALSE,TRUE)</f>
        <v>1</v>
      </c>
      <c r="L39" s="4">
        <v>0</v>
      </c>
      <c r="M39" s="4">
        <v>3</v>
      </c>
      <c r="N39" s="6">
        <v>0.36</v>
      </c>
      <c r="O39" s="2" t="str">
        <f>IF(Append1[[#This Row],[weekday]]=0,"holiday",IF(AND(Append1[[#This Row],[weekday]]&gt;1,Append1[[#This Row],[weekday]]&lt;7),"working day","weekend"))</f>
        <v>holiday</v>
      </c>
      <c r="P39" s="4" t="str">
        <f>IF(Append1[[#This Row],[weathersit]]=0,"sunny",IF(Append1[[#This Row],[weathersit]]=1,"mist",IF(Append1[[#This Row],[weathersit]]=2,"lightrain","extremerain")))</f>
        <v>extremerain</v>
      </c>
    </row>
    <row r="40" spans="1:16" x14ac:dyDescent="0.25">
      <c r="A40" s="4">
        <v>39</v>
      </c>
      <c r="B40" s="4">
        <v>0.33329999999999999</v>
      </c>
      <c r="C40" s="4">
        <v>0.81</v>
      </c>
      <c r="D40" s="4">
        <v>0.16420000000000001</v>
      </c>
      <c r="E40" s="4">
        <v>19</v>
      </c>
      <c r="F40" s="4">
        <v>55</v>
      </c>
      <c r="G40" s="4">
        <v>74</v>
      </c>
      <c r="H40" s="5">
        <v>40545</v>
      </c>
      <c r="I40" s="4">
        <v>1</v>
      </c>
      <c r="J40" s="4">
        <v>15</v>
      </c>
      <c r="K40" s="4" t="b">
        <f>IF(Append1[[#This Row],[days]]="working day",FALSE,TRUE)</f>
        <v>1</v>
      </c>
      <c r="L40" s="4">
        <v>0</v>
      </c>
      <c r="M40" s="4">
        <v>3</v>
      </c>
      <c r="N40" s="6">
        <v>0.34</v>
      </c>
      <c r="O40" s="2" t="str">
        <f>IF(Append1[[#This Row],[weekday]]=0,"holiday",IF(AND(Append1[[#This Row],[weekday]]&gt;1,Append1[[#This Row],[weekday]]&lt;7),"working day","weekend"))</f>
        <v>holiday</v>
      </c>
      <c r="P40" s="4" t="str">
        <f>IF(Append1[[#This Row],[weathersit]]=0,"sunny",IF(Append1[[#This Row],[weathersit]]=1,"mist",IF(Append1[[#This Row],[weathersit]]=2,"lightrain","extremerain")))</f>
        <v>extremerain</v>
      </c>
    </row>
    <row r="41" spans="1:16" x14ac:dyDescent="0.25">
      <c r="A41" s="4">
        <v>40</v>
      </c>
      <c r="B41" s="4">
        <v>0.33329999999999999</v>
      </c>
      <c r="C41" s="4">
        <v>0.71</v>
      </c>
      <c r="D41" s="4">
        <v>0.16420000000000001</v>
      </c>
      <c r="E41" s="4">
        <v>9</v>
      </c>
      <c r="F41" s="4">
        <v>67</v>
      </c>
      <c r="G41" s="4">
        <v>76</v>
      </c>
      <c r="H41" s="5">
        <v>40545</v>
      </c>
      <c r="I41" s="4">
        <v>1</v>
      </c>
      <c r="J41" s="4">
        <v>16</v>
      </c>
      <c r="K41" s="4" t="b">
        <f>IF(Append1[[#This Row],[days]]="working day",FALSE,TRUE)</f>
        <v>1</v>
      </c>
      <c r="L41" s="4">
        <v>0</v>
      </c>
      <c r="M41" s="4">
        <v>3</v>
      </c>
      <c r="N41" s="6">
        <v>0.34</v>
      </c>
      <c r="O41" s="2" t="str">
        <f>IF(Append1[[#This Row],[weekday]]=0,"holiday",IF(AND(Append1[[#This Row],[weekday]]&gt;1,Append1[[#This Row],[weekday]]&lt;7),"working day","weekend"))</f>
        <v>holiday</v>
      </c>
      <c r="P41" s="4" t="str">
        <f>IF(Append1[[#This Row],[weathersit]]=0,"sunny",IF(Append1[[#This Row],[weathersit]]=1,"mist",IF(Append1[[#This Row],[weathersit]]=2,"lightrain","extremerain")))</f>
        <v>extremerain</v>
      </c>
    </row>
    <row r="42" spans="1:16" x14ac:dyDescent="0.25">
      <c r="A42" s="4">
        <v>41</v>
      </c>
      <c r="B42" s="4">
        <v>0.33329999999999999</v>
      </c>
      <c r="C42" s="4">
        <v>0.56999999999999995</v>
      </c>
      <c r="D42" s="4">
        <v>0.19400000000000001</v>
      </c>
      <c r="E42" s="4">
        <v>7</v>
      </c>
      <c r="F42" s="4">
        <v>58</v>
      </c>
      <c r="G42" s="4">
        <v>65</v>
      </c>
      <c r="H42" s="5">
        <v>40545</v>
      </c>
      <c r="I42" s="4">
        <v>1</v>
      </c>
      <c r="J42" s="4">
        <v>17</v>
      </c>
      <c r="K42" s="4" t="b">
        <f>IF(Append1[[#This Row],[days]]="working day",FALSE,TRUE)</f>
        <v>1</v>
      </c>
      <c r="L42" s="4">
        <v>0</v>
      </c>
      <c r="M42" s="4">
        <v>1</v>
      </c>
      <c r="N42" s="6">
        <v>0.34</v>
      </c>
      <c r="O42" s="2" t="str">
        <f>IF(Append1[[#This Row],[weekday]]=0,"holiday",IF(AND(Append1[[#This Row],[weekday]]&gt;1,Append1[[#This Row],[weekday]]&lt;7),"working day","weekend"))</f>
        <v>holiday</v>
      </c>
      <c r="P42" s="4" t="str">
        <f>IF(Append1[[#This Row],[weathersit]]=0,"sunny",IF(Append1[[#This Row],[weathersit]]=1,"mist",IF(Append1[[#This Row],[weathersit]]=2,"lightrain","extremerain")))</f>
        <v>mist</v>
      </c>
    </row>
    <row r="43" spans="1:16" x14ac:dyDescent="0.25">
      <c r="A43" s="4">
        <v>42</v>
      </c>
      <c r="B43" s="4">
        <v>0.33329999999999999</v>
      </c>
      <c r="C43" s="4">
        <v>0.46</v>
      </c>
      <c r="D43" s="4">
        <v>0.32840000000000003</v>
      </c>
      <c r="E43" s="4">
        <v>10</v>
      </c>
      <c r="F43" s="4">
        <v>43</v>
      </c>
      <c r="G43" s="4">
        <v>53</v>
      </c>
      <c r="H43" s="5">
        <v>40545</v>
      </c>
      <c r="I43" s="4">
        <v>1</v>
      </c>
      <c r="J43" s="4">
        <v>18</v>
      </c>
      <c r="K43" s="4" t="b">
        <f>IF(Append1[[#This Row],[days]]="working day",FALSE,TRUE)</f>
        <v>1</v>
      </c>
      <c r="L43" s="4">
        <v>0</v>
      </c>
      <c r="M43" s="4">
        <v>2</v>
      </c>
      <c r="N43" s="6">
        <v>0.36</v>
      </c>
      <c r="O43" s="2" t="str">
        <f>IF(Append1[[#This Row],[weekday]]=0,"holiday",IF(AND(Append1[[#This Row],[weekday]]&gt;1,Append1[[#This Row],[weekday]]&lt;7),"working day","weekend"))</f>
        <v>holiday</v>
      </c>
      <c r="P43" s="4" t="str">
        <f>IF(Append1[[#This Row],[weathersit]]=0,"sunny",IF(Append1[[#This Row],[weathersit]]=1,"mist",IF(Append1[[#This Row],[weathersit]]=2,"lightrain","extremerain")))</f>
        <v>lightrain</v>
      </c>
    </row>
    <row r="44" spans="1:16" x14ac:dyDescent="0.25">
      <c r="A44" s="4">
        <v>43</v>
      </c>
      <c r="B44" s="4">
        <v>0.28789999999999999</v>
      </c>
      <c r="C44" s="4">
        <v>0.42</v>
      </c>
      <c r="D44" s="4">
        <v>0.44779999999999998</v>
      </c>
      <c r="E44" s="4">
        <v>1</v>
      </c>
      <c r="F44" s="4">
        <v>29</v>
      </c>
      <c r="G44" s="4">
        <v>30</v>
      </c>
      <c r="H44" s="5">
        <v>40545</v>
      </c>
      <c r="I44" s="4">
        <v>1</v>
      </c>
      <c r="J44" s="4">
        <v>19</v>
      </c>
      <c r="K44" s="4" t="b">
        <f>IF(Append1[[#This Row],[days]]="working day",FALSE,TRUE)</f>
        <v>1</v>
      </c>
      <c r="L44" s="4">
        <v>0</v>
      </c>
      <c r="M44" s="4">
        <v>1</v>
      </c>
      <c r="N44" s="6">
        <v>0.32</v>
      </c>
      <c r="O44" s="2" t="str">
        <f>IF(Append1[[#This Row],[weekday]]=0,"holiday",IF(AND(Append1[[#This Row],[weekday]]&gt;1,Append1[[#This Row],[weekday]]&lt;7),"working day","weekend"))</f>
        <v>holiday</v>
      </c>
      <c r="P44" s="4" t="str">
        <f>IF(Append1[[#This Row],[weathersit]]=0,"sunny",IF(Append1[[#This Row],[weathersit]]=1,"mist",IF(Append1[[#This Row],[weathersit]]=2,"lightrain","extremerain")))</f>
        <v>mist</v>
      </c>
    </row>
    <row r="45" spans="1:16" x14ac:dyDescent="0.25">
      <c r="A45" s="4">
        <v>44</v>
      </c>
      <c r="B45" s="4"/>
      <c r="C45" s="4">
        <v>0.39</v>
      </c>
      <c r="D45" s="4">
        <v>0.35820000000000002</v>
      </c>
      <c r="E45" s="4">
        <v>5</v>
      </c>
      <c r="F45" s="4">
        <v>17</v>
      </c>
      <c r="G45" s="4">
        <v>22</v>
      </c>
      <c r="H45" s="5">
        <v>40545</v>
      </c>
      <c r="I45" s="4">
        <v>1</v>
      </c>
      <c r="J45" s="4">
        <v>20</v>
      </c>
      <c r="K45" s="4" t="b">
        <f>IF(Append1[[#This Row],[days]]="working day",FALSE,TRUE)</f>
        <v>1</v>
      </c>
      <c r="L45" s="4">
        <v>0</v>
      </c>
      <c r="M45" s="4">
        <v>1</v>
      </c>
      <c r="N45" s="6">
        <v>0.3</v>
      </c>
      <c r="O45" s="2" t="str">
        <f>IF(Append1[[#This Row],[weekday]]=0,"holiday",IF(AND(Append1[[#This Row],[weekday]]&gt;1,Append1[[#This Row],[weekday]]&lt;7),"working day","weekend"))</f>
        <v>holiday</v>
      </c>
      <c r="P45" s="4" t="str">
        <f>IF(Append1[[#This Row],[weathersit]]=0,"sunny",IF(Append1[[#This Row],[weathersit]]=1,"mist",IF(Append1[[#This Row],[weathersit]]=2,"lightrain","extremerain")))</f>
        <v>mist</v>
      </c>
    </row>
    <row r="46" spans="1:16" x14ac:dyDescent="0.25">
      <c r="A46" s="4">
        <v>45</v>
      </c>
      <c r="B46" s="4">
        <v>0.2273</v>
      </c>
      <c r="C46" s="4">
        <v>0.44</v>
      </c>
      <c r="D46" s="4">
        <v>0.32840000000000003</v>
      </c>
      <c r="E46" s="4">
        <v>11</v>
      </c>
      <c r="F46" s="4">
        <v>20</v>
      </c>
      <c r="G46" s="4">
        <v>31</v>
      </c>
      <c r="H46" s="5">
        <v>40545</v>
      </c>
      <c r="I46" s="4">
        <v>1</v>
      </c>
      <c r="J46" s="4">
        <v>21</v>
      </c>
      <c r="K46" s="4" t="b">
        <f>IF(Append1[[#This Row],[days]]="working day",FALSE,TRUE)</f>
        <v>1</v>
      </c>
      <c r="L46" s="4">
        <v>0</v>
      </c>
      <c r="M46" s="4">
        <v>1</v>
      </c>
      <c r="N46" s="6">
        <v>0.26</v>
      </c>
      <c r="O46" s="2" t="str">
        <f>IF(Append1[[#This Row],[weekday]]=0,"holiday",IF(AND(Append1[[#This Row],[weekday]]&gt;1,Append1[[#This Row],[weekday]]&lt;7),"working day","weekend"))</f>
        <v>holiday</v>
      </c>
      <c r="P46" s="4" t="str">
        <f>IF(Append1[[#This Row],[weathersit]]=0,"sunny",IF(Append1[[#This Row],[weathersit]]=1,"mist",IF(Append1[[#This Row],[weathersit]]=2,"lightrain","extremerain")))</f>
        <v>mist</v>
      </c>
    </row>
    <row r="47" spans="1:16" x14ac:dyDescent="0.25">
      <c r="A47" s="4">
        <v>46</v>
      </c>
      <c r="B47" s="4">
        <v>0.21210000000000001</v>
      </c>
      <c r="C47" s="4">
        <v>0.44</v>
      </c>
      <c r="D47" s="4">
        <v>0.29849999999999999</v>
      </c>
      <c r="E47" s="4">
        <v>0</v>
      </c>
      <c r="F47" s="4">
        <v>9</v>
      </c>
      <c r="G47" s="4">
        <v>9</v>
      </c>
      <c r="H47" s="5">
        <v>40545</v>
      </c>
      <c r="I47" s="4">
        <v>1</v>
      </c>
      <c r="J47" s="4">
        <v>22</v>
      </c>
      <c r="K47" s="4" t="b">
        <f>IF(Append1[[#This Row],[days]]="working day",FALSE,TRUE)</f>
        <v>1</v>
      </c>
      <c r="L47" s="4">
        <v>0</v>
      </c>
      <c r="M47" s="4">
        <v>1</v>
      </c>
      <c r="N47" s="6">
        <v>0.24</v>
      </c>
      <c r="O47" s="2" t="str">
        <f>IF(Append1[[#This Row],[weekday]]=0,"holiday",IF(AND(Append1[[#This Row],[weekday]]&gt;1,Append1[[#This Row],[weekday]]&lt;7),"working day","weekend"))</f>
        <v>holiday</v>
      </c>
      <c r="P47" s="4" t="str">
        <f>IF(Append1[[#This Row],[weathersit]]=0,"sunny",IF(Append1[[#This Row],[weathersit]]=1,"mist",IF(Append1[[#This Row],[weathersit]]=2,"lightrain","extremerain")))</f>
        <v>mist</v>
      </c>
    </row>
    <row r="48" spans="1:16" x14ac:dyDescent="0.25">
      <c r="A48" s="4">
        <v>47</v>
      </c>
      <c r="B48" s="4">
        <v>0.2273</v>
      </c>
      <c r="C48" s="4">
        <v>0.47</v>
      </c>
      <c r="D48" s="4">
        <v>0.16420000000000001</v>
      </c>
      <c r="E48" s="4">
        <v>0</v>
      </c>
      <c r="F48" s="4">
        <v>8</v>
      </c>
      <c r="G48" s="4">
        <v>8</v>
      </c>
      <c r="H48" s="5">
        <v>40545</v>
      </c>
      <c r="I48" s="4">
        <v>1</v>
      </c>
      <c r="J48" s="4">
        <v>23</v>
      </c>
      <c r="K48" s="4" t="b">
        <f>IF(Append1[[#This Row],[days]]="working day",FALSE,TRUE)</f>
        <v>1</v>
      </c>
      <c r="L48" s="4">
        <v>0</v>
      </c>
      <c r="M48" s="4">
        <v>1</v>
      </c>
      <c r="N48" s="6">
        <v>0.22</v>
      </c>
      <c r="O48" s="2" t="str">
        <f>IF(Append1[[#This Row],[weekday]]=0,"holiday",IF(AND(Append1[[#This Row],[weekday]]&gt;1,Append1[[#This Row],[weekday]]&lt;7),"working day","weekend"))</f>
        <v>holiday</v>
      </c>
      <c r="P48" s="4" t="str">
        <f>IF(Append1[[#This Row],[weathersit]]=0,"sunny",IF(Append1[[#This Row],[weathersit]]=1,"mist",IF(Append1[[#This Row],[weathersit]]=2,"lightrain","extremerain")))</f>
        <v>mist</v>
      </c>
    </row>
    <row r="49" spans="1:16" x14ac:dyDescent="0.25">
      <c r="A49" s="4">
        <v>48</v>
      </c>
      <c r="B49" s="4">
        <v>0.19700000000000001</v>
      </c>
      <c r="C49" s="4">
        <v>0.44</v>
      </c>
      <c r="D49" s="4">
        <v>0.35820000000000002</v>
      </c>
      <c r="E49" s="4">
        <v>0</v>
      </c>
      <c r="F49" s="4">
        <v>5</v>
      </c>
      <c r="G49" s="4">
        <v>5</v>
      </c>
      <c r="H49" s="5">
        <v>40546</v>
      </c>
      <c r="I49" s="4">
        <v>1</v>
      </c>
      <c r="J49" s="4">
        <v>0</v>
      </c>
      <c r="K49" s="4" t="b">
        <f>IF(Append1[[#This Row],[days]]="working day",FALSE,TRUE)</f>
        <v>1</v>
      </c>
      <c r="L49" s="4">
        <v>1</v>
      </c>
      <c r="M49" s="4">
        <v>1</v>
      </c>
      <c r="N49" s="6">
        <v>0.22</v>
      </c>
      <c r="O49" s="2" t="str">
        <f>IF(Append1[[#This Row],[weekday]]=0,"holiday",IF(AND(Append1[[#This Row],[weekday]]&gt;1,Append1[[#This Row],[weekday]]&lt;7),"working day","weekend"))</f>
        <v>weekend</v>
      </c>
      <c r="P49" s="4" t="str">
        <f>IF(Append1[[#This Row],[weathersit]]=0,"sunny",IF(Append1[[#This Row],[weathersit]]=1,"mist",IF(Append1[[#This Row],[weathersit]]=2,"lightrain","extremerain")))</f>
        <v>mist</v>
      </c>
    </row>
    <row r="50" spans="1:16" x14ac:dyDescent="0.25">
      <c r="A50" s="4">
        <v>49</v>
      </c>
      <c r="B50" s="4"/>
      <c r="C50" s="4">
        <v>0.44</v>
      </c>
      <c r="D50" s="4">
        <v>0.41789999999999999</v>
      </c>
      <c r="E50" s="4">
        <v>0</v>
      </c>
      <c r="F50" s="4">
        <v>2</v>
      </c>
      <c r="G50" s="4">
        <v>2</v>
      </c>
      <c r="H50" s="5">
        <v>40546</v>
      </c>
      <c r="I50" s="4">
        <v>1</v>
      </c>
      <c r="J50" s="4">
        <v>1</v>
      </c>
      <c r="K50" s="4" t="b">
        <f>IF(Append1[[#This Row],[days]]="working day",FALSE,TRUE)</f>
        <v>1</v>
      </c>
      <c r="L50" s="4">
        <v>1</v>
      </c>
      <c r="M50" s="4">
        <v>1</v>
      </c>
      <c r="N50" s="6">
        <v>0.2</v>
      </c>
      <c r="O50" s="2" t="str">
        <f>IF(Append1[[#This Row],[weekday]]=0,"holiday",IF(AND(Append1[[#This Row],[weekday]]&gt;1,Append1[[#This Row],[weekday]]&lt;7),"working day","weekend"))</f>
        <v>weekend</v>
      </c>
      <c r="P50" s="4" t="str">
        <f>IF(Append1[[#This Row],[weathersit]]=0,"sunny",IF(Append1[[#This Row],[weathersit]]=1,"mist",IF(Append1[[#This Row],[weathersit]]=2,"lightrain","extremerain")))</f>
        <v>mist</v>
      </c>
    </row>
    <row r="51" spans="1:16" x14ac:dyDescent="0.25">
      <c r="A51" s="4">
        <v>50</v>
      </c>
      <c r="B51" s="4">
        <v>0.13639999999999999</v>
      </c>
      <c r="C51" s="4">
        <v>0.47</v>
      </c>
      <c r="D51" s="4">
        <v>0.3881</v>
      </c>
      <c r="E51" s="4">
        <v>0</v>
      </c>
      <c r="F51" s="4">
        <v>1</v>
      </c>
      <c r="G51" s="4">
        <v>1</v>
      </c>
      <c r="H51" s="5">
        <v>40546</v>
      </c>
      <c r="I51" s="4">
        <v>1</v>
      </c>
      <c r="J51" s="4">
        <v>4</v>
      </c>
      <c r="K51" s="4" t="b">
        <f>IF(Append1[[#This Row],[days]]="working day",FALSE,TRUE)</f>
        <v>1</v>
      </c>
      <c r="L51" s="4">
        <v>1</v>
      </c>
      <c r="M51" s="4">
        <v>1</v>
      </c>
      <c r="N51" s="6">
        <v>0.16</v>
      </c>
      <c r="O51" s="2" t="str">
        <f>IF(Append1[[#This Row],[weekday]]=0,"holiday",IF(AND(Append1[[#This Row],[weekday]]&gt;1,Append1[[#This Row],[weekday]]&lt;7),"working day","weekend"))</f>
        <v>weekend</v>
      </c>
      <c r="P51" s="4" t="str">
        <f>IF(Append1[[#This Row],[weathersit]]=0,"sunny",IF(Append1[[#This Row],[weathersit]]=1,"mist",IF(Append1[[#This Row],[weathersit]]=2,"lightrain","extremerain")))</f>
        <v>mist</v>
      </c>
    </row>
    <row r="52" spans="1:16" x14ac:dyDescent="0.25">
      <c r="A52" s="4">
        <v>51</v>
      </c>
      <c r="B52" s="4">
        <v>0.13639999999999999</v>
      </c>
      <c r="C52" s="4">
        <v>0.47</v>
      </c>
      <c r="D52" s="4">
        <v>0.28360000000000002</v>
      </c>
      <c r="E52" s="4">
        <v>0</v>
      </c>
      <c r="F52" s="4">
        <v>3</v>
      </c>
      <c r="G52" s="4">
        <v>3</v>
      </c>
      <c r="H52" s="5">
        <v>40546</v>
      </c>
      <c r="I52" s="4">
        <v>1</v>
      </c>
      <c r="J52" s="4">
        <v>5</v>
      </c>
      <c r="K52" s="4" t="b">
        <f>IF(Append1[[#This Row],[days]]="working day",FALSE,TRUE)</f>
        <v>1</v>
      </c>
      <c r="L52" s="4">
        <v>1</v>
      </c>
      <c r="M52" s="4">
        <v>1</v>
      </c>
      <c r="N52" s="6">
        <v>0.16</v>
      </c>
      <c r="O52" s="2" t="str">
        <f>IF(Append1[[#This Row],[weekday]]=0,"holiday",IF(AND(Append1[[#This Row],[weekday]]&gt;1,Append1[[#This Row],[weekday]]&lt;7),"working day","weekend"))</f>
        <v>weekend</v>
      </c>
      <c r="P52" s="4" t="str">
        <f>IF(Append1[[#This Row],[weathersit]]=0,"sunny",IF(Append1[[#This Row],[weathersit]]=1,"mist",IF(Append1[[#This Row],[weathersit]]=2,"lightrain","extremerain")))</f>
        <v>mist</v>
      </c>
    </row>
    <row r="53" spans="1:16" x14ac:dyDescent="0.25">
      <c r="A53" s="4">
        <v>52</v>
      </c>
      <c r="B53" s="4">
        <v>0.1061</v>
      </c>
      <c r="C53" s="4">
        <v>0.5</v>
      </c>
      <c r="D53" s="4">
        <v>0.3881</v>
      </c>
      <c r="E53" s="4">
        <v>0</v>
      </c>
      <c r="F53" s="4">
        <v>30</v>
      </c>
      <c r="G53" s="4">
        <v>30</v>
      </c>
      <c r="H53" s="5">
        <v>40546</v>
      </c>
      <c r="I53" s="4">
        <v>1</v>
      </c>
      <c r="J53" s="4">
        <v>6</v>
      </c>
      <c r="K53" s="4" t="b">
        <f>IF(Append1[[#This Row],[days]]="working day",FALSE,TRUE)</f>
        <v>1</v>
      </c>
      <c r="L53" s="4">
        <v>1</v>
      </c>
      <c r="M53" s="4">
        <v>1</v>
      </c>
      <c r="N53" s="6">
        <v>0.14000000000000001</v>
      </c>
      <c r="O53" s="2" t="str">
        <f>IF(Append1[[#This Row],[weekday]]=0,"holiday",IF(AND(Append1[[#This Row],[weekday]]&gt;1,Append1[[#This Row],[weekday]]&lt;7),"working day","weekend"))</f>
        <v>weekend</v>
      </c>
      <c r="P53" s="4" t="str">
        <f>IF(Append1[[#This Row],[weathersit]]=0,"sunny",IF(Append1[[#This Row],[weathersit]]=1,"mist",IF(Append1[[#This Row],[weathersit]]=2,"lightrain","extremerain")))</f>
        <v>mist</v>
      </c>
    </row>
    <row r="54" spans="1:16" x14ac:dyDescent="0.25">
      <c r="A54" s="4">
        <v>53</v>
      </c>
      <c r="B54" s="4">
        <v>0.13639999999999999</v>
      </c>
      <c r="C54" s="4">
        <v>0.5</v>
      </c>
      <c r="D54" s="4">
        <v>0.19400000000000001</v>
      </c>
      <c r="E54" s="4">
        <v>1</v>
      </c>
      <c r="F54" s="4">
        <v>63</v>
      </c>
      <c r="G54" s="4">
        <v>64</v>
      </c>
      <c r="H54" s="5">
        <v>40546</v>
      </c>
      <c r="I54" s="4">
        <v>1</v>
      </c>
      <c r="J54" s="4">
        <v>7</v>
      </c>
      <c r="K54" s="4" t="b">
        <f>IF(Append1[[#This Row],[days]]="working day",FALSE,TRUE)</f>
        <v>1</v>
      </c>
      <c r="L54" s="4">
        <v>1</v>
      </c>
      <c r="M54" s="4">
        <v>1</v>
      </c>
      <c r="N54" s="6">
        <v>0.14000000000000001</v>
      </c>
      <c r="O54" s="2" t="str">
        <f>IF(Append1[[#This Row],[weekday]]=0,"holiday",IF(AND(Append1[[#This Row],[weekday]]&gt;1,Append1[[#This Row],[weekday]]&lt;7),"working day","weekend"))</f>
        <v>weekend</v>
      </c>
      <c r="P54" s="4" t="str">
        <f>IF(Append1[[#This Row],[weathersit]]=0,"sunny",IF(Append1[[#This Row],[weathersit]]=1,"mist",IF(Append1[[#This Row],[weathersit]]=2,"lightrain","extremerain")))</f>
        <v>mist</v>
      </c>
    </row>
    <row r="55" spans="1:16" x14ac:dyDescent="0.25">
      <c r="A55" s="4">
        <v>54</v>
      </c>
      <c r="B55" s="4">
        <v>0.1212</v>
      </c>
      <c r="C55" s="4">
        <v>0.5</v>
      </c>
      <c r="D55" s="4">
        <v>0.28360000000000002</v>
      </c>
      <c r="E55" s="4">
        <v>1</v>
      </c>
      <c r="F55" s="4">
        <v>153</v>
      </c>
      <c r="G55" s="4">
        <v>154</v>
      </c>
      <c r="H55" s="5">
        <v>40546</v>
      </c>
      <c r="I55" s="4">
        <v>1</v>
      </c>
      <c r="J55" s="4">
        <v>8</v>
      </c>
      <c r="K55" s="4" t="b">
        <f>IF(Append1[[#This Row],[days]]="working day",FALSE,TRUE)</f>
        <v>1</v>
      </c>
      <c r="L55" s="4">
        <v>1</v>
      </c>
      <c r="M55" s="4">
        <v>1</v>
      </c>
      <c r="N55" s="6">
        <v>0.14000000000000001</v>
      </c>
      <c r="O55" s="2" t="str">
        <f>IF(Append1[[#This Row],[weekday]]=0,"holiday",IF(AND(Append1[[#This Row],[weekday]]&gt;1,Append1[[#This Row],[weekday]]&lt;7),"working day","weekend"))</f>
        <v>weekend</v>
      </c>
      <c r="P55" s="4" t="str">
        <f>IF(Append1[[#This Row],[weathersit]]=0,"sunny",IF(Append1[[#This Row],[weathersit]]=1,"mist",IF(Append1[[#This Row],[weathersit]]=2,"lightrain","extremerain")))</f>
        <v>mist</v>
      </c>
    </row>
    <row r="56" spans="1:16" x14ac:dyDescent="0.25">
      <c r="A56" s="4">
        <v>55</v>
      </c>
      <c r="B56" s="4">
        <v>0.13639999999999999</v>
      </c>
      <c r="C56" s="4">
        <v>0.43</v>
      </c>
      <c r="D56" s="4">
        <v>0.3881</v>
      </c>
      <c r="E56" s="4">
        <v>7</v>
      </c>
      <c r="F56" s="4">
        <v>81</v>
      </c>
      <c r="G56" s="4">
        <v>88</v>
      </c>
      <c r="H56" s="5">
        <v>40546</v>
      </c>
      <c r="I56" s="4">
        <v>1</v>
      </c>
      <c r="J56" s="4">
        <v>9</v>
      </c>
      <c r="K56" s="4" t="b">
        <f>IF(Append1[[#This Row],[days]]="working day",FALSE,TRUE)</f>
        <v>1</v>
      </c>
      <c r="L56" s="4">
        <v>1</v>
      </c>
      <c r="M56" s="4">
        <v>1</v>
      </c>
      <c r="N56" s="6">
        <v>0.16</v>
      </c>
      <c r="O56" s="2" t="str">
        <f>IF(Append1[[#This Row],[weekday]]=0,"holiday",IF(AND(Append1[[#This Row],[weekday]]&gt;1,Append1[[#This Row],[weekday]]&lt;7),"working day","weekend"))</f>
        <v>weekend</v>
      </c>
      <c r="P56" s="4" t="str">
        <f>IF(Append1[[#This Row],[weathersit]]=0,"sunny",IF(Append1[[#This Row],[weathersit]]=1,"mist",IF(Append1[[#This Row],[weathersit]]=2,"lightrain","extremerain")))</f>
        <v>mist</v>
      </c>
    </row>
    <row r="57" spans="1:16" x14ac:dyDescent="0.25">
      <c r="A57" s="4">
        <v>56</v>
      </c>
      <c r="B57" s="4">
        <v>0.16669999999999999</v>
      </c>
      <c r="C57" s="4">
        <v>0.43</v>
      </c>
      <c r="D57" s="4">
        <v>0.25369999999999998</v>
      </c>
      <c r="E57" s="4">
        <v>11</v>
      </c>
      <c r="F57" s="4">
        <v>33</v>
      </c>
      <c r="G57" s="4">
        <v>44</v>
      </c>
      <c r="H57" s="5">
        <v>40546</v>
      </c>
      <c r="I57" s="4">
        <v>1</v>
      </c>
      <c r="J57" s="4">
        <v>10</v>
      </c>
      <c r="K57" s="4" t="b">
        <f>IF(Append1[[#This Row],[days]]="working day",FALSE,TRUE)</f>
        <v>1</v>
      </c>
      <c r="L57" s="4">
        <v>1</v>
      </c>
      <c r="M57" s="4">
        <v>1</v>
      </c>
      <c r="N57" s="6">
        <v>0.18</v>
      </c>
      <c r="O57" s="2" t="str">
        <f>IF(Append1[[#This Row],[weekday]]=0,"holiday",IF(AND(Append1[[#This Row],[weekday]]&gt;1,Append1[[#This Row],[weekday]]&lt;7),"working day","weekend"))</f>
        <v>weekend</v>
      </c>
      <c r="P57" s="4" t="str">
        <f>IF(Append1[[#This Row],[weathersit]]=0,"sunny",IF(Append1[[#This Row],[weathersit]]=1,"mist",IF(Append1[[#This Row],[weathersit]]=2,"lightrain","extremerain")))</f>
        <v>mist</v>
      </c>
    </row>
    <row r="58" spans="1:16" x14ac:dyDescent="0.25">
      <c r="A58" s="4">
        <v>57</v>
      </c>
      <c r="B58" s="4">
        <v>0.18179999999999999</v>
      </c>
      <c r="C58" s="4">
        <v>0.4</v>
      </c>
      <c r="D58" s="4">
        <v>0.32840000000000003</v>
      </c>
      <c r="E58" s="4">
        <v>10</v>
      </c>
      <c r="F58" s="4">
        <v>41</v>
      </c>
      <c r="G58" s="4">
        <v>51</v>
      </c>
      <c r="H58" s="5">
        <v>40546</v>
      </c>
      <c r="I58" s="4">
        <v>1</v>
      </c>
      <c r="J58" s="4">
        <v>11</v>
      </c>
      <c r="K58" s="4" t="b">
        <f>IF(Append1[[#This Row],[days]]="working day",FALSE,TRUE)</f>
        <v>1</v>
      </c>
      <c r="L58" s="4">
        <v>1</v>
      </c>
      <c r="M58" s="4">
        <v>1</v>
      </c>
      <c r="N58" s="6">
        <v>0.2</v>
      </c>
      <c r="O58" s="2" t="str">
        <f>IF(Append1[[#This Row],[weekday]]=0,"holiday",IF(AND(Append1[[#This Row],[weekday]]&gt;1,Append1[[#This Row],[weekday]]&lt;7),"working day","weekend"))</f>
        <v>weekend</v>
      </c>
      <c r="P58" s="4" t="str">
        <f>IF(Append1[[#This Row],[weathersit]]=0,"sunny",IF(Append1[[#This Row],[weathersit]]=1,"mist",IF(Append1[[#This Row],[weathersit]]=2,"lightrain","extremerain")))</f>
        <v>mist</v>
      </c>
    </row>
    <row r="59" spans="1:16" x14ac:dyDescent="0.25">
      <c r="A59" s="4">
        <v>58</v>
      </c>
      <c r="B59" s="4">
        <v>0.21210000000000001</v>
      </c>
      <c r="C59" s="4">
        <v>0.35</v>
      </c>
      <c r="D59" s="4">
        <v>0.29849999999999999</v>
      </c>
      <c r="E59" s="4">
        <v>13</v>
      </c>
      <c r="F59" s="4">
        <v>48</v>
      </c>
      <c r="G59" s="4">
        <v>61</v>
      </c>
      <c r="H59" s="5">
        <v>40546</v>
      </c>
      <c r="I59" s="4">
        <v>1</v>
      </c>
      <c r="J59" s="4">
        <v>12</v>
      </c>
      <c r="K59" s="4" t="b">
        <f>IF(Append1[[#This Row],[days]]="working day",FALSE,TRUE)</f>
        <v>1</v>
      </c>
      <c r="L59" s="4">
        <v>1</v>
      </c>
      <c r="M59" s="4">
        <v>1</v>
      </c>
      <c r="N59" s="6">
        <v>0.22</v>
      </c>
      <c r="O59" s="2" t="str">
        <f>IF(Append1[[#This Row],[weekday]]=0,"holiday",IF(AND(Append1[[#This Row],[weekday]]&gt;1,Append1[[#This Row],[weekday]]&lt;7),"working day","weekend"))</f>
        <v>weekend</v>
      </c>
      <c r="P59" s="4" t="str">
        <f>IF(Append1[[#This Row],[weathersit]]=0,"sunny",IF(Append1[[#This Row],[weathersit]]=1,"mist",IF(Append1[[#This Row],[weathersit]]=2,"lightrain","extremerain")))</f>
        <v>mist</v>
      </c>
    </row>
    <row r="60" spans="1:16" x14ac:dyDescent="0.25">
      <c r="A60" s="4">
        <v>59</v>
      </c>
      <c r="B60" s="4"/>
      <c r="C60" s="4">
        <v>0.35</v>
      </c>
      <c r="D60" s="4">
        <v>0.28360000000000002</v>
      </c>
      <c r="E60" s="4">
        <v>8</v>
      </c>
      <c r="F60" s="4">
        <v>53</v>
      </c>
      <c r="G60" s="4">
        <v>61</v>
      </c>
      <c r="H60" s="5">
        <v>40546</v>
      </c>
      <c r="I60" s="4">
        <v>1</v>
      </c>
      <c r="J60" s="4">
        <v>13</v>
      </c>
      <c r="K60" s="4" t="b">
        <f>IF(Append1[[#This Row],[days]]="working day",FALSE,TRUE)</f>
        <v>1</v>
      </c>
      <c r="L60" s="4">
        <v>1</v>
      </c>
      <c r="M60" s="4">
        <v>1</v>
      </c>
      <c r="N60" s="6">
        <v>0.24</v>
      </c>
      <c r="O60" s="2" t="str">
        <f>IF(Append1[[#This Row],[weekday]]=0,"holiday",IF(AND(Append1[[#This Row],[weekday]]&gt;1,Append1[[#This Row],[weekday]]&lt;7),"working day","weekend"))</f>
        <v>weekend</v>
      </c>
      <c r="P60" s="4" t="str">
        <f>IF(Append1[[#This Row],[weathersit]]=0,"sunny",IF(Append1[[#This Row],[weathersit]]=1,"mist",IF(Append1[[#This Row],[weathersit]]=2,"lightrain","extremerain")))</f>
        <v>mist</v>
      </c>
    </row>
    <row r="61" spans="1:16" x14ac:dyDescent="0.25">
      <c r="A61" s="4">
        <v>60</v>
      </c>
      <c r="B61" s="4">
        <v>0.2424</v>
      </c>
      <c r="C61" s="4">
        <v>0.3</v>
      </c>
      <c r="D61" s="4">
        <v>0.28360000000000002</v>
      </c>
      <c r="E61" s="4">
        <v>11</v>
      </c>
      <c r="F61" s="4">
        <v>66</v>
      </c>
      <c r="G61" s="4">
        <v>77</v>
      </c>
      <c r="H61" s="5">
        <v>40546</v>
      </c>
      <c r="I61" s="4">
        <v>1</v>
      </c>
      <c r="J61" s="4">
        <v>14</v>
      </c>
      <c r="K61" s="4" t="b">
        <f>IF(Append1[[#This Row],[days]]="working day",FALSE,TRUE)</f>
        <v>1</v>
      </c>
      <c r="L61" s="4">
        <v>1</v>
      </c>
      <c r="M61" s="4">
        <v>1</v>
      </c>
      <c r="N61" s="6">
        <v>0.26</v>
      </c>
      <c r="O61" s="2" t="str">
        <f>IF(Append1[[#This Row],[weekday]]=0,"holiday",IF(AND(Append1[[#This Row],[weekday]]&gt;1,Append1[[#This Row],[weekday]]&lt;7),"working day","weekend"))</f>
        <v>weekend</v>
      </c>
      <c r="P61" s="4" t="str">
        <f>IF(Append1[[#This Row],[weathersit]]=0,"sunny",IF(Append1[[#This Row],[weathersit]]=1,"mist",IF(Append1[[#This Row],[weathersit]]=2,"lightrain","extremerain")))</f>
        <v>mist</v>
      </c>
    </row>
    <row r="62" spans="1:16" x14ac:dyDescent="0.25">
      <c r="A62" s="4">
        <v>61</v>
      </c>
      <c r="B62" s="4">
        <v>0.2424</v>
      </c>
      <c r="C62" s="4">
        <v>0.3</v>
      </c>
      <c r="D62" s="4">
        <v>0.25369999999999998</v>
      </c>
      <c r="E62" s="4">
        <v>14</v>
      </c>
      <c r="F62" s="4">
        <v>58</v>
      </c>
      <c r="G62" s="4">
        <v>72</v>
      </c>
      <c r="H62" s="5">
        <v>40546</v>
      </c>
      <c r="I62" s="4">
        <v>1</v>
      </c>
      <c r="J62" s="4">
        <v>15</v>
      </c>
      <c r="K62" s="4" t="b">
        <f>IF(Append1[[#This Row],[days]]="working day",FALSE,TRUE)</f>
        <v>1</v>
      </c>
      <c r="L62" s="4">
        <v>1</v>
      </c>
      <c r="M62" s="4">
        <v>1</v>
      </c>
      <c r="N62" s="6">
        <v>0.26</v>
      </c>
      <c r="O62" s="2" t="str">
        <f>IF(Append1[[#This Row],[weekday]]=0,"holiday",IF(AND(Append1[[#This Row],[weekday]]&gt;1,Append1[[#This Row],[weekday]]&lt;7),"working day","weekend"))</f>
        <v>weekend</v>
      </c>
      <c r="P62" s="4" t="str">
        <f>IF(Append1[[#This Row],[weathersit]]=0,"sunny",IF(Append1[[#This Row],[weathersit]]=1,"mist",IF(Append1[[#This Row],[weathersit]]=2,"lightrain","extremerain")))</f>
        <v>mist</v>
      </c>
    </row>
    <row r="63" spans="1:16" x14ac:dyDescent="0.25">
      <c r="A63" s="4">
        <v>62</v>
      </c>
      <c r="B63" s="4">
        <v>0.2424</v>
      </c>
      <c r="C63" s="4">
        <v>0.3</v>
      </c>
      <c r="D63" s="4">
        <v>0.25369999999999998</v>
      </c>
      <c r="E63" s="4">
        <v>9</v>
      </c>
      <c r="F63" s="4">
        <v>67</v>
      </c>
      <c r="G63" s="4">
        <v>76</v>
      </c>
      <c r="H63" s="5">
        <v>40546</v>
      </c>
      <c r="I63" s="4">
        <v>1</v>
      </c>
      <c r="J63" s="4">
        <v>16</v>
      </c>
      <c r="K63" s="4" t="b">
        <f>IF(Append1[[#This Row],[days]]="working day",FALSE,TRUE)</f>
        <v>1</v>
      </c>
      <c r="L63" s="4">
        <v>1</v>
      </c>
      <c r="M63" s="4">
        <v>1</v>
      </c>
      <c r="N63" s="6">
        <v>0.26</v>
      </c>
      <c r="O63" s="2" t="str">
        <f>IF(Append1[[#This Row],[weekday]]=0,"holiday",IF(AND(Append1[[#This Row],[weekday]]&gt;1,Append1[[#This Row],[weekday]]&lt;7),"working day","weekend"))</f>
        <v>weekend</v>
      </c>
      <c r="P63" s="4" t="str">
        <f>IF(Append1[[#This Row],[weathersit]]=0,"sunny",IF(Append1[[#This Row],[weathersit]]=1,"mist",IF(Append1[[#This Row],[weathersit]]=2,"lightrain","extremerain")))</f>
        <v>mist</v>
      </c>
    </row>
    <row r="64" spans="1:16" x14ac:dyDescent="0.25">
      <c r="A64" s="4">
        <v>63</v>
      </c>
      <c r="B64" s="4">
        <v>0.2273</v>
      </c>
      <c r="C64" s="4">
        <v>0.3</v>
      </c>
      <c r="D64" s="4">
        <v>0.22389999999999999</v>
      </c>
      <c r="E64" s="4">
        <v>11</v>
      </c>
      <c r="F64" s="4">
        <v>146</v>
      </c>
      <c r="G64" s="4">
        <v>157</v>
      </c>
      <c r="H64" s="5">
        <v>40546</v>
      </c>
      <c r="I64" s="4">
        <v>1</v>
      </c>
      <c r="J64" s="4">
        <v>17</v>
      </c>
      <c r="K64" s="4" t="b">
        <f>IF(Append1[[#This Row],[days]]="working day",FALSE,TRUE)</f>
        <v>1</v>
      </c>
      <c r="L64" s="4">
        <v>1</v>
      </c>
      <c r="M64" s="4">
        <v>1</v>
      </c>
      <c r="N64" s="6">
        <v>0.24</v>
      </c>
      <c r="O64" s="2" t="str">
        <f>IF(Append1[[#This Row],[weekday]]=0,"holiday",IF(AND(Append1[[#This Row],[weekday]]&gt;1,Append1[[#This Row],[weekday]]&lt;7),"working day","weekend"))</f>
        <v>weekend</v>
      </c>
      <c r="P64" s="4" t="str">
        <f>IF(Append1[[#This Row],[weathersit]]=0,"sunny",IF(Append1[[#This Row],[weathersit]]=1,"mist",IF(Append1[[#This Row],[weathersit]]=2,"lightrain","extremerain")))</f>
        <v>mist</v>
      </c>
    </row>
    <row r="65" spans="1:16" x14ac:dyDescent="0.25">
      <c r="A65" s="4">
        <v>64</v>
      </c>
      <c r="B65" s="4">
        <v>0.2576</v>
      </c>
      <c r="C65" s="4">
        <v>0.32</v>
      </c>
      <c r="D65" s="4">
        <v>0.1045</v>
      </c>
      <c r="E65" s="4">
        <v>9</v>
      </c>
      <c r="F65" s="4">
        <v>148</v>
      </c>
      <c r="G65" s="4">
        <v>157</v>
      </c>
      <c r="H65" s="5">
        <v>40546</v>
      </c>
      <c r="I65" s="4">
        <v>1</v>
      </c>
      <c r="J65" s="4">
        <v>18</v>
      </c>
      <c r="K65" s="4" t="b">
        <f>IF(Append1[[#This Row],[days]]="working day",FALSE,TRUE)</f>
        <v>1</v>
      </c>
      <c r="L65" s="4">
        <v>1</v>
      </c>
      <c r="M65" s="4">
        <v>1</v>
      </c>
      <c r="N65" s="6">
        <v>0.24</v>
      </c>
      <c r="O65" s="2" t="str">
        <f>IF(Append1[[#This Row],[weekday]]=0,"holiday",IF(AND(Append1[[#This Row],[weekday]]&gt;1,Append1[[#This Row],[weekday]]&lt;7),"working day","weekend"))</f>
        <v>weekend</v>
      </c>
      <c r="P65" s="4" t="str">
        <f>IF(Append1[[#This Row],[weathersit]]=0,"sunny",IF(Append1[[#This Row],[weathersit]]=1,"mist",IF(Append1[[#This Row],[weathersit]]=2,"lightrain","extremerain")))</f>
        <v>mist</v>
      </c>
    </row>
    <row r="66" spans="1:16" x14ac:dyDescent="0.25">
      <c r="A66" s="4">
        <v>65</v>
      </c>
      <c r="B66" s="4">
        <v>0.2576</v>
      </c>
      <c r="C66" s="4">
        <v>0.47</v>
      </c>
      <c r="D66" s="4">
        <v>0</v>
      </c>
      <c r="E66" s="4">
        <v>8</v>
      </c>
      <c r="F66" s="4">
        <v>102</v>
      </c>
      <c r="G66" s="4">
        <v>110</v>
      </c>
      <c r="H66" s="5">
        <v>40546</v>
      </c>
      <c r="I66" s="4">
        <v>1</v>
      </c>
      <c r="J66" s="4">
        <v>19</v>
      </c>
      <c r="K66" s="4" t="b">
        <f>IF(Append1[[#This Row],[days]]="working day",FALSE,TRUE)</f>
        <v>1</v>
      </c>
      <c r="L66" s="4">
        <v>1</v>
      </c>
      <c r="M66" s="4">
        <v>1</v>
      </c>
      <c r="N66" s="6">
        <v>0.2</v>
      </c>
      <c r="O66" s="2" t="str">
        <f>IF(Append1[[#This Row],[weekday]]=0,"holiday",IF(AND(Append1[[#This Row],[weekday]]&gt;1,Append1[[#This Row],[weekday]]&lt;7),"working day","weekend"))</f>
        <v>weekend</v>
      </c>
      <c r="P66" s="4" t="str">
        <f>IF(Append1[[#This Row],[weathersit]]=0,"sunny",IF(Append1[[#This Row],[weathersit]]=1,"mist",IF(Append1[[#This Row],[weathersit]]=2,"lightrain","extremerain")))</f>
        <v>mist</v>
      </c>
    </row>
    <row r="67" spans="1:16" x14ac:dyDescent="0.25">
      <c r="A67" s="4">
        <v>66</v>
      </c>
      <c r="B67" s="4"/>
      <c r="C67" s="4">
        <v>0.47</v>
      </c>
      <c r="D67" s="4">
        <v>0.1045</v>
      </c>
      <c r="E67" s="4">
        <v>3</v>
      </c>
      <c r="F67" s="4">
        <v>49</v>
      </c>
      <c r="G67" s="4">
        <v>52</v>
      </c>
      <c r="H67" s="5">
        <v>40546</v>
      </c>
      <c r="I67" s="4">
        <v>1</v>
      </c>
      <c r="J67" s="4">
        <v>20</v>
      </c>
      <c r="K67" s="4" t="b">
        <f>IF(Append1[[#This Row],[days]]="working day",FALSE,TRUE)</f>
        <v>1</v>
      </c>
      <c r="L67" s="4">
        <v>1</v>
      </c>
      <c r="M67" s="4">
        <v>1</v>
      </c>
      <c r="N67" s="6">
        <v>0.2</v>
      </c>
      <c r="O67" s="2" t="str">
        <f>IF(Append1[[#This Row],[weekday]]=0,"holiday",IF(AND(Append1[[#This Row],[weekday]]&gt;1,Append1[[#This Row],[weekday]]&lt;7),"working day","weekend"))</f>
        <v>weekend</v>
      </c>
      <c r="P67" s="4" t="str">
        <f>IF(Append1[[#This Row],[weathersit]]=0,"sunny",IF(Append1[[#This Row],[weathersit]]=1,"mist",IF(Append1[[#This Row],[weathersit]]=2,"lightrain","extremerain")))</f>
        <v>mist</v>
      </c>
    </row>
    <row r="68" spans="1:16" x14ac:dyDescent="0.25">
      <c r="A68" s="4">
        <v>67</v>
      </c>
      <c r="B68" s="4">
        <v>0.19700000000000001</v>
      </c>
      <c r="C68" s="4">
        <v>0.64</v>
      </c>
      <c r="D68" s="4">
        <v>0.1343</v>
      </c>
      <c r="E68" s="4">
        <v>3</v>
      </c>
      <c r="F68" s="4">
        <v>49</v>
      </c>
      <c r="G68" s="4">
        <v>52</v>
      </c>
      <c r="H68" s="5">
        <v>40546</v>
      </c>
      <c r="I68" s="4">
        <v>1</v>
      </c>
      <c r="J68" s="4">
        <v>21</v>
      </c>
      <c r="K68" s="4" t="b">
        <f>IF(Append1[[#This Row],[days]]="working day",FALSE,TRUE)</f>
        <v>1</v>
      </c>
      <c r="L68" s="4">
        <v>1</v>
      </c>
      <c r="M68" s="4">
        <v>1</v>
      </c>
      <c r="N68" s="6">
        <v>0.18</v>
      </c>
      <c r="O68" s="2" t="str">
        <f>IF(Append1[[#This Row],[weekday]]=0,"holiday",IF(AND(Append1[[#This Row],[weekday]]&gt;1,Append1[[#This Row],[weekday]]&lt;7),"working day","weekend"))</f>
        <v>weekend</v>
      </c>
      <c r="P68" s="4" t="str">
        <f>IF(Append1[[#This Row],[weathersit]]=0,"sunny",IF(Append1[[#This Row],[weathersit]]=1,"mist",IF(Append1[[#This Row],[weathersit]]=2,"lightrain","extremerain")))</f>
        <v>mist</v>
      </c>
    </row>
    <row r="69" spans="1:16" x14ac:dyDescent="0.25">
      <c r="A69" s="4">
        <v>68</v>
      </c>
      <c r="B69" s="4">
        <v>0.1515</v>
      </c>
      <c r="C69" s="4">
        <v>0.69</v>
      </c>
      <c r="D69" s="4">
        <v>0.1343</v>
      </c>
      <c r="E69" s="4">
        <v>0</v>
      </c>
      <c r="F69" s="4">
        <v>20</v>
      </c>
      <c r="G69" s="4">
        <v>20</v>
      </c>
      <c r="H69" s="5">
        <v>40546</v>
      </c>
      <c r="I69" s="4">
        <v>1</v>
      </c>
      <c r="J69" s="4">
        <v>22</v>
      </c>
      <c r="K69" s="4" t="b">
        <f>IF(Append1[[#This Row],[days]]="working day",FALSE,TRUE)</f>
        <v>1</v>
      </c>
      <c r="L69" s="4">
        <v>1</v>
      </c>
      <c r="M69" s="4">
        <v>1</v>
      </c>
      <c r="N69" s="6">
        <v>0.14000000000000001</v>
      </c>
      <c r="O69" s="2" t="str">
        <f>IF(Append1[[#This Row],[weekday]]=0,"holiday",IF(AND(Append1[[#This Row],[weekday]]&gt;1,Append1[[#This Row],[weekday]]&lt;7),"working day","weekend"))</f>
        <v>weekend</v>
      </c>
      <c r="P69" s="4" t="str">
        <f>IF(Append1[[#This Row],[weathersit]]=0,"sunny",IF(Append1[[#This Row],[weathersit]]=1,"mist",IF(Append1[[#This Row],[weathersit]]=2,"lightrain","extremerain")))</f>
        <v>mist</v>
      </c>
    </row>
    <row r="70" spans="1:16" x14ac:dyDescent="0.25">
      <c r="A70" s="4">
        <v>69</v>
      </c>
      <c r="B70" s="4">
        <v>0.21210000000000001</v>
      </c>
      <c r="C70" s="4">
        <v>0.55000000000000004</v>
      </c>
      <c r="D70" s="4">
        <v>0.1045</v>
      </c>
      <c r="E70" s="4">
        <v>1</v>
      </c>
      <c r="F70" s="4">
        <v>11</v>
      </c>
      <c r="G70" s="4">
        <v>12</v>
      </c>
      <c r="H70" s="5">
        <v>40546</v>
      </c>
      <c r="I70" s="4">
        <v>1</v>
      </c>
      <c r="J70" s="4">
        <v>23</v>
      </c>
      <c r="K70" s="4" t="b">
        <f>IF(Append1[[#This Row],[days]]="working day",FALSE,TRUE)</f>
        <v>1</v>
      </c>
      <c r="L70" s="4">
        <v>1</v>
      </c>
      <c r="M70" s="4">
        <v>1</v>
      </c>
      <c r="N70" s="6">
        <v>0.18</v>
      </c>
      <c r="O70" s="2" t="str">
        <f>IF(Append1[[#This Row],[weekday]]=0,"holiday",IF(AND(Append1[[#This Row],[weekday]]&gt;1,Append1[[#This Row],[weekday]]&lt;7),"working day","weekend"))</f>
        <v>weekend</v>
      </c>
      <c r="P70" s="4" t="str">
        <f>IF(Append1[[#This Row],[weathersit]]=0,"sunny",IF(Append1[[#This Row],[weathersit]]=1,"mist",IF(Append1[[#This Row],[weathersit]]=2,"lightrain","extremerain")))</f>
        <v>mist</v>
      </c>
    </row>
    <row r="71" spans="1:16" x14ac:dyDescent="0.25">
      <c r="A71" s="4">
        <v>70</v>
      </c>
      <c r="B71" s="4"/>
      <c r="C71" s="4">
        <v>0.55000000000000004</v>
      </c>
      <c r="D71" s="4">
        <v>0.1045</v>
      </c>
      <c r="E71" s="4">
        <v>0</v>
      </c>
      <c r="F71" s="4">
        <v>5</v>
      </c>
      <c r="G71" s="4">
        <v>5</v>
      </c>
      <c r="H71" s="5">
        <v>40547</v>
      </c>
      <c r="I71" s="4">
        <v>1</v>
      </c>
      <c r="J71" s="4">
        <v>0</v>
      </c>
      <c r="K71" s="4" t="b">
        <f>IF(Append1[[#This Row],[days]]="working day",FALSE,TRUE)</f>
        <v>0</v>
      </c>
      <c r="L71" s="4">
        <v>2</v>
      </c>
      <c r="M71" s="4">
        <v>1</v>
      </c>
      <c r="N71" s="6">
        <v>0.16</v>
      </c>
      <c r="O71" s="2" t="str">
        <f>IF(Append1[[#This Row],[weekday]]=0,"holiday",IF(AND(Append1[[#This Row],[weekday]]&gt;1,Append1[[#This Row],[weekday]]&lt;7),"working day","weekend"))</f>
        <v>working day</v>
      </c>
      <c r="P71" s="4" t="str">
        <f>IF(Append1[[#This Row],[weathersit]]=0,"sunny",IF(Append1[[#This Row],[weathersit]]=1,"mist",IF(Append1[[#This Row],[weathersit]]=2,"lightrain","extremerain")))</f>
        <v>mist</v>
      </c>
    </row>
    <row r="72" spans="1:16" x14ac:dyDescent="0.25">
      <c r="A72" s="4">
        <v>71</v>
      </c>
      <c r="B72" s="4">
        <v>0.18179999999999999</v>
      </c>
      <c r="C72" s="4">
        <v>0.59</v>
      </c>
      <c r="D72" s="4">
        <v>0.1045</v>
      </c>
      <c r="E72" s="4">
        <v>0</v>
      </c>
      <c r="F72" s="4">
        <v>2</v>
      </c>
      <c r="G72" s="4">
        <v>2</v>
      </c>
      <c r="H72" s="5">
        <v>40547</v>
      </c>
      <c r="I72" s="4">
        <v>1</v>
      </c>
      <c r="J72" s="4">
        <v>1</v>
      </c>
      <c r="K72" s="4" t="b">
        <f>IF(Append1[[#This Row],[days]]="working day",FALSE,TRUE)</f>
        <v>0</v>
      </c>
      <c r="L72" s="4">
        <v>2</v>
      </c>
      <c r="M72" s="4">
        <v>1</v>
      </c>
      <c r="N72" s="6">
        <v>0.16</v>
      </c>
      <c r="O72" s="2" t="str">
        <f>IF(Append1[[#This Row],[weekday]]=0,"holiday",IF(AND(Append1[[#This Row],[weekday]]&gt;1,Append1[[#This Row],[weekday]]&lt;7),"working day","weekend"))</f>
        <v>working day</v>
      </c>
      <c r="P72" s="4" t="str">
        <f>IF(Append1[[#This Row],[weathersit]]=0,"sunny",IF(Append1[[#This Row],[weathersit]]=1,"mist",IF(Append1[[#This Row],[weathersit]]=2,"lightrain","extremerain")))</f>
        <v>mist</v>
      </c>
    </row>
    <row r="73" spans="1:16" x14ac:dyDescent="0.25">
      <c r="A73" s="4">
        <v>72</v>
      </c>
      <c r="B73" s="4">
        <v>0.1515</v>
      </c>
      <c r="C73" s="4">
        <v>0.63</v>
      </c>
      <c r="D73" s="4">
        <v>0.1343</v>
      </c>
      <c r="E73" s="4">
        <v>0</v>
      </c>
      <c r="F73" s="4">
        <v>1</v>
      </c>
      <c r="G73" s="4">
        <v>1</v>
      </c>
      <c r="H73" s="5">
        <v>40547</v>
      </c>
      <c r="I73" s="4">
        <v>1</v>
      </c>
      <c r="J73" s="4">
        <v>2</v>
      </c>
      <c r="K73" s="4" t="b">
        <f>IF(Append1[[#This Row],[days]]="working day",FALSE,TRUE)</f>
        <v>0</v>
      </c>
      <c r="L73" s="4">
        <v>2</v>
      </c>
      <c r="M73" s="4">
        <v>1</v>
      </c>
      <c r="N73" s="6">
        <v>0.14000000000000001</v>
      </c>
      <c r="O73" s="2" t="str">
        <f>IF(Append1[[#This Row],[weekday]]=0,"holiday",IF(AND(Append1[[#This Row],[weekday]]&gt;1,Append1[[#This Row],[weekday]]&lt;7),"working day","weekend"))</f>
        <v>working day</v>
      </c>
      <c r="P73" s="4" t="str">
        <f>IF(Append1[[#This Row],[weathersit]]=0,"sunny",IF(Append1[[#This Row],[weathersit]]=1,"mist",IF(Append1[[#This Row],[weathersit]]=2,"lightrain","extremerain")))</f>
        <v>mist</v>
      </c>
    </row>
    <row r="74" spans="1:16" x14ac:dyDescent="0.25">
      <c r="A74" s="4">
        <v>73</v>
      </c>
      <c r="B74" s="4">
        <v>0.18179999999999999</v>
      </c>
      <c r="C74" s="4">
        <v>0.63</v>
      </c>
      <c r="D74" s="4">
        <v>8.9599999999999999E-2</v>
      </c>
      <c r="E74" s="4">
        <v>0</v>
      </c>
      <c r="F74" s="4">
        <v>2</v>
      </c>
      <c r="G74" s="4">
        <v>2</v>
      </c>
      <c r="H74" s="5">
        <v>40547</v>
      </c>
      <c r="I74" s="4">
        <v>1</v>
      </c>
      <c r="J74" s="4">
        <v>4</v>
      </c>
      <c r="K74" s="4" t="b">
        <f>IF(Append1[[#This Row],[days]]="working day",FALSE,TRUE)</f>
        <v>0</v>
      </c>
      <c r="L74" s="4">
        <v>2</v>
      </c>
      <c r="M74" s="4">
        <v>1</v>
      </c>
      <c r="N74" s="6">
        <v>0.14000000000000001</v>
      </c>
      <c r="O74" s="2" t="str">
        <f>IF(Append1[[#This Row],[weekday]]=0,"holiday",IF(AND(Append1[[#This Row],[weekday]]&gt;1,Append1[[#This Row],[weekday]]&lt;7),"working day","weekend"))</f>
        <v>working day</v>
      </c>
      <c r="P74" s="4" t="str">
        <f>IF(Append1[[#This Row],[weathersit]]=0,"sunny",IF(Append1[[#This Row],[weathersit]]=1,"mist",IF(Append1[[#This Row],[weathersit]]=2,"lightrain","extremerain")))</f>
        <v>mist</v>
      </c>
    </row>
    <row r="75" spans="1:16" x14ac:dyDescent="0.25">
      <c r="A75" s="4">
        <v>74</v>
      </c>
      <c r="B75" s="4">
        <v>0.1515</v>
      </c>
      <c r="C75" s="4">
        <v>0.68</v>
      </c>
      <c r="D75" s="4">
        <v>0.1045</v>
      </c>
      <c r="E75" s="4">
        <v>0</v>
      </c>
      <c r="F75" s="4">
        <v>4</v>
      </c>
      <c r="G75" s="4">
        <v>4</v>
      </c>
      <c r="H75" s="5">
        <v>40547</v>
      </c>
      <c r="I75" s="4">
        <v>1</v>
      </c>
      <c r="J75" s="4">
        <v>5</v>
      </c>
      <c r="K75" s="4" t="b">
        <f>IF(Append1[[#This Row],[days]]="working day",FALSE,TRUE)</f>
        <v>0</v>
      </c>
      <c r="L75" s="4">
        <v>2</v>
      </c>
      <c r="M75" s="4">
        <v>1</v>
      </c>
      <c r="N75" s="6">
        <v>0.12</v>
      </c>
      <c r="O75" s="2" t="str">
        <f>IF(Append1[[#This Row],[weekday]]=0,"holiday",IF(AND(Append1[[#This Row],[weekday]]&gt;1,Append1[[#This Row],[weekday]]&lt;7),"working day","weekend"))</f>
        <v>working day</v>
      </c>
      <c r="P75" s="4" t="str">
        <f>IF(Append1[[#This Row],[weathersit]]=0,"sunny",IF(Append1[[#This Row],[weathersit]]=1,"mist",IF(Append1[[#This Row],[weathersit]]=2,"lightrain","extremerain")))</f>
        <v>mist</v>
      </c>
    </row>
    <row r="76" spans="1:16" x14ac:dyDescent="0.25">
      <c r="A76" s="4">
        <v>75</v>
      </c>
      <c r="B76" s="4">
        <v>0.1515</v>
      </c>
      <c r="C76" s="4">
        <v>0.74</v>
      </c>
      <c r="D76" s="4">
        <v>0.1045</v>
      </c>
      <c r="E76" s="4">
        <v>0</v>
      </c>
      <c r="F76" s="4">
        <v>36</v>
      </c>
      <c r="G76" s="4">
        <v>36</v>
      </c>
      <c r="H76" s="5">
        <v>40547</v>
      </c>
      <c r="I76" s="4">
        <v>1</v>
      </c>
      <c r="J76" s="4">
        <v>6</v>
      </c>
      <c r="K76" s="4" t="b">
        <f>IF(Append1[[#This Row],[days]]="working day",FALSE,TRUE)</f>
        <v>0</v>
      </c>
      <c r="L76" s="4">
        <v>2</v>
      </c>
      <c r="M76" s="4">
        <v>1</v>
      </c>
      <c r="N76" s="6">
        <v>0.12</v>
      </c>
      <c r="O76" s="2" t="str">
        <f>IF(Append1[[#This Row],[weekday]]=0,"holiday",IF(AND(Append1[[#This Row],[weekday]]&gt;1,Append1[[#This Row],[weekday]]&lt;7),"working day","weekend"))</f>
        <v>working day</v>
      </c>
      <c r="P76" s="4" t="str">
        <f>IF(Append1[[#This Row],[weathersit]]=0,"sunny",IF(Append1[[#This Row],[weathersit]]=1,"mist",IF(Append1[[#This Row],[weathersit]]=2,"lightrain","extremerain")))</f>
        <v>mist</v>
      </c>
    </row>
    <row r="77" spans="1:16" x14ac:dyDescent="0.25">
      <c r="A77" s="4">
        <v>76</v>
      </c>
      <c r="B77" s="4">
        <v>0.1515</v>
      </c>
      <c r="C77" s="4">
        <v>0.74</v>
      </c>
      <c r="D77" s="4">
        <v>0.1343</v>
      </c>
      <c r="E77" s="4">
        <v>2</v>
      </c>
      <c r="F77" s="4">
        <v>92</v>
      </c>
      <c r="G77" s="4">
        <v>94</v>
      </c>
      <c r="H77" s="5">
        <v>40547</v>
      </c>
      <c r="I77" s="4">
        <v>1</v>
      </c>
      <c r="J77" s="4">
        <v>7</v>
      </c>
      <c r="K77" s="4" t="b">
        <f>IF(Append1[[#This Row],[days]]="working day",FALSE,TRUE)</f>
        <v>0</v>
      </c>
      <c r="L77" s="4">
        <v>2</v>
      </c>
      <c r="M77" s="4">
        <v>1</v>
      </c>
      <c r="N77" s="6">
        <v>0.12</v>
      </c>
      <c r="O77" s="2" t="str">
        <f>IF(Append1[[#This Row],[weekday]]=0,"holiday",IF(AND(Append1[[#This Row],[weekday]]&gt;1,Append1[[#This Row],[weekday]]&lt;7),"working day","weekend"))</f>
        <v>working day</v>
      </c>
      <c r="P77" s="4" t="str">
        <f>IF(Append1[[#This Row],[weathersit]]=0,"sunny",IF(Append1[[#This Row],[weathersit]]=1,"mist",IF(Append1[[#This Row],[weathersit]]=2,"lightrain","extremerain")))</f>
        <v>mist</v>
      </c>
    </row>
    <row r="78" spans="1:16" x14ac:dyDescent="0.25">
      <c r="A78" s="4">
        <v>77</v>
      </c>
      <c r="B78" s="4">
        <v>0.1515</v>
      </c>
      <c r="C78" s="4">
        <v>0.69</v>
      </c>
      <c r="D78" s="4">
        <v>0.16420000000000001</v>
      </c>
      <c r="E78" s="4">
        <v>2</v>
      </c>
      <c r="F78" s="4">
        <v>177</v>
      </c>
      <c r="G78" s="4">
        <v>179</v>
      </c>
      <c r="H78" s="5">
        <v>40547</v>
      </c>
      <c r="I78" s="4">
        <v>1</v>
      </c>
      <c r="J78" s="4">
        <v>8</v>
      </c>
      <c r="K78" s="4" t="b">
        <f>IF(Append1[[#This Row],[days]]="working day",FALSE,TRUE)</f>
        <v>0</v>
      </c>
      <c r="L78" s="4">
        <v>2</v>
      </c>
      <c r="M78" s="4">
        <v>1</v>
      </c>
      <c r="N78" s="6">
        <v>0.14000000000000001</v>
      </c>
      <c r="O78" s="2" t="str">
        <f>IF(Append1[[#This Row],[weekday]]=0,"holiday",IF(AND(Append1[[#This Row],[weekday]]&gt;1,Append1[[#This Row],[weekday]]&lt;7),"working day","weekend"))</f>
        <v>working day</v>
      </c>
      <c r="P78" s="4" t="str">
        <f>IF(Append1[[#This Row],[weathersit]]=0,"sunny",IF(Append1[[#This Row],[weathersit]]=1,"mist",IF(Append1[[#This Row],[weathersit]]=2,"lightrain","extremerain")))</f>
        <v>mist</v>
      </c>
    </row>
    <row r="79" spans="1:16" x14ac:dyDescent="0.25">
      <c r="A79" s="4">
        <v>78</v>
      </c>
      <c r="B79" s="4">
        <v>0.1515</v>
      </c>
      <c r="C79" s="4">
        <v>0.64</v>
      </c>
      <c r="D79" s="4">
        <v>0.22389999999999999</v>
      </c>
      <c r="E79" s="4">
        <v>2</v>
      </c>
      <c r="F79" s="4">
        <v>98</v>
      </c>
      <c r="G79" s="4">
        <v>100</v>
      </c>
      <c r="H79" s="5">
        <v>40547</v>
      </c>
      <c r="I79" s="4">
        <v>1</v>
      </c>
      <c r="J79" s="4">
        <v>9</v>
      </c>
      <c r="K79" s="4" t="b">
        <f>IF(Append1[[#This Row],[days]]="working day",FALSE,TRUE)</f>
        <v>0</v>
      </c>
      <c r="L79" s="4">
        <v>2</v>
      </c>
      <c r="M79" s="4">
        <v>1</v>
      </c>
      <c r="N79" s="6">
        <v>0.16</v>
      </c>
      <c r="O79" s="2" t="str">
        <f>IF(Append1[[#This Row],[weekday]]=0,"holiday",IF(AND(Append1[[#This Row],[weekday]]&gt;1,Append1[[#This Row],[weekday]]&lt;7),"working day","weekend"))</f>
        <v>working day</v>
      </c>
      <c r="P79" s="4" t="str">
        <f>IF(Append1[[#This Row],[weathersit]]=0,"sunny",IF(Append1[[#This Row],[weathersit]]=1,"mist",IF(Append1[[#This Row],[weathersit]]=2,"lightrain","extremerain")))</f>
        <v>mist</v>
      </c>
    </row>
    <row r="80" spans="1:16" x14ac:dyDescent="0.25">
      <c r="A80" s="4">
        <v>79</v>
      </c>
      <c r="B80" s="4">
        <v>0.13639999999999999</v>
      </c>
      <c r="C80" s="4">
        <v>0.69</v>
      </c>
      <c r="D80" s="4">
        <v>0.32840000000000003</v>
      </c>
      <c r="E80" s="4">
        <v>5</v>
      </c>
      <c r="F80" s="4">
        <v>37</v>
      </c>
      <c r="G80" s="4">
        <v>42</v>
      </c>
      <c r="H80" s="5">
        <v>40547</v>
      </c>
      <c r="I80" s="4">
        <v>1</v>
      </c>
      <c r="J80" s="4">
        <v>10</v>
      </c>
      <c r="K80" s="4" t="b">
        <f>IF(Append1[[#This Row],[days]]="working day",FALSE,TRUE)</f>
        <v>0</v>
      </c>
      <c r="L80" s="4">
        <v>2</v>
      </c>
      <c r="M80" s="4">
        <v>2</v>
      </c>
      <c r="N80" s="6">
        <v>0.16</v>
      </c>
      <c r="O80" s="2" t="str">
        <f>IF(Append1[[#This Row],[weekday]]=0,"holiday",IF(AND(Append1[[#This Row],[weekday]]&gt;1,Append1[[#This Row],[weekday]]&lt;7),"working day","weekend"))</f>
        <v>working day</v>
      </c>
      <c r="P80" s="4" t="str">
        <f>IF(Append1[[#This Row],[weathersit]]=0,"sunny",IF(Append1[[#This Row],[weathersit]]=1,"mist",IF(Append1[[#This Row],[weathersit]]=2,"lightrain","extremerain")))</f>
        <v>lightrain</v>
      </c>
    </row>
    <row r="81" spans="1:16" x14ac:dyDescent="0.25">
      <c r="A81" s="4">
        <v>80</v>
      </c>
      <c r="B81" s="4">
        <v>0.21210000000000001</v>
      </c>
      <c r="C81" s="4">
        <v>0.51</v>
      </c>
      <c r="D81" s="4">
        <v>0.29849999999999999</v>
      </c>
      <c r="E81" s="4">
        <v>7</v>
      </c>
      <c r="F81" s="4">
        <v>50</v>
      </c>
      <c r="G81" s="4">
        <v>57</v>
      </c>
      <c r="H81" s="5">
        <v>40547</v>
      </c>
      <c r="I81" s="4">
        <v>1</v>
      </c>
      <c r="J81" s="4">
        <v>11</v>
      </c>
      <c r="K81" s="4" t="b">
        <f>IF(Append1[[#This Row],[days]]="working day",FALSE,TRUE)</f>
        <v>0</v>
      </c>
      <c r="L81" s="4">
        <v>2</v>
      </c>
      <c r="M81" s="4">
        <v>1</v>
      </c>
      <c r="N81" s="6">
        <v>0.22</v>
      </c>
      <c r="O81" s="2" t="str">
        <f>IF(Append1[[#This Row],[weekday]]=0,"holiday",IF(AND(Append1[[#This Row],[weekday]]&gt;1,Append1[[#This Row],[weekday]]&lt;7),"working day","weekend"))</f>
        <v>working day</v>
      </c>
      <c r="P81" s="4" t="str">
        <f>IF(Append1[[#This Row],[weathersit]]=0,"sunny",IF(Append1[[#This Row],[weathersit]]=1,"mist",IF(Append1[[#This Row],[weathersit]]=2,"lightrain","extremerain")))</f>
        <v>mist</v>
      </c>
    </row>
    <row r="82" spans="1:16" x14ac:dyDescent="0.25">
      <c r="A82" s="4">
        <v>81</v>
      </c>
      <c r="B82" s="4">
        <v>0.2273</v>
      </c>
      <c r="C82" s="4">
        <v>0.51</v>
      </c>
      <c r="D82" s="4">
        <v>0.16420000000000001</v>
      </c>
      <c r="E82" s="4">
        <v>12</v>
      </c>
      <c r="F82" s="4">
        <v>66</v>
      </c>
      <c r="G82" s="4">
        <v>78</v>
      </c>
      <c r="H82" s="5">
        <v>40547</v>
      </c>
      <c r="I82" s="4">
        <v>1</v>
      </c>
      <c r="J82" s="4">
        <v>12</v>
      </c>
      <c r="K82" s="4" t="b">
        <f>IF(Append1[[#This Row],[days]]="working day",FALSE,TRUE)</f>
        <v>0</v>
      </c>
      <c r="L82" s="4">
        <v>2</v>
      </c>
      <c r="M82" s="4">
        <v>1</v>
      </c>
      <c r="N82" s="6">
        <v>0.22</v>
      </c>
      <c r="O82" s="2" t="str">
        <f>IF(Append1[[#This Row],[weekday]]=0,"holiday",IF(AND(Append1[[#This Row],[weekday]]&gt;1,Append1[[#This Row],[weekday]]&lt;7),"working day","weekend"))</f>
        <v>working day</v>
      </c>
      <c r="P82" s="4" t="str">
        <f>IF(Append1[[#This Row],[weathersit]]=0,"sunny",IF(Append1[[#This Row],[weathersit]]=1,"mist",IF(Append1[[#This Row],[weathersit]]=2,"lightrain","extremerain")))</f>
        <v>mist</v>
      </c>
    </row>
    <row r="83" spans="1:16" x14ac:dyDescent="0.25">
      <c r="A83" s="4">
        <v>82</v>
      </c>
      <c r="B83" s="4">
        <v>0.2273</v>
      </c>
      <c r="C83" s="4">
        <v>0.56000000000000005</v>
      </c>
      <c r="D83" s="4">
        <v>0.19400000000000001</v>
      </c>
      <c r="E83" s="4">
        <v>18</v>
      </c>
      <c r="F83" s="4">
        <v>79</v>
      </c>
      <c r="G83" s="4">
        <v>97</v>
      </c>
      <c r="H83" s="5">
        <v>40547</v>
      </c>
      <c r="I83" s="4">
        <v>1</v>
      </c>
      <c r="J83" s="4">
        <v>13</v>
      </c>
      <c r="K83" s="4" t="b">
        <f>IF(Append1[[#This Row],[days]]="working day",FALSE,TRUE)</f>
        <v>0</v>
      </c>
      <c r="L83" s="4">
        <v>2</v>
      </c>
      <c r="M83" s="4">
        <v>1</v>
      </c>
      <c r="N83" s="6">
        <v>0.24</v>
      </c>
      <c r="O83" s="2" t="str">
        <f>IF(Append1[[#This Row],[weekday]]=0,"holiday",IF(AND(Append1[[#This Row],[weekday]]&gt;1,Append1[[#This Row],[weekday]]&lt;7),"working day","weekend"))</f>
        <v>working day</v>
      </c>
      <c r="P83" s="4" t="str">
        <f>IF(Append1[[#This Row],[weathersit]]=0,"sunny",IF(Append1[[#This Row],[weathersit]]=1,"mist",IF(Append1[[#This Row],[weathersit]]=2,"lightrain","extremerain")))</f>
        <v>mist</v>
      </c>
    </row>
    <row r="84" spans="1:16" x14ac:dyDescent="0.25">
      <c r="A84" s="4">
        <v>83</v>
      </c>
      <c r="B84" s="4">
        <v>0.2576</v>
      </c>
      <c r="C84" s="4">
        <v>0.52</v>
      </c>
      <c r="D84" s="4">
        <v>0.22389999999999999</v>
      </c>
      <c r="E84" s="4">
        <v>9</v>
      </c>
      <c r="F84" s="4">
        <v>54</v>
      </c>
      <c r="G84" s="4">
        <v>63</v>
      </c>
      <c r="H84" s="5">
        <v>40547</v>
      </c>
      <c r="I84" s="4">
        <v>1</v>
      </c>
      <c r="J84" s="4">
        <v>14</v>
      </c>
      <c r="K84" s="4" t="b">
        <f>IF(Append1[[#This Row],[days]]="working day",FALSE,TRUE)</f>
        <v>0</v>
      </c>
      <c r="L84" s="4">
        <v>2</v>
      </c>
      <c r="M84" s="4">
        <v>1</v>
      </c>
      <c r="N84" s="6">
        <v>0.26</v>
      </c>
      <c r="O84" s="2" t="str">
        <f>IF(Append1[[#This Row],[weekday]]=0,"holiday",IF(AND(Append1[[#This Row],[weekday]]&gt;1,Append1[[#This Row],[weekday]]&lt;7),"working day","weekend"))</f>
        <v>working day</v>
      </c>
      <c r="P84" s="4" t="str">
        <f>IF(Append1[[#This Row],[weathersit]]=0,"sunny",IF(Append1[[#This Row],[weathersit]]=1,"mist",IF(Append1[[#This Row],[weathersit]]=2,"lightrain","extremerain")))</f>
        <v>mist</v>
      </c>
    </row>
    <row r="85" spans="1:16" x14ac:dyDescent="0.25">
      <c r="A85" s="4">
        <v>84</v>
      </c>
      <c r="B85" s="4">
        <v>0.2727</v>
      </c>
      <c r="C85" s="4">
        <v>0.52</v>
      </c>
      <c r="D85" s="4">
        <v>0.25369999999999998</v>
      </c>
      <c r="E85" s="4">
        <v>17</v>
      </c>
      <c r="F85" s="4">
        <v>48</v>
      </c>
      <c r="G85" s="4">
        <v>65</v>
      </c>
      <c r="H85" s="5">
        <v>40547</v>
      </c>
      <c r="I85" s="4">
        <v>1</v>
      </c>
      <c r="J85" s="4">
        <v>15</v>
      </c>
      <c r="K85" s="4" t="b">
        <f>IF(Append1[[#This Row],[days]]="working day",FALSE,TRUE)</f>
        <v>0</v>
      </c>
      <c r="L85" s="4">
        <v>2</v>
      </c>
      <c r="M85" s="4">
        <v>1</v>
      </c>
      <c r="N85" s="6">
        <v>0.28000000000000003</v>
      </c>
      <c r="O85" s="2" t="str">
        <f>IF(Append1[[#This Row],[weekday]]=0,"holiday",IF(AND(Append1[[#This Row],[weekday]]&gt;1,Append1[[#This Row],[weekday]]&lt;7),"working day","weekend"))</f>
        <v>working day</v>
      </c>
      <c r="P85" s="4" t="str">
        <f>IF(Append1[[#This Row],[weathersit]]=0,"sunny",IF(Append1[[#This Row],[weathersit]]=1,"mist",IF(Append1[[#This Row],[weathersit]]=2,"lightrain","extremerain")))</f>
        <v>mist</v>
      </c>
    </row>
    <row r="86" spans="1:16" x14ac:dyDescent="0.25">
      <c r="A86" s="4">
        <v>85</v>
      </c>
      <c r="B86" s="4">
        <v>0.28789999999999999</v>
      </c>
      <c r="C86" s="4">
        <v>0.49</v>
      </c>
      <c r="D86" s="4">
        <v>0.25369999999999998</v>
      </c>
      <c r="E86" s="4">
        <v>15</v>
      </c>
      <c r="F86" s="4">
        <v>68</v>
      </c>
      <c r="G86" s="4">
        <v>83</v>
      </c>
      <c r="H86" s="5">
        <v>40547</v>
      </c>
      <c r="I86" s="4">
        <v>1</v>
      </c>
      <c r="J86" s="4">
        <v>16</v>
      </c>
      <c r="K86" s="4" t="b">
        <f>IF(Append1[[#This Row],[days]]="working day",FALSE,TRUE)</f>
        <v>0</v>
      </c>
      <c r="L86" s="4">
        <v>2</v>
      </c>
      <c r="M86" s="4">
        <v>1</v>
      </c>
      <c r="N86" s="6">
        <v>0.3</v>
      </c>
      <c r="O86" s="2" t="str">
        <f>IF(Append1[[#This Row],[weekday]]=0,"holiday",IF(AND(Append1[[#This Row],[weekday]]&gt;1,Append1[[#This Row],[weekday]]&lt;7),"working day","weekend"))</f>
        <v>working day</v>
      </c>
      <c r="P86" s="4" t="str">
        <f>IF(Append1[[#This Row],[weathersit]]=0,"sunny",IF(Append1[[#This Row],[weathersit]]=1,"mist",IF(Append1[[#This Row],[weathersit]]=2,"lightrain","extremerain")))</f>
        <v>mist</v>
      </c>
    </row>
    <row r="87" spans="1:16" x14ac:dyDescent="0.25">
      <c r="A87" s="4">
        <v>86</v>
      </c>
      <c r="B87" s="4">
        <v>0.2727</v>
      </c>
      <c r="C87" s="4">
        <v>0.48</v>
      </c>
      <c r="D87" s="4">
        <v>0.22389999999999999</v>
      </c>
      <c r="E87" s="4">
        <v>10</v>
      </c>
      <c r="F87" s="4">
        <v>202</v>
      </c>
      <c r="G87" s="4">
        <v>212</v>
      </c>
      <c r="H87" s="5">
        <v>40547</v>
      </c>
      <c r="I87" s="4">
        <v>1</v>
      </c>
      <c r="J87" s="4">
        <v>17</v>
      </c>
      <c r="K87" s="4" t="b">
        <f>IF(Append1[[#This Row],[days]]="working day",FALSE,TRUE)</f>
        <v>0</v>
      </c>
      <c r="L87" s="4">
        <v>2</v>
      </c>
      <c r="M87" s="4">
        <v>1</v>
      </c>
      <c r="N87" s="6">
        <v>0.28000000000000003</v>
      </c>
      <c r="O87" s="2" t="str">
        <f>IF(Append1[[#This Row],[weekday]]=0,"holiday",IF(AND(Append1[[#This Row],[weekday]]&gt;1,Append1[[#This Row],[weekday]]&lt;7),"working day","weekend"))</f>
        <v>working day</v>
      </c>
      <c r="P87" s="4" t="str">
        <f>IF(Append1[[#This Row],[weathersit]]=0,"sunny",IF(Append1[[#This Row],[weathersit]]=1,"mist",IF(Append1[[#This Row],[weathersit]]=2,"lightrain","extremerain")))</f>
        <v>mist</v>
      </c>
    </row>
    <row r="88" spans="1:16" x14ac:dyDescent="0.25">
      <c r="A88" s="4">
        <v>87</v>
      </c>
      <c r="B88" s="4">
        <v>0.2576</v>
      </c>
      <c r="C88" s="4">
        <v>0.48</v>
      </c>
      <c r="D88" s="4">
        <v>0.19400000000000001</v>
      </c>
      <c r="E88" s="4">
        <v>3</v>
      </c>
      <c r="F88" s="4">
        <v>179</v>
      </c>
      <c r="G88" s="4">
        <v>182</v>
      </c>
      <c r="H88" s="5">
        <v>40547</v>
      </c>
      <c r="I88" s="4">
        <v>1</v>
      </c>
      <c r="J88" s="4">
        <v>18</v>
      </c>
      <c r="K88" s="4" t="b">
        <f>IF(Append1[[#This Row],[days]]="working day",FALSE,TRUE)</f>
        <v>0</v>
      </c>
      <c r="L88" s="4">
        <v>2</v>
      </c>
      <c r="M88" s="4">
        <v>1</v>
      </c>
      <c r="N88" s="6">
        <v>0.26</v>
      </c>
      <c r="O88" s="2" t="str">
        <f>IF(Append1[[#This Row],[weekday]]=0,"holiday",IF(AND(Append1[[#This Row],[weekday]]&gt;1,Append1[[#This Row],[weekday]]&lt;7),"working day","weekend"))</f>
        <v>working day</v>
      </c>
      <c r="P88" s="4" t="str">
        <f>IF(Append1[[#This Row],[weathersit]]=0,"sunny",IF(Append1[[#This Row],[weathersit]]=1,"mist",IF(Append1[[#This Row],[weathersit]]=2,"lightrain","extremerain")))</f>
        <v>mist</v>
      </c>
    </row>
    <row r="89" spans="1:16" x14ac:dyDescent="0.25">
      <c r="A89" s="4">
        <v>88</v>
      </c>
      <c r="B89" s="4">
        <v>0.2576</v>
      </c>
      <c r="C89" s="4">
        <v>0.48</v>
      </c>
      <c r="D89" s="4">
        <v>0.1045</v>
      </c>
      <c r="E89" s="4">
        <v>2</v>
      </c>
      <c r="F89" s="4">
        <v>110</v>
      </c>
      <c r="G89" s="4">
        <v>112</v>
      </c>
      <c r="H89" s="5">
        <v>40547</v>
      </c>
      <c r="I89" s="4">
        <v>1</v>
      </c>
      <c r="J89" s="4">
        <v>19</v>
      </c>
      <c r="K89" s="4" t="b">
        <f>IF(Append1[[#This Row],[days]]="working day",FALSE,TRUE)</f>
        <v>0</v>
      </c>
      <c r="L89" s="4">
        <v>2</v>
      </c>
      <c r="M89" s="4">
        <v>1</v>
      </c>
      <c r="N89" s="6">
        <v>0.24</v>
      </c>
      <c r="O89" s="2" t="str">
        <f>IF(Append1[[#This Row],[weekday]]=0,"holiday",IF(AND(Append1[[#This Row],[weekday]]&gt;1,Append1[[#This Row],[weekday]]&lt;7),"working day","weekend"))</f>
        <v>working day</v>
      </c>
      <c r="P89" s="4" t="str">
        <f>IF(Append1[[#This Row],[weathersit]]=0,"sunny",IF(Append1[[#This Row],[weathersit]]=1,"mist",IF(Append1[[#This Row],[weathersit]]=2,"lightrain","extremerain")))</f>
        <v>mist</v>
      </c>
    </row>
    <row r="90" spans="1:16" x14ac:dyDescent="0.25">
      <c r="A90" s="4">
        <v>89</v>
      </c>
      <c r="B90" s="4">
        <v>0.2576</v>
      </c>
      <c r="C90" s="4">
        <v>0.48</v>
      </c>
      <c r="D90" s="4">
        <v>0.1045</v>
      </c>
      <c r="E90" s="4">
        <v>1</v>
      </c>
      <c r="F90" s="4">
        <v>53</v>
      </c>
      <c r="G90" s="4">
        <v>54</v>
      </c>
      <c r="H90" s="5">
        <v>40547</v>
      </c>
      <c r="I90" s="4">
        <v>1</v>
      </c>
      <c r="J90" s="4">
        <v>20</v>
      </c>
      <c r="K90" s="4" t="b">
        <f>IF(Append1[[#This Row],[days]]="working day",FALSE,TRUE)</f>
        <v>0</v>
      </c>
      <c r="L90" s="4">
        <v>2</v>
      </c>
      <c r="M90" s="4">
        <v>1</v>
      </c>
      <c r="N90" s="6">
        <v>0.24</v>
      </c>
      <c r="O90" s="2" t="str">
        <f>IF(Append1[[#This Row],[weekday]]=0,"holiday",IF(AND(Append1[[#This Row],[weekday]]&gt;1,Append1[[#This Row],[weekday]]&lt;7),"working day","weekend"))</f>
        <v>working day</v>
      </c>
      <c r="P90" s="4" t="str">
        <f>IF(Append1[[#This Row],[weathersit]]=0,"sunny",IF(Append1[[#This Row],[weathersit]]=1,"mist",IF(Append1[[#This Row],[weathersit]]=2,"lightrain","extremerain")))</f>
        <v>mist</v>
      </c>
    </row>
    <row r="91" spans="1:16" x14ac:dyDescent="0.25">
      <c r="A91" s="4">
        <v>90</v>
      </c>
      <c r="B91" s="4">
        <v>0.2727</v>
      </c>
      <c r="C91" s="4">
        <v>0.64</v>
      </c>
      <c r="D91" s="4">
        <v>0</v>
      </c>
      <c r="E91" s="4">
        <v>0</v>
      </c>
      <c r="F91" s="4">
        <v>48</v>
      </c>
      <c r="G91" s="4">
        <v>48</v>
      </c>
      <c r="H91" s="5">
        <v>40547</v>
      </c>
      <c r="I91" s="4">
        <v>1</v>
      </c>
      <c r="J91" s="4">
        <v>21</v>
      </c>
      <c r="K91" s="4" t="b">
        <f>IF(Append1[[#This Row],[days]]="working day",FALSE,TRUE)</f>
        <v>0</v>
      </c>
      <c r="L91" s="4">
        <v>2</v>
      </c>
      <c r="M91" s="4">
        <v>1</v>
      </c>
      <c r="N91" s="6">
        <v>0.22</v>
      </c>
      <c r="O91" s="2" t="str">
        <f>IF(Append1[[#This Row],[weekday]]=0,"holiday",IF(AND(Append1[[#This Row],[weekday]]&gt;1,Append1[[#This Row],[weekday]]&lt;7),"working day","weekend"))</f>
        <v>working day</v>
      </c>
      <c r="P91" s="4" t="str">
        <f>IF(Append1[[#This Row],[weathersit]]=0,"sunny",IF(Append1[[#This Row],[weathersit]]=1,"mist",IF(Append1[[#This Row],[weathersit]]=2,"lightrain","extremerain")))</f>
        <v>mist</v>
      </c>
    </row>
    <row r="92" spans="1:16" x14ac:dyDescent="0.25">
      <c r="A92" s="4">
        <v>91</v>
      </c>
      <c r="B92" s="4">
        <v>0.2576</v>
      </c>
      <c r="C92" s="4">
        <v>0.64</v>
      </c>
      <c r="D92" s="4">
        <v>8.9599999999999999E-2</v>
      </c>
      <c r="E92" s="4">
        <v>1</v>
      </c>
      <c r="F92" s="4">
        <v>34</v>
      </c>
      <c r="G92" s="4">
        <v>35</v>
      </c>
      <c r="H92" s="5">
        <v>40547</v>
      </c>
      <c r="I92" s="4">
        <v>1</v>
      </c>
      <c r="J92" s="4">
        <v>22</v>
      </c>
      <c r="K92" s="4" t="b">
        <f>IF(Append1[[#This Row],[days]]="working day",FALSE,TRUE)</f>
        <v>0</v>
      </c>
      <c r="L92" s="4">
        <v>2</v>
      </c>
      <c r="M92" s="4">
        <v>1</v>
      </c>
      <c r="N92" s="6">
        <v>0.22</v>
      </c>
      <c r="O92" s="2" t="str">
        <f>IF(Append1[[#This Row],[weekday]]=0,"holiday",IF(AND(Append1[[#This Row],[weekday]]&gt;1,Append1[[#This Row],[weekday]]&lt;7),"working day","weekend"))</f>
        <v>working day</v>
      </c>
      <c r="P92" s="4" t="str">
        <f>IF(Append1[[#This Row],[weathersit]]=0,"sunny",IF(Append1[[#This Row],[weathersit]]=1,"mist",IF(Append1[[#This Row],[weathersit]]=2,"lightrain","extremerain")))</f>
        <v>mist</v>
      </c>
    </row>
    <row r="93" spans="1:16" x14ac:dyDescent="0.25">
      <c r="A93" s="4">
        <v>92</v>
      </c>
      <c r="B93" s="4">
        <v>0.2273</v>
      </c>
      <c r="C93" s="4">
        <v>0.69</v>
      </c>
      <c r="D93" s="4">
        <v>8.9599999999999999E-2</v>
      </c>
      <c r="E93" s="4">
        <v>2</v>
      </c>
      <c r="F93" s="4">
        <v>9</v>
      </c>
      <c r="G93" s="4">
        <v>11</v>
      </c>
      <c r="H93" s="5">
        <v>40547</v>
      </c>
      <c r="I93" s="4">
        <v>1</v>
      </c>
      <c r="J93" s="4">
        <v>23</v>
      </c>
      <c r="K93" s="4" t="b">
        <f>IF(Append1[[#This Row],[days]]="working day",FALSE,TRUE)</f>
        <v>0</v>
      </c>
      <c r="L93" s="4">
        <v>2</v>
      </c>
      <c r="M93" s="4">
        <v>1</v>
      </c>
      <c r="N93" s="6">
        <v>0.2</v>
      </c>
      <c r="O93" s="2" t="str">
        <f>IF(Append1[[#This Row],[weekday]]=0,"holiday",IF(AND(Append1[[#This Row],[weekday]]&gt;1,Append1[[#This Row],[weekday]]&lt;7),"working day","weekend"))</f>
        <v>working day</v>
      </c>
      <c r="P93" s="4" t="str">
        <f>IF(Append1[[#This Row],[weathersit]]=0,"sunny",IF(Append1[[#This Row],[weathersit]]=1,"mist",IF(Append1[[#This Row],[weathersit]]=2,"lightrain","extremerain")))</f>
        <v>mist</v>
      </c>
    </row>
    <row r="94" spans="1:16" x14ac:dyDescent="0.25">
      <c r="A94" s="4">
        <v>93</v>
      </c>
      <c r="B94" s="4">
        <v>0.2576</v>
      </c>
      <c r="C94" s="4">
        <v>0.64</v>
      </c>
      <c r="D94" s="4">
        <v>0</v>
      </c>
      <c r="E94" s="4">
        <v>0</v>
      </c>
      <c r="F94" s="4">
        <v>6</v>
      </c>
      <c r="G94" s="4">
        <v>6</v>
      </c>
      <c r="H94" s="5">
        <v>40548</v>
      </c>
      <c r="I94" s="4">
        <v>1</v>
      </c>
      <c r="J94" s="4">
        <v>0</v>
      </c>
      <c r="K94" s="4" t="b">
        <f>IF(Append1[[#This Row],[days]]="working day",FALSE,TRUE)</f>
        <v>0</v>
      </c>
      <c r="L94" s="4">
        <v>3</v>
      </c>
      <c r="M94" s="4">
        <v>1</v>
      </c>
      <c r="N94" s="6">
        <v>0.2</v>
      </c>
      <c r="O94" s="2" t="str">
        <f>IF(Append1[[#This Row],[weekday]]=0,"holiday",IF(AND(Append1[[#This Row],[weekday]]&gt;1,Append1[[#This Row],[weekday]]&lt;7),"working day","weekend"))</f>
        <v>working day</v>
      </c>
      <c r="P94" s="4" t="str">
        <f>IF(Append1[[#This Row],[weathersit]]=0,"sunny",IF(Append1[[#This Row],[weathersit]]=1,"mist",IF(Append1[[#This Row],[weathersit]]=2,"lightrain","extremerain")))</f>
        <v>mist</v>
      </c>
    </row>
    <row r="95" spans="1:16" x14ac:dyDescent="0.25">
      <c r="A95" s="4">
        <v>94</v>
      </c>
      <c r="B95" s="4">
        <v>0.19700000000000001</v>
      </c>
      <c r="C95" s="4">
        <v>0.74</v>
      </c>
      <c r="D95" s="4">
        <v>8.9599999999999999E-2</v>
      </c>
      <c r="E95" s="4">
        <v>0</v>
      </c>
      <c r="F95" s="4">
        <v>6</v>
      </c>
      <c r="G95" s="4">
        <v>6</v>
      </c>
      <c r="H95" s="5">
        <v>40548</v>
      </c>
      <c r="I95" s="4">
        <v>1</v>
      </c>
      <c r="J95" s="4">
        <v>1</v>
      </c>
      <c r="K95" s="4" t="b">
        <f>IF(Append1[[#This Row],[days]]="working day",FALSE,TRUE)</f>
        <v>0</v>
      </c>
      <c r="L95" s="4">
        <v>3</v>
      </c>
      <c r="M95" s="4">
        <v>1</v>
      </c>
      <c r="N95" s="6">
        <v>0.16</v>
      </c>
      <c r="O95" s="2" t="str">
        <f>IF(Append1[[#This Row],[weekday]]=0,"holiday",IF(AND(Append1[[#This Row],[weekday]]&gt;1,Append1[[#This Row],[weekday]]&lt;7),"working day","weekend"))</f>
        <v>working day</v>
      </c>
      <c r="P95" s="4" t="str">
        <f>IF(Append1[[#This Row],[weathersit]]=0,"sunny",IF(Append1[[#This Row],[weathersit]]=1,"mist",IF(Append1[[#This Row],[weathersit]]=2,"lightrain","extremerain")))</f>
        <v>mist</v>
      </c>
    </row>
    <row r="96" spans="1:16" x14ac:dyDescent="0.25">
      <c r="A96" s="4">
        <v>95</v>
      </c>
      <c r="B96" s="4">
        <v>0.19700000000000001</v>
      </c>
      <c r="C96" s="4">
        <v>0.74</v>
      </c>
      <c r="D96" s="4">
        <v>8.9599999999999999E-2</v>
      </c>
      <c r="E96" s="4">
        <v>0</v>
      </c>
      <c r="F96" s="4">
        <v>2</v>
      </c>
      <c r="G96" s="4">
        <v>2</v>
      </c>
      <c r="H96" s="5">
        <v>40548</v>
      </c>
      <c r="I96" s="4">
        <v>1</v>
      </c>
      <c r="J96" s="4">
        <v>2</v>
      </c>
      <c r="K96" s="4" t="b">
        <f>IF(Append1[[#This Row],[days]]="working day",FALSE,TRUE)</f>
        <v>0</v>
      </c>
      <c r="L96" s="4">
        <v>3</v>
      </c>
      <c r="M96" s="4">
        <v>1</v>
      </c>
      <c r="N96" s="6">
        <v>0.16</v>
      </c>
      <c r="O96" s="2" t="str">
        <f>IF(Append1[[#This Row],[weekday]]=0,"holiday",IF(AND(Append1[[#This Row],[weekday]]&gt;1,Append1[[#This Row],[weekday]]&lt;7),"working day","weekend"))</f>
        <v>working day</v>
      </c>
      <c r="P96" s="4" t="str">
        <f>IF(Append1[[#This Row],[weathersit]]=0,"sunny",IF(Append1[[#This Row],[weathersit]]=1,"mist",IF(Append1[[#This Row],[weathersit]]=2,"lightrain","extremerain")))</f>
        <v>mist</v>
      </c>
    </row>
    <row r="97" spans="1:16" x14ac:dyDescent="0.25">
      <c r="A97" s="4">
        <v>96</v>
      </c>
      <c r="B97" s="4">
        <v>0.2273</v>
      </c>
      <c r="C97" s="4">
        <v>0.48</v>
      </c>
      <c r="D97" s="4">
        <v>0.22389999999999999</v>
      </c>
      <c r="E97" s="4">
        <v>0</v>
      </c>
      <c r="F97" s="4">
        <v>2</v>
      </c>
      <c r="G97" s="4">
        <v>2</v>
      </c>
      <c r="H97" s="5">
        <v>40548</v>
      </c>
      <c r="I97" s="4">
        <v>1</v>
      </c>
      <c r="J97" s="4">
        <v>4</v>
      </c>
      <c r="K97" s="4" t="b">
        <f>IF(Append1[[#This Row],[days]]="working day",FALSE,TRUE)</f>
        <v>0</v>
      </c>
      <c r="L97" s="4">
        <v>3</v>
      </c>
      <c r="M97" s="4">
        <v>1</v>
      </c>
      <c r="N97" s="6">
        <v>0.24</v>
      </c>
      <c r="O97" s="2" t="str">
        <f>IF(Append1[[#This Row],[weekday]]=0,"holiday",IF(AND(Append1[[#This Row],[weekday]]&gt;1,Append1[[#This Row],[weekday]]&lt;7),"working day","weekend"))</f>
        <v>working day</v>
      </c>
      <c r="P97" s="4" t="str">
        <f>IF(Append1[[#This Row],[weathersit]]=0,"sunny",IF(Append1[[#This Row],[weathersit]]=1,"mist",IF(Append1[[#This Row],[weathersit]]=2,"lightrain","extremerain")))</f>
        <v>mist</v>
      </c>
    </row>
    <row r="98" spans="1:16" x14ac:dyDescent="0.25">
      <c r="A98" s="4">
        <v>97</v>
      </c>
      <c r="B98" s="4">
        <v>0.2273</v>
      </c>
      <c r="C98" s="4">
        <v>0.47</v>
      </c>
      <c r="D98" s="4">
        <v>0.16420000000000001</v>
      </c>
      <c r="E98" s="4">
        <v>0</v>
      </c>
      <c r="F98" s="4">
        <v>3</v>
      </c>
      <c r="G98" s="4">
        <v>3</v>
      </c>
      <c r="H98" s="5">
        <v>40548</v>
      </c>
      <c r="I98" s="4">
        <v>1</v>
      </c>
      <c r="J98" s="4">
        <v>5</v>
      </c>
      <c r="K98" s="4" t="b">
        <f>IF(Append1[[#This Row],[days]]="working day",FALSE,TRUE)</f>
        <v>0</v>
      </c>
      <c r="L98" s="4">
        <v>3</v>
      </c>
      <c r="M98" s="4">
        <v>1</v>
      </c>
      <c r="N98" s="6">
        <v>0.22</v>
      </c>
      <c r="O98" s="2" t="str">
        <f>IF(Append1[[#This Row],[weekday]]=0,"holiday",IF(AND(Append1[[#This Row],[weekday]]&gt;1,Append1[[#This Row],[weekday]]&lt;7),"working day","weekend"))</f>
        <v>working day</v>
      </c>
      <c r="P98" s="4" t="str">
        <f>IF(Append1[[#This Row],[weathersit]]=0,"sunny",IF(Append1[[#This Row],[weathersit]]=1,"mist",IF(Append1[[#This Row],[weathersit]]=2,"lightrain","extremerain")))</f>
        <v>mist</v>
      </c>
    </row>
    <row r="99" spans="1:16" x14ac:dyDescent="0.25">
      <c r="A99" s="4">
        <v>98</v>
      </c>
      <c r="B99" s="4">
        <v>0.19700000000000001</v>
      </c>
      <c r="C99" s="4">
        <v>0.47</v>
      </c>
      <c r="D99" s="4">
        <v>0.22389999999999999</v>
      </c>
      <c r="E99" s="4">
        <v>0</v>
      </c>
      <c r="F99" s="4">
        <v>33</v>
      </c>
      <c r="G99" s="4">
        <v>33</v>
      </c>
      <c r="H99" s="5">
        <v>40548</v>
      </c>
      <c r="I99" s="4">
        <v>1</v>
      </c>
      <c r="J99" s="4">
        <v>6</v>
      </c>
      <c r="K99" s="4" t="b">
        <f>IF(Append1[[#This Row],[days]]="working day",FALSE,TRUE)</f>
        <v>0</v>
      </c>
      <c r="L99" s="4">
        <v>3</v>
      </c>
      <c r="M99" s="4">
        <v>1</v>
      </c>
      <c r="N99" s="6">
        <v>0.2</v>
      </c>
      <c r="O99" s="2" t="str">
        <f>IF(Append1[[#This Row],[weekday]]=0,"holiday",IF(AND(Append1[[#This Row],[weekday]]&gt;1,Append1[[#This Row],[weekday]]&lt;7),"working day","weekend"))</f>
        <v>working day</v>
      </c>
      <c r="P99" s="4" t="str">
        <f>IF(Append1[[#This Row],[weathersit]]=0,"sunny",IF(Append1[[#This Row],[weathersit]]=1,"mist",IF(Append1[[#This Row],[weathersit]]=2,"lightrain","extremerain")))</f>
        <v>mist</v>
      </c>
    </row>
    <row r="100" spans="1:16" x14ac:dyDescent="0.25">
      <c r="A100" s="4">
        <v>99</v>
      </c>
      <c r="B100" s="4">
        <v>0.18179999999999999</v>
      </c>
      <c r="C100" s="4">
        <v>0.43</v>
      </c>
      <c r="D100" s="4">
        <v>0.19400000000000001</v>
      </c>
      <c r="E100" s="4">
        <v>1</v>
      </c>
      <c r="F100" s="4">
        <v>87</v>
      </c>
      <c r="G100" s="4">
        <v>88</v>
      </c>
      <c r="H100" s="5">
        <v>40548</v>
      </c>
      <c r="I100" s="4">
        <v>1</v>
      </c>
      <c r="J100" s="4">
        <v>7</v>
      </c>
      <c r="K100" s="4" t="b">
        <f>IF(Append1[[#This Row],[days]]="working day",FALSE,TRUE)</f>
        <v>0</v>
      </c>
      <c r="L100" s="4">
        <v>3</v>
      </c>
      <c r="M100" s="4">
        <v>1</v>
      </c>
      <c r="N100" s="6">
        <v>0.18</v>
      </c>
      <c r="O100" s="2" t="str">
        <f>IF(Append1[[#This Row],[weekday]]=0,"holiday",IF(AND(Append1[[#This Row],[weekday]]&gt;1,Append1[[#This Row],[weekday]]&lt;7),"working day","weekend"))</f>
        <v>working day</v>
      </c>
      <c r="P100" s="4" t="str">
        <f>IF(Append1[[#This Row],[weathersit]]=0,"sunny",IF(Append1[[#This Row],[weathersit]]=1,"mist",IF(Append1[[#This Row],[weathersit]]=2,"lightrain","extremerain")))</f>
        <v>mist</v>
      </c>
    </row>
    <row r="101" spans="1:16" x14ac:dyDescent="0.25">
      <c r="A101" s="4">
        <v>100</v>
      </c>
      <c r="B101" s="4">
        <v>0.18179999999999999</v>
      </c>
      <c r="C101" s="4">
        <v>0.4</v>
      </c>
      <c r="D101" s="4">
        <v>0.29849999999999999</v>
      </c>
      <c r="E101" s="4">
        <v>3</v>
      </c>
      <c r="F101" s="4">
        <v>192</v>
      </c>
      <c r="G101" s="4">
        <v>195</v>
      </c>
      <c r="H101" s="5">
        <v>40548</v>
      </c>
      <c r="I101" s="4">
        <v>1</v>
      </c>
      <c r="J101" s="4">
        <v>8</v>
      </c>
      <c r="K101" s="4" t="b">
        <f>IF(Append1[[#This Row],[days]]="working day",FALSE,TRUE)</f>
        <v>0</v>
      </c>
      <c r="L101" s="4">
        <v>3</v>
      </c>
      <c r="M101" s="4">
        <v>1</v>
      </c>
      <c r="N101" s="6">
        <v>0.2</v>
      </c>
      <c r="O101" s="2" t="str">
        <f>IF(Append1[[#This Row],[weekday]]=0,"holiday",IF(AND(Append1[[#This Row],[weekday]]&gt;1,Append1[[#This Row],[weekday]]&lt;7),"working day","weekend"))</f>
        <v>working day</v>
      </c>
      <c r="P101" s="4" t="str">
        <f>IF(Append1[[#This Row],[weathersit]]=0,"sunny",IF(Append1[[#This Row],[weathersit]]=1,"mist",IF(Append1[[#This Row],[weathersit]]=2,"lightrain","extremerain")))</f>
        <v>mist</v>
      </c>
    </row>
    <row r="102" spans="1:16" x14ac:dyDescent="0.25">
      <c r="A102" s="4">
        <v>101</v>
      </c>
      <c r="B102" s="4">
        <v>0.19700000000000001</v>
      </c>
      <c r="C102" s="4">
        <v>0.37</v>
      </c>
      <c r="D102" s="4">
        <v>0.32840000000000003</v>
      </c>
      <c r="E102" s="4">
        <v>6</v>
      </c>
      <c r="F102" s="4">
        <v>109</v>
      </c>
      <c r="G102" s="4">
        <v>115</v>
      </c>
      <c r="H102" s="5">
        <v>40548</v>
      </c>
      <c r="I102" s="4">
        <v>1</v>
      </c>
      <c r="J102" s="4">
        <v>9</v>
      </c>
      <c r="K102" s="4" t="b">
        <f>IF(Append1[[#This Row],[days]]="working day",FALSE,TRUE)</f>
        <v>0</v>
      </c>
      <c r="L102" s="4">
        <v>3</v>
      </c>
      <c r="M102" s="4">
        <v>1</v>
      </c>
      <c r="N102" s="6">
        <v>0.22</v>
      </c>
      <c r="O102" s="2" t="str">
        <f>IF(Append1[[#This Row],[weekday]]=0,"holiday",IF(AND(Append1[[#This Row],[weekday]]&gt;1,Append1[[#This Row],[weekday]]&lt;7),"working day","weekend"))</f>
        <v>working day</v>
      </c>
      <c r="P102" s="4" t="str">
        <f>IF(Append1[[#This Row],[weathersit]]=0,"sunny",IF(Append1[[#This Row],[weathersit]]=1,"mist",IF(Append1[[#This Row],[weathersit]]=2,"lightrain","extremerain")))</f>
        <v>mist</v>
      </c>
    </row>
    <row r="103" spans="1:16" x14ac:dyDescent="0.25">
      <c r="A103" s="4">
        <v>102</v>
      </c>
      <c r="B103" s="4">
        <v>0.19700000000000001</v>
      </c>
      <c r="C103" s="4">
        <v>0.37</v>
      </c>
      <c r="D103" s="4">
        <v>0.32840000000000003</v>
      </c>
      <c r="E103" s="4">
        <v>4</v>
      </c>
      <c r="F103" s="4">
        <v>53</v>
      </c>
      <c r="G103" s="4">
        <v>57</v>
      </c>
      <c r="H103" s="5">
        <v>40548</v>
      </c>
      <c r="I103" s="4">
        <v>1</v>
      </c>
      <c r="J103" s="4">
        <v>10</v>
      </c>
      <c r="K103" s="4" t="b">
        <f>IF(Append1[[#This Row],[days]]="working day",FALSE,TRUE)</f>
        <v>0</v>
      </c>
      <c r="L103" s="4">
        <v>3</v>
      </c>
      <c r="M103" s="4">
        <v>1</v>
      </c>
      <c r="N103" s="6">
        <v>0.22</v>
      </c>
      <c r="O103" s="2" t="str">
        <f>IF(Append1[[#This Row],[weekday]]=0,"holiday",IF(AND(Append1[[#This Row],[weekday]]&gt;1,Append1[[#This Row],[weekday]]&lt;7),"working day","weekend"))</f>
        <v>working day</v>
      </c>
      <c r="P103" s="4" t="str">
        <f>IF(Append1[[#This Row],[weathersit]]=0,"sunny",IF(Append1[[#This Row],[weathersit]]=1,"mist",IF(Append1[[#This Row],[weathersit]]=2,"lightrain","extremerain")))</f>
        <v>mist</v>
      </c>
    </row>
    <row r="104" spans="1:16" x14ac:dyDescent="0.25">
      <c r="A104" s="4">
        <v>103</v>
      </c>
      <c r="B104" s="4">
        <v>0.2273</v>
      </c>
      <c r="C104" s="4">
        <v>0.33</v>
      </c>
      <c r="D104" s="4">
        <v>0.32840000000000003</v>
      </c>
      <c r="E104" s="4">
        <v>12</v>
      </c>
      <c r="F104" s="4">
        <v>34</v>
      </c>
      <c r="G104" s="4">
        <v>46</v>
      </c>
      <c r="H104" s="5">
        <v>40548</v>
      </c>
      <c r="I104" s="4">
        <v>1</v>
      </c>
      <c r="J104" s="4">
        <v>11</v>
      </c>
      <c r="K104" s="4" t="b">
        <f>IF(Append1[[#This Row],[days]]="working day",FALSE,TRUE)</f>
        <v>0</v>
      </c>
      <c r="L104" s="4">
        <v>3</v>
      </c>
      <c r="M104" s="4">
        <v>1</v>
      </c>
      <c r="N104" s="6">
        <v>0.26</v>
      </c>
      <c r="O104" s="2" t="str">
        <f>IF(Append1[[#This Row],[weekday]]=0,"holiday",IF(AND(Append1[[#This Row],[weekday]]&gt;1,Append1[[#This Row],[weekday]]&lt;7),"working day","weekend"))</f>
        <v>working day</v>
      </c>
      <c r="P104" s="4" t="str">
        <f>IF(Append1[[#This Row],[weathersit]]=0,"sunny",IF(Append1[[#This Row],[weathersit]]=1,"mist",IF(Append1[[#This Row],[weathersit]]=2,"lightrain","extremerain")))</f>
        <v>mist</v>
      </c>
    </row>
    <row r="105" spans="1:16" x14ac:dyDescent="0.25">
      <c r="A105" s="4">
        <v>104</v>
      </c>
      <c r="B105" s="4">
        <v>0.2273</v>
      </c>
      <c r="C105" s="4">
        <v>0.33</v>
      </c>
      <c r="D105" s="4">
        <v>0.32840000000000003</v>
      </c>
      <c r="E105" s="4">
        <v>5</v>
      </c>
      <c r="F105" s="4">
        <v>74</v>
      </c>
      <c r="G105" s="4">
        <v>79</v>
      </c>
      <c r="H105" s="5">
        <v>40548</v>
      </c>
      <c r="I105" s="4">
        <v>1</v>
      </c>
      <c r="J105" s="4">
        <v>12</v>
      </c>
      <c r="K105" s="4" t="b">
        <f>IF(Append1[[#This Row],[days]]="working day",FALSE,TRUE)</f>
        <v>0</v>
      </c>
      <c r="L105" s="4">
        <v>3</v>
      </c>
      <c r="M105" s="4">
        <v>1</v>
      </c>
      <c r="N105" s="6">
        <v>0.26</v>
      </c>
      <c r="O105" s="2" t="str">
        <f>IF(Append1[[#This Row],[weekday]]=0,"holiday",IF(AND(Append1[[#This Row],[weekday]]&gt;1,Append1[[#This Row],[weekday]]&lt;7),"working day","weekend"))</f>
        <v>working day</v>
      </c>
      <c r="P105" s="4" t="str">
        <f>IF(Append1[[#This Row],[weathersit]]=0,"sunny",IF(Append1[[#This Row],[weathersit]]=1,"mist",IF(Append1[[#This Row],[weathersit]]=2,"lightrain","extremerain")))</f>
        <v>mist</v>
      </c>
    </row>
    <row r="106" spans="1:16" x14ac:dyDescent="0.25">
      <c r="A106" s="4">
        <v>105</v>
      </c>
      <c r="B106" s="4">
        <v>0.2576</v>
      </c>
      <c r="C106" s="4">
        <v>0.3</v>
      </c>
      <c r="D106" s="4">
        <v>0.29849999999999999</v>
      </c>
      <c r="E106" s="4">
        <v>6</v>
      </c>
      <c r="F106" s="4">
        <v>65</v>
      </c>
      <c r="G106" s="4">
        <v>71</v>
      </c>
      <c r="H106" s="5">
        <v>40548</v>
      </c>
      <c r="I106" s="4">
        <v>1</v>
      </c>
      <c r="J106" s="4">
        <v>13</v>
      </c>
      <c r="K106" s="4" t="b">
        <f>IF(Append1[[#This Row],[days]]="working day",FALSE,TRUE)</f>
        <v>0</v>
      </c>
      <c r="L106" s="4">
        <v>3</v>
      </c>
      <c r="M106" s="4">
        <v>1</v>
      </c>
      <c r="N106" s="6">
        <v>0.28000000000000003</v>
      </c>
      <c r="O106" s="2" t="str">
        <f>IF(Append1[[#This Row],[weekday]]=0,"holiday",IF(AND(Append1[[#This Row],[weekday]]&gt;1,Append1[[#This Row],[weekday]]&lt;7),"working day","weekend"))</f>
        <v>working day</v>
      </c>
      <c r="P106" s="4" t="str">
        <f>IF(Append1[[#This Row],[weathersit]]=0,"sunny",IF(Append1[[#This Row],[weathersit]]=1,"mist",IF(Append1[[#This Row],[weathersit]]=2,"lightrain","extremerain")))</f>
        <v>mist</v>
      </c>
    </row>
    <row r="107" spans="1:16" x14ac:dyDescent="0.25">
      <c r="A107" s="4">
        <v>106</v>
      </c>
      <c r="B107" s="4">
        <v>0.28789999999999999</v>
      </c>
      <c r="C107" s="4">
        <v>0.28000000000000003</v>
      </c>
      <c r="D107" s="4">
        <v>0.19400000000000001</v>
      </c>
      <c r="E107" s="4">
        <v>10</v>
      </c>
      <c r="F107" s="4">
        <v>52</v>
      </c>
      <c r="G107" s="4">
        <v>62</v>
      </c>
      <c r="H107" s="5">
        <v>40548</v>
      </c>
      <c r="I107" s="4">
        <v>1</v>
      </c>
      <c r="J107" s="4">
        <v>14</v>
      </c>
      <c r="K107" s="4" t="b">
        <f>IF(Append1[[#This Row],[days]]="working day",FALSE,TRUE)</f>
        <v>0</v>
      </c>
      <c r="L107" s="4">
        <v>3</v>
      </c>
      <c r="M107" s="4">
        <v>1</v>
      </c>
      <c r="N107" s="6">
        <v>0.3</v>
      </c>
      <c r="O107" s="2" t="str">
        <f>IF(Append1[[#This Row],[weekday]]=0,"holiday",IF(AND(Append1[[#This Row],[weekday]]&gt;1,Append1[[#This Row],[weekday]]&lt;7),"working day","weekend"))</f>
        <v>working day</v>
      </c>
      <c r="P107" s="4" t="str">
        <f>IF(Append1[[#This Row],[weathersit]]=0,"sunny",IF(Append1[[#This Row],[weathersit]]=1,"mist",IF(Append1[[#This Row],[weathersit]]=2,"lightrain","extremerain")))</f>
        <v>mist</v>
      </c>
    </row>
    <row r="108" spans="1:16" x14ac:dyDescent="0.25">
      <c r="A108" s="4">
        <v>107</v>
      </c>
      <c r="B108" s="4">
        <v>0.28789999999999999</v>
      </c>
      <c r="C108" s="4">
        <v>0.28000000000000003</v>
      </c>
      <c r="D108" s="4">
        <v>0.19400000000000001</v>
      </c>
      <c r="E108" s="4">
        <v>7</v>
      </c>
      <c r="F108" s="4">
        <v>55</v>
      </c>
      <c r="G108" s="4">
        <v>62</v>
      </c>
      <c r="H108" s="5">
        <v>40548</v>
      </c>
      <c r="I108" s="4">
        <v>1</v>
      </c>
      <c r="J108" s="4">
        <v>15</v>
      </c>
      <c r="K108" s="4" t="b">
        <f>IF(Append1[[#This Row],[days]]="working day",FALSE,TRUE)</f>
        <v>0</v>
      </c>
      <c r="L108" s="4">
        <v>3</v>
      </c>
      <c r="M108" s="4">
        <v>1</v>
      </c>
      <c r="N108" s="6">
        <v>0.3</v>
      </c>
      <c r="O108" s="2" t="str">
        <f>IF(Append1[[#This Row],[weekday]]=0,"holiday",IF(AND(Append1[[#This Row],[weekday]]&gt;1,Append1[[#This Row],[weekday]]&lt;7),"working day","weekend"))</f>
        <v>working day</v>
      </c>
      <c r="P108" s="4" t="str">
        <f>IF(Append1[[#This Row],[weathersit]]=0,"sunny",IF(Append1[[#This Row],[weathersit]]=1,"mist",IF(Append1[[#This Row],[weathersit]]=2,"lightrain","extremerain")))</f>
        <v>mist</v>
      </c>
    </row>
    <row r="109" spans="1:16" x14ac:dyDescent="0.25">
      <c r="A109" s="4">
        <v>108</v>
      </c>
      <c r="B109" s="4">
        <v>0.31819999999999998</v>
      </c>
      <c r="C109" s="4">
        <v>0.28000000000000003</v>
      </c>
      <c r="D109" s="4">
        <v>8.9599999999999999E-2</v>
      </c>
      <c r="E109" s="4">
        <v>4</v>
      </c>
      <c r="F109" s="4">
        <v>85</v>
      </c>
      <c r="G109" s="4">
        <v>89</v>
      </c>
      <c r="H109" s="5">
        <v>40548</v>
      </c>
      <c r="I109" s="4">
        <v>1</v>
      </c>
      <c r="J109" s="4">
        <v>16</v>
      </c>
      <c r="K109" s="4" t="b">
        <f>IF(Append1[[#This Row],[days]]="working day",FALSE,TRUE)</f>
        <v>0</v>
      </c>
      <c r="L109" s="4">
        <v>3</v>
      </c>
      <c r="M109" s="4">
        <v>1</v>
      </c>
      <c r="N109" s="6">
        <v>0.3</v>
      </c>
      <c r="O109" s="2" t="str">
        <f>IF(Append1[[#This Row],[weekday]]=0,"holiday",IF(AND(Append1[[#This Row],[weekday]]&gt;1,Append1[[#This Row],[weekday]]&lt;7),"working day","weekend"))</f>
        <v>working day</v>
      </c>
      <c r="P109" s="4" t="str">
        <f>IF(Append1[[#This Row],[weathersit]]=0,"sunny",IF(Append1[[#This Row],[weathersit]]=1,"mist",IF(Append1[[#This Row],[weathersit]]=2,"lightrain","extremerain")))</f>
        <v>mist</v>
      </c>
    </row>
    <row r="110" spans="1:16" x14ac:dyDescent="0.25">
      <c r="A110" s="4">
        <v>109</v>
      </c>
      <c r="B110" s="4">
        <v>0.2273</v>
      </c>
      <c r="C110" s="4">
        <v>0.38</v>
      </c>
      <c r="D110" s="4">
        <v>0.19400000000000001</v>
      </c>
      <c r="E110" s="4">
        <v>4</v>
      </c>
      <c r="F110" s="4">
        <v>186</v>
      </c>
      <c r="G110" s="4">
        <v>190</v>
      </c>
      <c r="H110" s="5">
        <v>40548</v>
      </c>
      <c r="I110" s="4">
        <v>1</v>
      </c>
      <c r="J110" s="4">
        <v>17</v>
      </c>
      <c r="K110" s="4" t="b">
        <f>IF(Append1[[#This Row],[days]]="working day",FALSE,TRUE)</f>
        <v>0</v>
      </c>
      <c r="L110" s="4">
        <v>3</v>
      </c>
      <c r="M110" s="4">
        <v>1</v>
      </c>
      <c r="N110" s="6">
        <v>0.24</v>
      </c>
      <c r="O110" s="2" t="str">
        <f>IF(Append1[[#This Row],[weekday]]=0,"holiday",IF(AND(Append1[[#This Row],[weekday]]&gt;1,Append1[[#This Row],[weekday]]&lt;7),"working day","weekend"))</f>
        <v>working day</v>
      </c>
      <c r="P110" s="4" t="str">
        <f>IF(Append1[[#This Row],[weathersit]]=0,"sunny",IF(Append1[[#This Row],[weathersit]]=1,"mist",IF(Append1[[#This Row],[weathersit]]=2,"lightrain","extremerain")))</f>
        <v>mist</v>
      </c>
    </row>
    <row r="111" spans="1:16" x14ac:dyDescent="0.25">
      <c r="A111" s="4">
        <v>110</v>
      </c>
      <c r="B111" s="4">
        <v>0.2424</v>
      </c>
      <c r="C111" s="4">
        <v>0.38</v>
      </c>
      <c r="D111" s="4">
        <v>0.1343</v>
      </c>
      <c r="E111" s="4">
        <v>3</v>
      </c>
      <c r="F111" s="4">
        <v>166</v>
      </c>
      <c r="G111" s="4">
        <v>169</v>
      </c>
      <c r="H111" s="5">
        <v>40548</v>
      </c>
      <c r="I111" s="4">
        <v>1</v>
      </c>
      <c r="J111" s="4">
        <v>18</v>
      </c>
      <c r="K111" s="4" t="b">
        <f>IF(Append1[[#This Row],[days]]="working day",FALSE,TRUE)</f>
        <v>0</v>
      </c>
      <c r="L111" s="4">
        <v>3</v>
      </c>
      <c r="M111" s="4">
        <v>1</v>
      </c>
      <c r="N111" s="6">
        <v>0.24</v>
      </c>
      <c r="O111" s="2" t="str">
        <f>IF(Append1[[#This Row],[weekday]]=0,"holiday",IF(AND(Append1[[#This Row],[weekday]]&gt;1,Append1[[#This Row],[weekday]]&lt;7),"working day","weekend"))</f>
        <v>working day</v>
      </c>
      <c r="P111" s="4" t="str">
        <f>IF(Append1[[#This Row],[weathersit]]=0,"sunny",IF(Append1[[#This Row],[weathersit]]=1,"mist",IF(Append1[[#This Row],[weathersit]]=2,"lightrain","extremerain")))</f>
        <v>mist</v>
      </c>
    </row>
    <row r="112" spans="1:16" x14ac:dyDescent="0.25">
      <c r="A112" s="4">
        <v>111</v>
      </c>
      <c r="B112" s="4">
        <v>0.2576</v>
      </c>
      <c r="C112" s="4">
        <v>0.38</v>
      </c>
      <c r="D112" s="4">
        <v>0.1045</v>
      </c>
      <c r="E112" s="4">
        <v>5</v>
      </c>
      <c r="F112" s="4">
        <v>127</v>
      </c>
      <c r="G112" s="4">
        <v>132</v>
      </c>
      <c r="H112" s="5">
        <v>40548</v>
      </c>
      <c r="I112" s="4">
        <v>1</v>
      </c>
      <c r="J112" s="4">
        <v>19</v>
      </c>
      <c r="K112" s="4" t="b">
        <f>IF(Append1[[#This Row],[days]]="working day",FALSE,TRUE)</f>
        <v>0</v>
      </c>
      <c r="L112" s="4">
        <v>3</v>
      </c>
      <c r="M112" s="4">
        <v>1</v>
      </c>
      <c r="N112" s="6">
        <v>0.24</v>
      </c>
      <c r="O112" s="2" t="str">
        <f>IF(Append1[[#This Row],[weekday]]=0,"holiday",IF(AND(Append1[[#This Row],[weekday]]&gt;1,Append1[[#This Row],[weekday]]&lt;7),"working day","weekend"))</f>
        <v>working day</v>
      </c>
      <c r="P112" s="4" t="str">
        <f>IF(Append1[[#This Row],[weathersit]]=0,"sunny",IF(Append1[[#This Row],[weathersit]]=1,"mist",IF(Append1[[#This Row],[weathersit]]=2,"lightrain","extremerain")))</f>
        <v>mist</v>
      </c>
    </row>
    <row r="113" spans="1:16" x14ac:dyDescent="0.25">
      <c r="A113" s="4">
        <v>112</v>
      </c>
      <c r="B113" s="4">
        <v>0.2273</v>
      </c>
      <c r="C113" s="4">
        <v>0.47</v>
      </c>
      <c r="D113" s="4">
        <v>0.16420000000000001</v>
      </c>
      <c r="E113" s="4">
        <v>7</v>
      </c>
      <c r="F113" s="4">
        <v>82</v>
      </c>
      <c r="G113" s="4">
        <v>89</v>
      </c>
      <c r="H113" s="5">
        <v>40548</v>
      </c>
      <c r="I113" s="4">
        <v>1</v>
      </c>
      <c r="J113" s="4">
        <v>20</v>
      </c>
      <c r="K113" s="4" t="b">
        <f>IF(Append1[[#This Row],[days]]="working day",FALSE,TRUE)</f>
        <v>0</v>
      </c>
      <c r="L113" s="4">
        <v>3</v>
      </c>
      <c r="M113" s="4">
        <v>1</v>
      </c>
      <c r="N113" s="6">
        <v>0.22</v>
      </c>
      <c r="O113" s="2" t="str">
        <f>IF(Append1[[#This Row],[weekday]]=0,"holiday",IF(AND(Append1[[#This Row],[weekday]]&gt;1,Append1[[#This Row],[weekday]]&lt;7),"working day","weekend"))</f>
        <v>working day</v>
      </c>
      <c r="P113" s="4" t="str">
        <f>IF(Append1[[#This Row],[weathersit]]=0,"sunny",IF(Append1[[#This Row],[weathersit]]=1,"mist",IF(Append1[[#This Row],[weathersit]]=2,"lightrain","extremerain")))</f>
        <v>mist</v>
      </c>
    </row>
    <row r="114" spans="1:16" x14ac:dyDescent="0.25">
      <c r="A114" s="4">
        <v>113</v>
      </c>
      <c r="B114" s="4">
        <v>0.19700000000000001</v>
      </c>
      <c r="C114" s="4">
        <v>0.51</v>
      </c>
      <c r="D114" s="4">
        <v>0.19400000000000001</v>
      </c>
      <c r="E114" s="4">
        <v>3</v>
      </c>
      <c r="F114" s="4">
        <v>40</v>
      </c>
      <c r="G114" s="4">
        <v>43</v>
      </c>
      <c r="H114" s="5">
        <v>40548</v>
      </c>
      <c r="I114" s="4">
        <v>1</v>
      </c>
      <c r="J114" s="4">
        <v>21</v>
      </c>
      <c r="K114" s="4" t="b">
        <f>IF(Append1[[#This Row],[days]]="working day",FALSE,TRUE)</f>
        <v>0</v>
      </c>
      <c r="L114" s="4">
        <v>3</v>
      </c>
      <c r="M114" s="4">
        <v>1</v>
      </c>
      <c r="N114" s="6">
        <v>0.2</v>
      </c>
      <c r="O114" s="2" t="str">
        <f>IF(Append1[[#This Row],[weekday]]=0,"holiday",IF(AND(Append1[[#This Row],[weekday]]&gt;1,Append1[[#This Row],[weekday]]&lt;7),"working day","weekend"))</f>
        <v>working day</v>
      </c>
      <c r="P114" s="4" t="str">
        <f>IF(Append1[[#This Row],[weathersit]]=0,"sunny",IF(Append1[[#This Row],[weathersit]]=1,"mist",IF(Append1[[#This Row],[weathersit]]=2,"lightrain","extremerain")))</f>
        <v>mist</v>
      </c>
    </row>
    <row r="115" spans="1:16" x14ac:dyDescent="0.25">
      <c r="A115" s="4">
        <v>114</v>
      </c>
      <c r="B115" s="4">
        <v>0.19700000000000001</v>
      </c>
      <c r="C115" s="4">
        <v>0.55000000000000004</v>
      </c>
      <c r="D115" s="4">
        <v>0.1343</v>
      </c>
      <c r="E115" s="4">
        <v>1</v>
      </c>
      <c r="F115" s="4">
        <v>41</v>
      </c>
      <c r="G115" s="4">
        <v>42</v>
      </c>
      <c r="H115" s="5">
        <v>40548</v>
      </c>
      <c r="I115" s="4">
        <v>1</v>
      </c>
      <c r="J115" s="4">
        <v>22</v>
      </c>
      <c r="K115" s="4" t="b">
        <f>IF(Append1[[#This Row],[days]]="working day",FALSE,TRUE)</f>
        <v>0</v>
      </c>
      <c r="L115" s="4">
        <v>3</v>
      </c>
      <c r="M115" s="4">
        <v>1</v>
      </c>
      <c r="N115" s="6">
        <v>0.18</v>
      </c>
      <c r="O115" s="2" t="str">
        <f>IF(Append1[[#This Row],[weekday]]=0,"holiday",IF(AND(Append1[[#This Row],[weekday]]&gt;1,Append1[[#This Row],[weekday]]&lt;7),"working day","weekend"))</f>
        <v>working day</v>
      </c>
      <c r="P115" s="4" t="str">
        <f>IF(Append1[[#This Row],[weathersit]]=0,"sunny",IF(Append1[[#This Row],[weathersit]]=1,"mist",IF(Append1[[#This Row],[weathersit]]=2,"lightrain","extremerain")))</f>
        <v>mist</v>
      </c>
    </row>
    <row r="116" spans="1:16" x14ac:dyDescent="0.25">
      <c r="A116" s="4">
        <v>115</v>
      </c>
      <c r="B116" s="4">
        <v>0.2576</v>
      </c>
      <c r="C116" s="4">
        <v>0.47</v>
      </c>
      <c r="D116" s="4">
        <v>0</v>
      </c>
      <c r="E116" s="4">
        <v>1</v>
      </c>
      <c r="F116" s="4">
        <v>18</v>
      </c>
      <c r="G116" s="4">
        <v>19</v>
      </c>
      <c r="H116" s="5">
        <v>40548</v>
      </c>
      <c r="I116" s="4">
        <v>1</v>
      </c>
      <c r="J116" s="4">
        <v>23</v>
      </c>
      <c r="K116" s="4" t="b">
        <f>IF(Append1[[#This Row],[days]]="working day",FALSE,TRUE)</f>
        <v>0</v>
      </c>
      <c r="L116" s="4">
        <v>3</v>
      </c>
      <c r="M116" s="4">
        <v>1</v>
      </c>
      <c r="N116" s="6">
        <v>0.2</v>
      </c>
      <c r="O116" s="2" t="str">
        <f>IF(Append1[[#This Row],[weekday]]=0,"holiday",IF(AND(Append1[[#This Row],[weekday]]&gt;1,Append1[[#This Row],[weekday]]&lt;7),"working day","weekend"))</f>
        <v>working day</v>
      </c>
      <c r="P116" s="4" t="str">
        <f>IF(Append1[[#This Row],[weathersit]]=0,"sunny",IF(Append1[[#This Row],[weathersit]]=1,"mist",IF(Append1[[#This Row],[weathersit]]=2,"lightrain","extremerain")))</f>
        <v>mist</v>
      </c>
    </row>
    <row r="117" spans="1:16" x14ac:dyDescent="0.25">
      <c r="A117" s="4">
        <v>116</v>
      </c>
      <c r="B117" s="4">
        <v>0.2424</v>
      </c>
      <c r="C117" s="4">
        <v>0.55000000000000004</v>
      </c>
      <c r="D117" s="4">
        <v>0</v>
      </c>
      <c r="E117" s="4">
        <v>0</v>
      </c>
      <c r="F117" s="4">
        <v>11</v>
      </c>
      <c r="G117" s="4">
        <v>11</v>
      </c>
      <c r="H117" s="5">
        <v>40549</v>
      </c>
      <c r="I117" s="4">
        <v>1</v>
      </c>
      <c r="J117" s="4">
        <v>0</v>
      </c>
      <c r="K117" s="4" t="b">
        <f>IF(Append1[[#This Row],[days]]="working day",FALSE,TRUE)</f>
        <v>0</v>
      </c>
      <c r="L117" s="4">
        <v>4</v>
      </c>
      <c r="M117" s="4">
        <v>1</v>
      </c>
      <c r="N117" s="6">
        <v>0.18</v>
      </c>
      <c r="O117" s="2" t="str">
        <f>IF(Append1[[#This Row],[weekday]]=0,"holiday",IF(AND(Append1[[#This Row],[weekday]]&gt;1,Append1[[#This Row],[weekday]]&lt;7),"working day","weekend"))</f>
        <v>working day</v>
      </c>
      <c r="P117" s="4" t="str">
        <f>IF(Append1[[#This Row],[weathersit]]=0,"sunny",IF(Append1[[#This Row],[weathersit]]=1,"mist",IF(Append1[[#This Row],[weathersit]]=2,"lightrain","extremerain")))</f>
        <v>mist</v>
      </c>
    </row>
    <row r="118" spans="1:16" x14ac:dyDescent="0.25">
      <c r="A118" s="4">
        <v>117</v>
      </c>
      <c r="B118" s="4">
        <v>0.2273</v>
      </c>
      <c r="C118" s="4">
        <v>0.64</v>
      </c>
      <c r="D118" s="4">
        <v>0</v>
      </c>
      <c r="E118" s="4">
        <v>0</v>
      </c>
      <c r="F118" s="4">
        <v>4</v>
      </c>
      <c r="G118" s="4">
        <v>4</v>
      </c>
      <c r="H118" s="5">
        <v>40549</v>
      </c>
      <c r="I118" s="4">
        <v>1</v>
      </c>
      <c r="J118" s="4">
        <v>1</v>
      </c>
      <c r="K118" s="4" t="b">
        <f>IF(Append1[[#This Row],[days]]="working day",FALSE,TRUE)</f>
        <v>0</v>
      </c>
      <c r="L118" s="4">
        <v>4</v>
      </c>
      <c r="M118" s="4">
        <v>1</v>
      </c>
      <c r="N118" s="6">
        <v>0.16</v>
      </c>
      <c r="O118" s="2" t="str">
        <f>IF(Append1[[#This Row],[weekday]]=0,"holiday",IF(AND(Append1[[#This Row],[weekday]]&gt;1,Append1[[#This Row],[weekday]]&lt;7),"working day","weekend"))</f>
        <v>working day</v>
      </c>
      <c r="P118" s="4" t="str">
        <f>IF(Append1[[#This Row],[weathersit]]=0,"sunny",IF(Append1[[#This Row],[weathersit]]=1,"mist",IF(Append1[[#This Row],[weathersit]]=2,"lightrain","extremerain")))</f>
        <v>mist</v>
      </c>
    </row>
    <row r="119" spans="1:16" x14ac:dyDescent="0.25">
      <c r="A119" s="4">
        <v>118</v>
      </c>
      <c r="B119" s="4">
        <v>0.2273</v>
      </c>
      <c r="C119" s="4">
        <v>0.64</v>
      </c>
      <c r="D119" s="4">
        <v>0</v>
      </c>
      <c r="E119" s="4">
        <v>0</v>
      </c>
      <c r="F119" s="4">
        <v>2</v>
      </c>
      <c r="G119" s="4">
        <v>2</v>
      </c>
      <c r="H119" s="5">
        <v>40549</v>
      </c>
      <c r="I119" s="4">
        <v>1</v>
      </c>
      <c r="J119" s="4">
        <v>2</v>
      </c>
      <c r="K119" s="4" t="b">
        <f>IF(Append1[[#This Row],[days]]="working day",FALSE,TRUE)</f>
        <v>0</v>
      </c>
      <c r="L119" s="4">
        <v>4</v>
      </c>
      <c r="M119" s="4">
        <v>1</v>
      </c>
      <c r="N119" s="6">
        <v>0.16</v>
      </c>
      <c r="O119" s="2" t="str">
        <f>IF(Append1[[#This Row],[weekday]]=0,"holiday",IF(AND(Append1[[#This Row],[weekday]]&gt;1,Append1[[#This Row],[weekday]]&lt;7),"working day","weekend"))</f>
        <v>working day</v>
      </c>
      <c r="P119" s="4" t="str">
        <f>IF(Append1[[#This Row],[weathersit]]=0,"sunny",IF(Append1[[#This Row],[weathersit]]=1,"mist",IF(Append1[[#This Row],[weathersit]]=2,"lightrain","extremerain")))</f>
        <v>mist</v>
      </c>
    </row>
    <row r="120" spans="1:16" x14ac:dyDescent="0.25">
      <c r="A120" s="4">
        <v>119</v>
      </c>
      <c r="B120" s="4">
        <v>0.19700000000000001</v>
      </c>
      <c r="C120" s="4">
        <v>0.64</v>
      </c>
      <c r="D120" s="4">
        <v>8.9599999999999999E-2</v>
      </c>
      <c r="E120" s="4">
        <v>0</v>
      </c>
      <c r="F120" s="4">
        <v>1</v>
      </c>
      <c r="G120" s="4">
        <v>1</v>
      </c>
      <c r="H120" s="5">
        <v>40549</v>
      </c>
      <c r="I120" s="4">
        <v>1</v>
      </c>
      <c r="J120" s="4">
        <v>4</v>
      </c>
      <c r="K120" s="4" t="b">
        <f>IF(Append1[[#This Row],[days]]="working day",FALSE,TRUE)</f>
        <v>0</v>
      </c>
      <c r="L120" s="4">
        <v>4</v>
      </c>
      <c r="M120" s="4">
        <v>2</v>
      </c>
      <c r="N120" s="6">
        <v>0.16</v>
      </c>
      <c r="O120" s="2" t="str">
        <f>IF(Append1[[#This Row],[weekday]]=0,"holiday",IF(AND(Append1[[#This Row],[weekday]]&gt;1,Append1[[#This Row],[weekday]]&lt;7),"working day","weekend"))</f>
        <v>working day</v>
      </c>
      <c r="P120" s="4" t="str">
        <f>IF(Append1[[#This Row],[weathersit]]=0,"sunny",IF(Append1[[#This Row],[weathersit]]=1,"mist",IF(Append1[[#This Row],[weathersit]]=2,"lightrain","extremerain")))</f>
        <v>lightrain</v>
      </c>
    </row>
    <row r="121" spans="1:16" x14ac:dyDescent="0.25">
      <c r="A121" s="4">
        <v>120</v>
      </c>
      <c r="B121" s="4">
        <v>0.18179999999999999</v>
      </c>
      <c r="C121" s="4">
        <v>0.69</v>
      </c>
      <c r="D121" s="4">
        <v>8.9599999999999999E-2</v>
      </c>
      <c r="E121" s="4">
        <v>0</v>
      </c>
      <c r="F121" s="4">
        <v>4</v>
      </c>
      <c r="G121" s="4">
        <v>4</v>
      </c>
      <c r="H121" s="5">
        <v>40549</v>
      </c>
      <c r="I121" s="4">
        <v>1</v>
      </c>
      <c r="J121" s="4">
        <v>5</v>
      </c>
      <c r="K121" s="4" t="b">
        <f>IF(Append1[[#This Row],[days]]="working day",FALSE,TRUE)</f>
        <v>0</v>
      </c>
      <c r="L121" s="4">
        <v>4</v>
      </c>
      <c r="M121" s="4">
        <v>2</v>
      </c>
      <c r="N121" s="6">
        <v>0.14000000000000001</v>
      </c>
      <c r="O121" s="2" t="str">
        <f>IF(Append1[[#This Row],[weekday]]=0,"holiday",IF(AND(Append1[[#This Row],[weekday]]&gt;1,Append1[[#This Row],[weekday]]&lt;7),"working day","weekend"))</f>
        <v>working day</v>
      </c>
      <c r="P121" s="4" t="str">
        <f>IF(Append1[[#This Row],[weathersit]]=0,"sunny",IF(Append1[[#This Row],[weathersit]]=1,"mist",IF(Append1[[#This Row],[weathersit]]=2,"lightrain","extremerain")))</f>
        <v>lightrain</v>
      </c>
    </row>
    <row r="122" spans="1:16" x14ac:dyDescent="0.25">
      <c r="A122" s="4">
        <v>121</v>
      </c>
      <c r="B122" s="4">
        <v>0.16669999999999999</v>
      </c>
      <c r="C122" s="4">
        <v>0.63</v>
      </c>
      <c r="D122" s="4">
        <v>0.1045</v>
      </c>
      <c r="E122" s="4">
        <v>0</v>
      </c>
      <c r="F122" s="4">
        <v>36</v>
      </c>
      <c r="G122" s="4">
        <v>36</v>
      </c>
      <c r="H122" s="5">
        <v>40549</v>
      </c>
      <c r="I122" s="4">
        <v>1</v>
      </c>
      <c r="J122" s="4">
        <v>6</v>
      </c>
      <c r="K122" s="4" t="b">
        <f>IF(Append1[[#This Row],[days]]="working day",FALSE,TRUE)</f>
        <v>0</v>
      </c>
      <c r="L122" s="4">
        <v>4</v>
      </c>
      <c r="M122" s="4">
        <v>2</v>
      </c>
      <c r="N122" s="6">
        <v>0.14000000000000001</v>
      </c>
      <c r="O122" s="2" t="str">
        <f>IF(Append1[[#This Row],[weekday]]=0,"holiday",IF(AND(Append1[[#This Row],[weekday]]&gt;1,Append1[[#This Row],[weekday]]&lt;7),"working day","weekend"))</f>
        <v>working day</v>
      </c>
      <c r="P122" s="4" t="str">
        <f>IF(Append1[[#This Row],[weathersit]]=0,"sunny",IF(Append1[[#This Row],[weathersit]]=1,"mist",IF(Append1[[#This Row],[weathersit]]=2,"lightrain","extremerain")))</f>
        <v>lightrain</v>
      </c>
    </row>
    <row r="123" spans="1:16" x14ac:dyDescent="0.25">
      <c r="A123" s="4">
        <v>122</v>
      </c>
      <c r="B123" s="4">
        <v>0.2273</v>
      </c>
      <c r="C123" s="4">
        <v>0.59</v>
      </c>
      <c r="D123" s="4">
        <v>0</v>
      </c>
      <c r="E123" s="4">
        <v>0</v>
      </c>
      <c r="F123" s="4">
        <v>95</v>
      </c>
      <c r="G123" s="4">
        <v>95</v>
      </c>
      <c r="H123" s="5">
        <v>40549</v>
      </c>
      <c r="I123" s="4">
        <v>1</v>
      </c>
      <c r="J123" s="4">
        <v>7</v>
      </c>
      <c r="K123" s="4" t="b">
        <f>IF(Append1[[#This Row],[days]]="working day",FALSE,TRUE)</f>
        <v>0</v>
      </c>
      <c r="L123" s="4">
        <v>4</v>
      </c>
      <c r="M123" s="4">
        <v>2</v>
      </c>
      <c r="N123" s="6">
        <v>0.16</v>
      </c>
      <c r="O123" s="2" t="str">
        <f>IF(Append1[[#This Row],[weekday]]=0,"holiday",IF(AND(Append1[[#This Row],[weekday]]&gt;1,Append1[[#This Row],[weekday]]&lt;7),"working day","weekend"))</f>
        <v>working day</v>
      </c>
      <c r="P123" s="4" t="str">
        <f>IF(Append1[[#This Row],[weathersit]]=0,"sunny",IF(Append1[[#This Row],[weathersit]]=1,"mist",IF(Append1[[#This Row],[weathersit]]=2,"lightrain","extremerain")))</f>
        <v>lightrain</v>
      </c>
    </row>
    <row r="124" spans="1:16" x14ac:dyDescent="0.25">
      <c r="A124" s="4">
        <v>123</v>
      </c>
      <c r="B124" s="4">
        <v>0.2273</v>
      </c>
      <c r="C124" s="4">
        <v>0.59</v>
      </c>
      <c r="D124" s="4">
        <v>0</v>
      </c>
      <c r="E124" s="4">
        <v>3</v>
      </c>
      <c r="F124" s="4">
        <v>216</v>
      </c>
      <c r="G124" s="4">
        <v>219</v>
      </c>
      <c r="H124" s="5">
        <v>40549</v>
      </c>
      <c r="I124" s="4">
        <v>1</v>
      </c>
      <c r="J124" s="4">
        <v>8</v>
      </c>
      <c r="K124" s="4" t="b">
        <f>IF(Append1[[#This Row],[days]]="working day",FALSE,TRUE)</f>
        <v>0</v>
      </c>
      <c r="L124" s="4">
        <v>4</v>
      </c>
      <c r="M124" s="4">
        <v>1</v>
      </c>
      <c r="N124" s="6">
        <v>0.16</v>
      </c>
      <c r="O124" s="2" t="str">
        <f>IF(Append1[[#This Row],[weekday]]=0,"holiday",IF(AND(Append1[[#This Row],[weekday]]&gt;1,Append1[[#This Row],[weekday]]&lt;7),"working day","weekend"))</f>
        <v>working day</v>
      </c>
      <c r="P124" s="4" t="str">
        <f>IF(Append1[[#This Row],[weathersit]]=0,"sunny",IF(Append1[[#This Row],[weathersit]]=1,"mist",IF(Append1[[#This Row],[weathersit]]=2,"lightrain","extremerain")))</f>
        <v>mist</v>
      </c>
    </row>
    <row r="125" spans="1:16" x14ac:dyDescent="0.25">
      <c r="A125" s="4">
        <v>124</v>
      </c>
      <c r="B125" s="4">
        <v>0.2424</v>
      </c>
      <c r="C125" s="4">
        <v>0.51</v>
      </c>
      <c r="D125" s="4">
        <v>0</v>
      </c>
      <c r="E125" s="4">
        <v>6</v>
      </c>
      <c r="F125" s="4">
        <v>116</v>
      </c>
      <c r="G125" s="4">
        <v>122</v>
      </c>
      <c r="H125" s="5">
        <v>40549</v>
      </c>
      <c r="I125" s="4">
        <v>1</v>
      </c>
      <c r="J125" s="4">
        <v>9</v>
      </c>
      <c r="K125" s="4" t="b">
        <f>IF(Append1[[#This Row],[days]]="working day",FALSE,TRUE)</f>
        <v>0</v>
      </c>
      <c r="L125" s="4">
        <v>4</v>
      </c>
      <c r="M125" s="4">
        <v>2</v>
      </c>
      <c r="N125" s="6">
        <v>0.18</v>
      </c>
      <c r="O125" s="2" t="str">
        <f>IF(Append1[[#This Row],[weekday]]=0,"holiday",IF(AND(Append1[[#This Row],[weekday]]&gt;1,Append1[[#This Row],[weekday]]&lt;7),"working day","weekend"))</f>
        <v>working day</v>
      </c>
      <c r="P125" s="4" t="str">
        <f>IF(Append1[[#This Row],[weathersit]]=0,"sunny",IF(Append1[[#This Row],[weathersit]]=1,"mist",IF(Append1[[#This Row],[weathersit]]=2,"lightrain","extremerain")))</f>
        <v>lightrain</v>
      </c>
    </row>
    <row r="126" spans="1:16" x14ac:dyDescent="0.25">
      <c r="A126" s="4">
        <v>125</v>
      </c>
      <c r="B126" s="4">
        <v>0.2576</v>
      </c>
      <c r="C126" s="4">
        <v>0.47</v>
      </c>
      <c r="D126" s="4">
        <v>0</v>
      </c>
      <c r="E126" s="4">
        <v>3</v>
      </c>
      <c r="F126" s="4">
        <v>42</v>
      </c>
      <c r="G126" s="4">
        <v>45</v>
      </c>
      <c r="H126" s="5">
        <v>40549</v>
      </c>
      <c r="I126" s="4">
        <v>1</v>
      </c>
      <c r="J126" s="4">
        <v>10</v>
      </c>
      <c r="K126" s="4" t="b">
        <f>IF(Append1[[#This Row],[days]]="working day",FALSE,TRUE)</f>
        <v>0</v>
      </c>
      <c r="L126" s="4">
        <v>4</v>
      </c>
      <c r="M126" s="4">
        <v>1</v>
      </c>
      <c r="N126" s="6">
        <v>0.2</v>
      </c>
      <c r="O126" s="2" t="str">
        <f>IF(Append1[[#This Row],[weekday]]=0,"holiday",IF(AND(Append1[[#This Row],[weekday]]&gt;1,Append1[[#This Row],[weekday]]&lt;7),"working day","weekend"))</f>
        <v>working day</v>
      </c>
      <c r="P126" s="4" t="str">
        <f>IF(Append1[[#This Row],[weathersit]]=0,"sunny",IF(Append1[[#This Row],[weathersit]]=1,"mist",IF(Append1[[#This Row],[weathersit]]=2,"lightrain","extremerain")))</f>
        <v>mist</v>
      </c>
    </row>
    <row r="127" spans="1:16" x14ac:dyDescent="0.25">
      <c r="A127" s="4">
        <v>126</v>
      </c>
      <c r="B127" s="4">
        <v>0.2576</v>
      </c>
      <c r="C127" s="4">
        <v>0.44</v>
      </c>
      <c r="D127" s="4">
        <v>8.9599999999999999E-2</v>
      </c>
      <c r="E127" s="4">
        <v>2</v>
      </c>
      <c r="F127" s="4">
        <v>57</v>
      </c>
      <c r="G127" s="4">
        <v>59</v>
      </c>
      <c r="H127" s="5">
        <v>40549</v>
      </c>
      <c r="I127" s="4">
        <v>1</v>
      </c>
      <c r="J127" s="4">
        <v>11</v>
      </c>
      <c r="K127" s="4" t="b">
        <f>IF(Append1[[#This Row],[days]]="working day",FALSE,TRUE)</f>
        <v>0</v>
      </c>
      <c r="L127" s="4">
        <v>4</v>
      </c>
      <c r="M127" s="4">
        <v>1</v>
      </c>
      <c r="N127" s="6">
        <v>0.22</v>
      </c>
      <c r="O127" s="2" t="str">
        <f>IF(Append1[[#This Row],[weekday]]=0,"holiday",IF(AND(Append1[[#This Row],[weekday]]&gt;1,Append1[[#This Row],[weekday]]&lt;7),"working day","weekend"))</f>
        <v>working day</v>
      </c>
      <c r="P127" s="4" t="str">
        <f>IF(Append1[[#This Row],[weathersit]]=0,"sunny",IF(Append1[[#This Row],[weathersit]]=1,"mist",IF(Append1[[#This Row],[weathersit]]=2,"lightrain","extremerain")))</f>
        <v>mist</v>
      </c>
    </row>
    <row r="128" spans="1:16" x14ac:dyDescent="0.25">
      <c r="A128" s="4">
        <v>127</v>
      </c>
      <c r="B128" s="4">
        <v>0.28789999999999999</v>
      </c>
      <c r="C128" s="4">
        <v>0.35</v>
      </c>
      <c r="D128" s="4">
        <v>0</v>
      </c>
      <c r="E128" s="4">
        <v>6</v>
      </c>
      <c r="F128" s="4">
        <v>78</v>
      </c>
      <c r="G128" s="4">
        <v>84</v>
      </c>
      <c r="H128" s="5">
        <v>40549</v>
      </c>
      <c r="I128" s="4">
        <v>1</v>
      </c>
      <c r="J128" s="4">
        <v>12</v>
      </c>
      <c r="K128" s="4" t="b">
        <f>IF(Append1[[#This Row],[days]]="working day",FALSE,TRUE)</f>
        <v>0</v>
      </c>
      <c r="L128" s="4">
        <v>4</v>
      </c>
      <c r="M128" s="4">
        <v>1</v>
      </c>
      <c r="N128" s="6">
        <v>0.26</v>
      </c>
      <c r="O128" s="2" t="str">
        <f>IF(Append1[[#This Row],[weekday]]=0,"holiday",IF(AND(Append1[[#This Row],[weekday]]&gt;1,Append1[[#This Row],[weekday]]&lt;7),"working day","weekend"))</f>
        <v>working day</v>
      </c>
      <c r="P128" s="4" t="str">
        <f>IF(Append1[[#This Row],[weathersit]]=0,"sunny",IF(Append1[[#This Row],[weathersit]]=1,"mist",IF(Append1[[#This Row],[weathersit]]=2,"lightrain","extremerain")))</f>
        <v>mist</v>
      </c>
    </row>
    <row r="129" spans="1:16" x14ac:dyDescent="0.25">
      <c r="A129" s="4">
        <v>128</v>
      </c>
      <c r="B129" s="4">
        <v>0.2727</v>
      </c>
      <c r="C129" s="4">
        <v>0.35</v>
      </c>
      <c r="D129" s="4">
        <v>0.1045</v>
      </c>
      <c r="E129" s="4">
        <v>12</v>
      </c>
      <c r="F129" s="4">
        <v>55</v>
      </c>
      <c r="G129" s="4">
        <v>67</v>
      </c>
      <c r="H129" s="5">
        <v>40549</v>
      </c>
      <c r="I129" s="4">
        <v>1</v>
      </c>
      <c r="J129" s="4">
        <v>13</v>
      </c>
      <c r="K129" s="4" t="b">
        <f>IF(Append1[[#This Row],[days]]="working day",FALSE,TRUE)</f>
        <v>0</v>
      </c>
      <c r="L129" s="4">
        <v>4</v>
      </c>
      <c r="M129" s="4">
        <v>1</v>
      </c>
      <c r="N129" s="6">
        <v>0.26</v>
      </c>
      <c r="O129" s="2" t="str">
        <f>IF(Append1[[#This Row],[weekday]]=0,"holiday",IF(AND(Append1[[#This Row],[weekday]]&gt;1,Append1[[#This Row],[weekday]]&lt;7),"working day","weekend"))</f>
        <v>working day</v>
      </c>
      <c r="P129" s="4" t="str">
        <f>IF(Append1[[#This Row],[weathersit]]=0,"sunny",IF(Append1[[#This Row],[weathersit]]=1,"mist",IF(Append1[[#This Row],[weathersit]]=2,"lightrain","extremerain")))</f>
        <v>mist</v>
      </c>
    </row>
    <row r="130" spans="1:16" x14ac:dyDescent="0.25">
      <c r="A130" s="4">
        <v>129</v>
      </c>
      <c r="B130" s="4">
        <v>0.2727</v>
      </c>
      <c r="C130" s="4">
        <v>0.36</v>
      </c>
      <c r="D130" s="4">
        <v>0.16420000000000001</v>
      </c>
      <c r="E130" s="4">
        <v>11</v>
      </c>
      <c r="F130" s="4">
        <v>59</v>
      </c>
      <c r="G130" s="4">
        <v>70</v>
      </c>
      <c r="H130" s="5">
        <v>40549</v>
      </c>
      <c r="I130" s="4">
        <v>1</v>
      </c>
      <c r="J130" s="4">
        <v>14</v>
      </c>
      <c r="K130" s="4" t="b">
        <f>IF(Append1[[#This Row],[days]]="working day",FALSE,TRUE)</f>
        <v>0</v>
      </c>
      <c r="L130" s="4">
        <v>4</v>
      </c>
      <c r="M130" s="4">
        <v>1</v>
      </c>
      <c r="N130" s="6">
        <v>0.28000000000000003</v>
      </c>
      <c r="O130" s="2" t="str">
        <f>IF(Append1[[#This Row],[weekday]]=0,"holiday",IF(AND(Append1[[#This Row],[weekday]]&gt;1,Append1[[#This Row],[weekday]]&lt;7),"working day","weekend"))</f>
        <v>working day</v>
      </c>
      <c r="P130" s="4" t="str">
        <f>IF(Append1[[#This Row],[weathersit]]=0,"sunny",IF(Append1[[#This Row],[weathersit]]=1,"mist",IF(Append1[[#This Row],[weathersit]]=2,"lightrain","extremerain")))</f>
        <v>mist</v>
      </c>
    </row>
    <row r="131" spans="1:16" x14ac:dyDescent="0.25">
      <c r="A131" s="4">
        <v>130</v>
      </c>
      <c r="B131" s="4">
        <v>0.2727</v>
      </c>
      <c r="C131" s="4">
        <v>0.36</v>
      </c>
      <c r="D131" s="4">
        <v>0</v>
      </c>
      <c r="E131" s="4">
        <v>8</v>
      </c>
      <c r="F131" s="4">
        <v>54</v>
      </c>
      <c r="G131" s="4">
        <v>62</v>
      </c>
      <c r="H131" s="5">
        <v>40549</v>
      </c>
      <c r="I131" s="4">
        <v>1</v>
      </c>
      <c r="J131" s="4">
        <v>15</v>
      </c>
      <c r="K131" s="4" t="b">
        <f>IF(Append1[[#This Row],[days]]="working day",FALSE,TRUE)</f>
        <v>0</v>
      </c>
      <c r="L131" s="4">
        <v>4</v>
      </c>
      <c r="M131" s="4">
        <v>1</v>
      </c>
      <c r="N131" s="6">
        <v>0.28000000000000003</v>
      </c>
      <c r="O131" s="2" t="str">
        <f>IF(Append1[[#This Row],[weekday]]=0,"holiday",IF(AND(Append1[[#This Row],[weekday]]&gt;1,Append1[[#This Row],[weekday]]&lt;7),"working day","weekend"))</f>
        <v>working day</v>
      </c>
      <c r="P131" s="4" t="str">
        <f>IF(Append1[[#This Row],[weathersit]]=0,"sunny",IF(Append1[[#This Row],[weathersit]]=1,"mist",IF(Append1[[#This Row],[weathersit]]=2,"lightrain","extremerain")))</f>
        <v>mist</v>
      </c>
    </row>
    <row r="132" spans="1:16" x14ac:dyDescent="0.25">
      <c r="A132" s="4">
        <v>131</v>
      </c>
      <c r="B132" s="4">
        <v>0.2576</v>
      </c>
      <c r="C132" s="4">
        <v>0.38</v>
      </c>
      <c r="D132" s="4">
        <v>0.16420000000000001</v>
      </c>
      <c r="E132" s="4">
        <v>12</v>
      </c>
      <c r="F132" s="4">
        <v>74</v>
      </c>
      <c r="G132" s="4">
        <v>86</v>
      </c>
      <c r="H132" s="5">
        <v>40549</v>
      </c>
      <c r="I132" s="4">
        <v>1</v>
      </c>
      <c r="J132" s="4">
        <v>16</v>
      </c>
      <c r="K132" s="4" t="b">
        <f>IF(Append1[[#This Row],[days]]="working day",FALSE,TRUE)</f>
        <v>0</v>
      </c>
      <c r="L132" s="4">
        <v>4</v>
      </c>
      <c r="M132" s="4">
        <v>1</v>
      </c>
      <c r="N132" s="6">
        <v>0.26</v>
      </c>
      <c r="O132" s="2" t="str">
        <f>IF(Append1[[#This Row],[weekday]]=0,"holiday",IF(AND(Append1[[#This Row],[weekday]]&gt;1,Append1[[#This Row],[weekday]]&lt;7),"working day","weekend"))</f>
        <v>working day</v>
      </c>
      <c r="P132" s="4" t="str">
        <f>IF(Append1[[#This Row],[weathersit]]=0,"sunny",IF(Append1[[#This Row],[weathersit]]=1,"mist",IF(Append1[[#This Row],[weathersit]]=2,"lightrain","extremerain")))</f>
        <v>mist</v>
      </c>
    </row>
    <row r="133" spans="1:16" x14ac:dyDescent="0.25">
      <c r="A133" s="4">
        <v>132</v>
      </c>
      <c r="B133" s="4">
        <v>0.2273</v>
      </c>
      <c r="C133" s="4">
        <v>0.51</v>
      </c>
      <c r="D133" s="4">
        <v>0.16420000000000001</v>
      </c>
      <c r="E133" s="4">
        <v>9</v>
      </c>
      <c r="F133" s="4">
        <v>163</v>
      </c>
      <c r="G133" s="4">
        <v>172</v>
      </c>
      <c r="H133" s="5">
        <v>40549</v>
      </c>
      <c r="I133" s="4">
        <v>1</v>
      </c>
      <c r="J133" s="4">
        <v>17</v>
      </c>
      <c r="K133" s="4" t="b">
        <f>IF(Append1[[#This Row],[days]]="working day",FALSE,TRUE)</f>
        <v>0</v>
      </c>
      <c r="L133" s="4">
        <v>4</v>
      </c>
      <c r="M133" s="4">
        <v>1</v>
      </c>
      <c r="N133" s="6">
        <v>0.22</v>
      </c>
      <c r="O133" s="2" t="str">
        <f>IF(Append1[[#This Row],[weekday]]=0,"holiday",IF(AND(Append1[[#This Row],[weekday]]&gt;1,Append1[[#This Row],[weekday]]&lt;7),"working day","weekend"))</f>
        <v>working day</v>
      </c>
      <c r="P133" s="4" t="str">
        <f>IF(Append1[[#This Row],[weathersit]]=0,"sunny",IF(Append1[[#This Row],[weathersit]]=1,"mist",IF(Append1[[#This Row],[weathersit]]=2,"lightrain","extremerain")))</f>
        <v>mist</v>
      </c>
    </row>
    <row r="134" spans="1:16" x14ac:dyDescent="0.25">
      <c r="A134" s="4">
        <v>133</v>
      </c>
      <c r="B134" s="4">
        <v>0.2273</v>
      </c>
      <c r="C134" s="4">
        <v>0.51</v>
      </c>
      <c r="D134" s="4">
        <v>0.1343</v>
      </c>
      <c r="E134" s="4">
        <v>5</v>
      </c>
      <c r="F134" s="4">
        <v>158</v>
      </c>
      <c r="G134" s="4">
        <v>163</v>
      </c>
      <c r="H134" s="5">
        <v>40549</v>
      </c>
      <c r="I134" s="4">
        <v>1</v>
      </c>
      <c r="J134" s="4">
        <v>18</v>
      </c>
      <c r="K134" s="4" t="b">
        <f>IF(Append1[[#This Row],[days]]="working day",FALSE,TRUE)</f>
        <v>0</v>
      </c>
      <c r="L134" s="4">
        <v>4</v>
      </c>
      <c r="M134" s="4">
        <v>1</v>
      </c>
      <c r="N134" s="6">
        <v>0.22</v>
      </c>
      <c r="O134" s="2" t="str">
        <f>IF(Append1[[#This Row],[weekday]]=0,"holiday",IF(AND(Append1[[#This Row],[weekday]]&gt;1,Append1[[#This Row],[weekday]]&lt;7),"working day","weekend"))</f>
        <v>working day</v>
      </c>
      <c r="P134" s="4" t="str">
        <f>IF(Append1[[#This Row],[weathersit]]=0,"sunny",IF(Append1[[#This Row],[weathersit]]=1,"mist",IF(Append1[[#This Row],[weathersit]]=2,"lightrain","extremerain")))</f>
        <v>mist</v>
      </c>
    </row>
    <row r="135" spans="1:16" x14ac:dyDescent="0.25">
      <c r="A135" s="4">
        <v>134</v>
      </c>
      <c r="B135" s="4">
        <v>0.2576</v>
      </c>
      <c r="C135" s="4">
        <v>0.55000000000000004</v>
      </c>
      <c r="D135" s="4">
        <v>8.9599999999999999E-2</v>
      </c>
      <c r="E135" s="4">
        <v>3</v>
      </c>
      <c r="F135" s="4">
        <v>109</v>
      </c>
      <c r="G135" s="4">
        <v>112</v>
      </c>
      <c r="H135" s="5">
        <v>40549</v>
      </c>
      <c r="I135" s="4">
        <v>1</v>
      </c>
      <c r="J135" s="4">
        <v>19</v>
      </c>
      <c r="K135" s="4" t="b">
        <f>IF(Append1[[#This Row],[days]]="working day",FALSE,TRUE)</f>
        <v>0</v>
      </c>
      <c r="L135" s="4">
        <v>4</v>
      </c>
      <c r="M135" s="4">
        <v>1</v>
      </c>
      <c r="N135" s="6">
        <v>0.22</v>
      </c>
      <c r="O135" s="2" t="str">
        <f>IF(Append1[[#This Row],[weekday]]=0,"holiday",IF(AND(Append1[[#This Row],[weekday]]&gt;1,Append1[[#This Row],[weekday]]&lt;7),"working day","weekend"))</f>
        <v>working day</v>
      </c>
      <c r="P135" s="4" t="str">
        <f>IF(Append1[[#This Row],[weathersit]]=0,"sunny",IF(Append1[[#This Row],[weathersit]]=1,"mist",IF(Append1[[#This Row],[weathersit]]=2,"lightrain","extremerain")))</f>
        <v>mist</v>
      </c>
    </row>
    <row r="136" spans="1:16" x14ac:dyDescent="0.25">
      <c r="A136" s="4">
        <v>135</v>
      </c>
      <c r="B136" s="4">
        <v>0.21210000000000001</v>
      </c>
      <c r="C136" s="4">
        <v>0.51</v>
      </c>
      <c r="D136" s="4">
        <v>0.16420000000000001</v>
      </c>
      <c r="E136" s="4">
        <v>3</v>
      </c>
      <c r="F136" s="4">
        <v>66</v>
      </c>
      <c r="G136" s="4">
        <v>69</v>
      </c>
      <c r="H136" s="5">
        <v>40549</v>
      </c>
      <c r="I136" s="4">
        <v>1</v>
      </c>
      <c r="J136" s="4">
        <v>20</v>
      </c>
      <c r="K136" s="4" t="b">
        <f>IF(Append1[[#This Row],[days]]="working day",FALSE,TRUE)</f>
        <v>0</v>
      </c>
      <c r="L136" s="4">
        <v>4</v>
      </c>
      <c r="M136" s="4">
        <v>1</v>
      </c>
      <c r="N136" s="6">
        <v>0.2</v>
      </c>
      <c r="O136" s="2" t="str">
        <f>IF(Append1[[#This Row],[weekday]]=0,"holiday",IF(AND(Append1[[#This Row],[weekday]]&gt;1,Append1[[#This Row],[weekday]]&lt;7),"working day","weekend"))</f>
        <v>working day</v>
      </c>
      <c r="P136" s="4" t="str">
        <f>IF(Append1[[#This Row],[weathersit]]=0,"sunny",IF(Append1[[#This Row],[weathersit]]=1,"mist",IF(Append1[[#This Row],[weathersit]]=2,"lightrain","extremerain")))</f>
        <v>mist</v>
      </c>
    </row>
    <row r="137" spans="1:16" x14ac:dyDescent="0.25">
      <c r="A137" s="4">
        <v>136</v>
      </c>
      <c r="B137" s="4">
        <v>0.21210000000000001</v>
      </c>
      <c r="C137" s="4">
        <v>0.55000000000000004</v>
      </c>
      <c r="D137" s="4">
        <v>0.22389999999999999</v>
      </c>
      <c r="E137" s="4">
        <v>0</v>
      </c>
      <c r="F137" s="4">
        <v>48</v>
      </c>
      <c r="G137" s="4">
        <v>48</v>
      </c>
      <c r="H137" s="5">
        <v>40549</v>
      </c>
      <c r="I137" s="4">
        <v>1</v>
      </c>
      <c r="J137" s="4">
        <v>21</v>
      </c>
      <c r="K137" s="4" t="b">
        <f>IF(Append1[[#This Row],[days]]="working day",FALSE,TRUE)</f>
        <v>0</v>
      </c>
      <c r="L137" s="4">
        <v>4</v>
      </c>
      <c r="M137" s="4">
        <v>2</v>
      </c>
      <c r="N137" s="6">
        <v>0.22</v>
      </c>
      <c r="O137" s="2" t="str">
        <f>IF(Append1[[#This Row],[weekday]]=0,"holiday",IF(AND(Append1[[#This Row],[weekday]]&gt;1,Append1[[#This Row],[weekday]]&lt;7),"working day","weekend"))</f>
        <v>working day</v>
      </c>
      <c r="P137" s="4" t="str">
        <f>IF(Append1[[#This Row],[weathersit]]=0,"sunny",IF(Append1[[#This Row],[weathersit]]=1,"mist",IF(Append1[[#This Row],[weathersit]]=2,"lightrain","extremerain")))</f>
        <v>lightrain</v>
      </c>
    </row>
    <row r="138" spans="1:16" x14ac:dyDescent="0.25">
      <c r="A138" s="4">
        <v>137</v>
      </c>
      <c r="B138" s="4">
        <v>0.21210000000000001</v>
      </c>
      <c r="C138" s="4">
        <v>0.51</v>
      </c>
      <c r="D138" s="4">
        <v>0.28360000000000002</v>
      </c>
      <c r="E138" s="4">
        <v>1</v>
      </c>
      <c r="F138" s="4">
        <v>51</v>
      </c>
      <c r="G138" s="4">
        <v>52</v>
      </c>
      <c r="H138" s="5">
        <v>40549</v>
      </c>
      <c r="I138" s="4">
        <v>1</v>
      </c>
      <c r="J138" s="4">
        <v>22</v>
      </c>
      <c r="K138" s="4" t="b">
        <f>IF(Append1[[#This Row],[days]]="working day",FALSE,TRUE)</f>
        <v>0</v>
      </c>
      <c r="L138" s="4">
        <v>4</v>
      </c>
      <c r="M138" s="4">
        <v>2</v>
      </c>
      <c r="N138" s="6">
        <v>0.22</v>
      </c>
      <c r="O138" s="2" t="str">
        <f>IF(Append1[[#This Row],[weekday]]=0,"holiday",IF(AND(Append1[[#This Row],[weekday]]&gt;1,Append1[[#This Row],[weekday]]&lt;7),"working day","weekend"))</f>
        <v>working day</v>
      </c>
      <c r="P138" s="4" t="str">
        <f>IF(Append1[[#This Row],[weathersit]]=0,"sunny",IF(Append1[[#This Row],[weathersit]]=1,"mist",IF(Append1[[#This Row],[weathersit]]=2,"lightrain","extremerain")))</f>
        <v>lightrain</v>
      </c>
    </row>
    <row r="139" spans="1:16" x14ac:dyDescent="0.25">
      <c r="A139" s="4">
        <v>138</v>
      </c>
      <c r="B139" s="4">
        <v>0.19700000000000001</v>
      </c>
      <c r="C139" s="4">
        <v>0.59</v>
      </c>
      <c r="D139" s="4">
        <v>0.19400000000000001</v>
      </c>
      <c r="E139" s="4">
        <v>4</v>
      </c>
      <c r="F139" s="4">
        <v>19</v>
      </c>
      <c r="G139" s="4">
        <v>23</v>
      </c>
      <c r="H139" s="5">
        <v>40549</v>
      </c>
      <c r="I139" s="4">
        <v>1</v>
      </c>
      <c r="J139" s="4">
        <v>23</v>
      </c>
      <c r="K139" s="4" t="b">
        <f>IF(Append1[[#This Row],[days]]="working day",FALSE,TRUE)</f>
        <v>0</v>
      </c>
      <c r="L139" s="4">
        <v>4</v>
      </c>
      <c r="M139" s="4">
        <v>2</v>
      </c>
      <c r="N139" s="6">
        <v>0.2</v>
      </c>
      <c r="O139" s="2" t="str">
        <f>IF(Append1[[#This Row],[weekday]]=0,"holiday",IF(AND(Append1[[#This Row],[weekday]]&gt;1,Append1[[#This Row],[weekday]]&lt;7),"working day","weekend"))</f>
        <v>working day</v>
      </c>
      <c r="P139" s="4" t="str">
        <f>IF(Append1[[#This Row],[weathersit]]=0,"sunny",IF(Append1[[#This Row],[weathersit]]=1,"mist",IF(Append1[[#This Row],[weathersit]]=2,"lightrain","extremerain")))</f>
        <v>lightrain</v>
      </c>
    </row>
    <row r="140" spans="1:16" x14ac:dyDescent="0.25">
      <c r="A140" s="4">
        <v>139</v>
      </c>
      <c r="B140" s="4">
        <v>0.19700000000000001</v>
      </c>
      <c r="C140" s="4">
        <v>0.64</v>
      </c>
      <c r="D140" s="4">
        <v>0.19400000000000001</v>
      </c>
      <c r="E140" s="4">
        <v>4</v>
      </c>
      <c r="F140" s="4">
        <v>13</v>
      </c>
      <c r="G140" s="4">
        <v>17</v>
      </c>
      <c r="H140" s="5">
        <v>40550</v>
      </c>
      <c r="I140" s="4">
        <v>1</v>
      </c>
      <c r="J140" s="4">
        <v>0</v>
      </c>
      <c r="K140" s="4" t="b">
        <f>IF(Append1[[#This Row],[days]]="working day",FALSE,TRUE)</f>
        <v>0</v>
      </c>
      <c r="L140" s="4">
        <v>5</v>
      </c>
      <c r="M140" s="4">
        <v>2</v>
      </c>
      <c r="N140" s="6">
        <v>0.2</v>
      </c>
      <c r="O140" s="2" t="str">
        <f>IF(Append1[[#This Row],[weekday]]=0,"holiday",IF(AND(Append1[[#This Row],[weekday]]&gt;1,Append1[[#This Row],[weekday]]&lt;7),"working day","weekend"))</f>
        <v>working day</v>
      </c>
      <c r="P140" s="4" t="str">
        <f>IF(Append1[[#This Row],[weathersit]]=0,"sunny",IF(Append1[[#This Row],[weathersit]]=1,"mist",IF(Append1[[#This Row],[weathersit]]=2,"lightrain","extremerain")))</f>
        <v>lightrain</v>
      </c>
    </row>
    <row r="141" spans="1:16" x14ac:dyDescent="0.25">
      <c r="A141" s="4">
        <v>140</v>
      </c>
      <c r="B141" s="4">
        <v>0.19700000000000001</v>
      </c>
      <c r="C141" s="4">
        <v>0.69</v>
      </c>
      <c r="D141" s="4">
        <v>0.22389999999999999</v>
      </c>
      <c r="E141" s="4">
        <v>2</v>
      </c>
      <c r="F141" s="4">
        <v>5</v>
      </c>
      <c r="G141" s="4">
        <v>7</v>
      </c>
      <c r="H141" s="5">
        <v>40550</v>
      </c>
      <c r="I141" s="4">
        <v>1</v>
      </c>
      <c r="J141" s="4">
        <v>1</v>
      </c>
      <c r="K141" s="4" t="b">
        <f>IF(Append1[[#This Row],[days]]="working day",FALSE,TRUE)</f>
        <v>0</v>
      </c>
      <c r="L141" s="4">
        <v>5</v>
      </c>
      <c r="M141" s="4">
        <v>2</v>
      </c>
      <c r="N141" s="6">
        <v>0.2</v>
      </c>
      <c r="O141" s="2" t="str">
        <f>IF(Append1[[#This Row],[weekday]]=0,"holiday",IF(AND(Append1[[#This Row],[weekday]]&gt;1,Append1[[#This Row],[weekday]]&lt;7),"working day","weekend"))</f>
        <v>working day</v>
      </c>
      <c r="P141" s="4" t="str">
        <f>IF(Append1[[#This Row],[weathersit]]=0,"sunny",IF(Append1[[#This Row],[weathersit]]=1,"mist",IF(Append1[[#This Row],[weathersit]]=2,"lightrain","extremerain")))</f>
        <v>lightrain</v>
      </c>
    </row>
    <row r="142" spans="1:16" x14ac:dyDescent="0.25">
      <c r="A142" s="4">
        <v>141</v>
      </c>
      <c r="B142" s="4">
        <v>0.19700000000000001</v>
      </c>
      <c r="C142" s="4">
        <v>0.69</v>
      </c>
      <c r="D142" s="4">
        <v>0.22389999999999999</v>
      </c>
      <c r="E142" s="4">
        <v>0</v>
      </c>
      <c r="F142" s="4">
        <v>1</v>
      </c>
      <c r="G142" s="4">
        <v>1</v>
      </c>
      <c r="H142" s="5">
        <v>40550</v>
      </c>
      <c r="I142" s="4">
        <v>1</v>
      </c>
      <c r="J142" s="4">
        <v>2</v>
      </c>
      <c r="K142" s="4" t="b">
        <f>IF(Append1[[#This Row],[days]]="working day",FALSE,TRUE)</f>
        <v>0</v>
      </c>
      <c r="L142" s="4">
        <v>5</v>
      </c>
      <c r="M142" s="4">
        <v>2</v>
      </c>
      <c r="N142" s="6">
        <v>0.2</v>
      </c>
      <c r="O142" s="2" t="str">
        <f>IF(Append1[[#This Row],[weekday]]=0,"holiday",IF(AND(Append1[[#This Row],[weekday]]&gt;1,Append1[[#This Row],[weekday]]&lt;7),"working day","weekend"))</f>
        <v>working day</v>
      </c>
      <c r="P142" s="4" t="str">
        <f>IF(Append1[[#This Row],[weathersit]]=0,"sunny",IF(Append1[[#This Row],[weathersit]]=1,"mist",IF(Append1[[#This Row],[weathersit]]=2,"lightrain","extremerain")))</f>
        <v>lightrain</v>
      </c>
    </row>
    <row r="143" spans="1:16" x14ac:dyDescent="0.25">
      <c r="A143" s="4">
        <v>142</v>
      </c>
      <c r="B143" s="4">
        <v>0.21210000000000001</v>
      </c>
      <c r="C143" s="4">
        <v>0.69</v>
      </c>
      <c r="D143" s="4">
        <v>0.1343</v>
      </c>
      <c r="E143" s="4">
        <v>0</v>
      </c>
      <c r="F143" s="4">
        <v>1</v>
      </c>
      <c r="G143" s="4">
        <v>1</v>
      </c>
      <c r="H143" s="5">
        <v>40550</v>
      </c>
      <c r="I143" s="4">
        <v>1</v>
      </c>
      <c r="J143" s="4">
        <v>4</v>
      </c>
      <c r="K143" s="4" t="b">
        <f>IF(Append1[[#This Row],[days]]="working day",FALSE,TRUE)</f>
        <v>0</v>
      </c>
      <c r="L143" s="4">
        <v>5</v>
      </c>
      <c r="M143" s="4">
        <v>2</v>
      </c>
      <c r="N143" s="6">
        <v>0.2</v>
      </c>
      <c r="O143" s="2" t="str">
        <f>IF(Append1[[#This Row],[weekday]]=0,"holiday",IF(AND(Append1[[#This Row],[weekday]]&gt;1,Append1[[#This Row],[weekday]]&lt;7),"working day","weekend"))</f>
        <v>working day</v>
      </c>
      <c r="P143" s="4" t="str">
        <f>IF(Append1[[#This Row],[weathersit]]=0,"sunny",IF(Append1[[#This Row],[weathersit]]=1,"mist",IF(Append1[[#This Row],[weathersit]]=2,"lightrain","extremerain")))</f>
        <v>lightrain</v>
      </c>
    </row>
    <row r="144" spans="1:16" x14ac:dyDescent="0.25">
      <c r="A144" s="4">
        <v>143</v>
      </c>
      <c r="B144" s="4">
        <v>0.2727</v>
      </c>
      <c r="C144" s="4">
        <v>0.55000000000000004</v>
      </c>
      <c r="D144" s="4">
        <v>0</v>
      </c>
      <c r="E144" s="4">
        <v>0</v>
      </c>
      <c r="F144" s="4">
        <v>5</v>
      </c>
      <c r="G144" s="4">
        <v>5</v>
      </c>
      <c r="H144" s="5">
        <v>40550</v>
      </c>
      <c r="I144" s="4">
        <v>1</v>
      </c>
      <c r="J144" s="4">
        <v>5</v>
      </c>
      <c r="K144" s="4" t="b">
        <f>IF(Append1[[#This Row],[days]]="working day",FALSE,TRUE)</f>
        <v>0</v>
      </c>
      <c r="L144" s="4">
        <v>5</v>
      </c>
      <c r="M144" s="4">
        <v>3</v>
      </c>
      <c r="N144" s="6">
        <v>0.22</v>
      </c>
      <c r="O144" s="2" t="str">
        <f>IF(Append1[[#This Row],[weekday]]=0,"holiday",IF(AND(Append1[[#This Row],[weekday]]&gt;1,Append1[[#This Row],[weekday]]&lt;7),"working day","weekend"))</f>
        <v>working day</v>
      </c>
      <c r="P144" s="4" t="str">
        <f>IF(Append1[[#This Row],[weathersit]]=0,"sunny",IF(Append1[[#This Row],[weathersit]]=1,"mist",IF(Append1[[#This Row],[weathersit]]=2,"lightrain","extremerain")))</f>
        <v>extremerain</v>
      </c>
    </row>
    <row r="145" spans="1:16" x14ac:dyDescent="0.25">
      <c r="A145" s="4">
        <v>144</v>
      </c>
      <c r="B145" s="4">
        <v>0.2576</v>
      </c>
      <c r="C145" s="4">
        <v>0.69</v>
      </c>
      <c r="D145" s="4">
        <v>0</v>
      </c>
      <c r="E145" s="4">
        <v>8</v>
      </c>
      <c r="F145" s="4">
        <v>26</v>
      </c>
      <c r="G145" s="4">
        <v>34</v>
      </c>
      <c r="H145" s="5">
        <v>40550</v>
      </c>
      <c r="I145" s="4">
        <v>1</v>
      </c>
      <c r="J145" s="4">
        <v>6</v>
      </c>
      <c r="K145" s="4" t="b">
        <f>IF(Append1[[#This Row],[days]]="working day",FALSE,TRUE)</f>
        <v>0</v>
      </c>
      <c r="L145" s="4">
        <v>5</v>
      </c>
      <c r="M145" s="4">
        <v>2</v>
      </c>
      <c r="N145" s="6">
        <v>0.2</v>
      </c>
      <c r="O145" s="2" t="str">
        <f>IF(Append1[[#This Row],[weekday]]=0,"holiday",IF(AND(Append1[[#This Row],[weekday]]&gt;1,Append1[[#This Row],[weekday]]&lt;7),"working day","weekend"))</f>
        <v>working day</v>
      </c>
      <c r="P145" s="4" t="str">
        <f>IF(Append1[[#This Row],[weathersit]]=0,"sunny",IF(Append1[[#This Row],[weathersit]]=1,"mist",IF(Append1[[#This Row],[weathersit]]=2,"lightrain","extremerain")))</f>
        <v>lightrain</v>
      </c>
    </row>
    <row r="146" spans="1:16" x14ac:dyDescent="0.25">
      <c r="A146" s="4">
        <v>145</v>
      </c>
      <c r="B146" s="4">
        <v>0.21210000000000001</v>
      </c>
      <c r="C146" s="4">
        <v>0.69</v>
      </c>
      <c r="D146" s="4">
        <v>0.1343</v>
      </c>
      <c r="E146" s="4">
        <v>8</v>
      </c>
      <c r="F146" s="4">
        <v>76</v>
      </c>
      <c r="G146" s="4">
        <v>84</v>
      </c>
      <c r="H146" s="5">
        <v>40550</v>
      </c>
      <c r="I146" s="4">
        <v>1</v>
      </c>
      <c r="J146" s="4">
        <v>7</v>
      </c>
      <c r="K146" s="4" t="b">
        <f>IF(Append1[[#This Row],[days]]="working day",FALSE,TRUE)</f>
        <v>0</v>
      </c>
      <c r="L146" s="4">
        <v>5</v>
      </c>
      <c r="M146" s="4">
        <v>1</v>
      </c>
      <c r="N146" s="6">
        <v>0.2</v>
      </c>
      <c r="O146" s="2" t="str">
        <f>IF(Append1[[#This Row],[weekday]]=0,"holiday",IF(AND(Append1[[#This Row],[weekday]]&gt;1,Append1[[#This Row],[weekday]]&lt;7),"working day","weekend"))</f>
        <v>working day</v>
      </c>
      <c r="P146" s="4" t="str">
        <f>IF(Append1[[#This Row],[weathersit]]=0,"sunny",IF(Append1[[#This Row],[weathersit]]=1,"mist",IF(Append1[[#This Row],[weathersit]]=2,"lightrain","extremerain")))</f>
        <v>mist</v>
      </c>
    </row>
    <row r="147" spans="1:16" x14ac:dyDescent="0.25">
      <c r="A147" s="4">
        <v>146</v>
      </c>
      <c r="B147" s="4">
        <v>0.19700000000000001</v>
      </c>
      <c r="C147" s="4">
        <v>0.51</v>
      </c>
      <c r="D147" s="4">
        <v>0.25369999999999998</v>
      </c>
      <c r="E147" s="4">
        <v>20</v>
      </c>
      <c r="F147" s="4">
        <v>190</v>
      </c>
      <c r="G147" s="4">
        <v>210</v>
      </c>
      <c r="H147" s="5">
        <v>40550</v>
      </c>
      <c r="I147" s="4">
        <v>1</v>
      </c>
      <c r="J147" s="4">
        <v>8</v>
      </c>
      <c r="K147" s="4" t="b">
        <f>IF(Append1[[#This Row],[days]]="working day",FALSE,TRUE)</f>
        <v>0</v>
      </c>
      <c r="L147" s="4">
        <v>5</v>
      </c>
      <c r="M147" s="4">
        <v>1</v>
      </c>
      <c r="N147" s="6">
        <v>0.2</v>
      </c>
      <c r="O147" s="2" t="str">
        <f>IF(Append1[[#This Row],[weekday]]=0,"holiday",IF(AND(Append1[[#This Row],[weekday]]&gt;1,Append1[[#This Row],[weekday]]&lt;7),"working day","weekend"))</f>
        <v>working day</v>
      </c>
      <c r="P147" s="4" t="str">
        <f>IF(Append1[[#This Row],[weathersit]]=0,"sunny",IF(Append1[[#This Row],[weathersit]]=1,"mist",IF(Append1[[#This Row],[weathersit]]=2,"lightrain","extremerain")))</f>
        <v>mist</v>
      </c>
    </row>
    <row r="148" spans="1:16" x14ac:dyDescent="0.25">
      <c r="A148" s="4">
        <v>147</v>
      </c>
      <c r="B148" s="4">
        <v>0.18179999999999999</v>
      </c>
      <c r="C148" s="4">
        <v>0.47</v>
      </c>
      <c r="D148" s="4">
        <v>0.29849999999999999</v>
      </c>
      <c r="E148" s="4">
        <v>9</v>
      </c>
      <c r="F148" s="4">
        <v>125</v>
      </c>
      <c r="G148" s="4">
        <v>134</v>
      </c>
      <c r="H148" s="5">
        <v>40550</v>
      </c>
      <c r="I148" s="4">
        <v>1</v>
      </c>
      <c r="J148" s="4">
        <v>9</v>
      </c>
      <c r="K148" s="4" t="b">
        <f>IF(Append1[[#This Row],[days]]="working day",FALSE,TRUE)</f>
        <v>0</v>
      </c>
      <c r="L148" s="4">
        <v>5</v>
      </c>
      <c r="M148" s="4">
        <v>1</v>
      </c>
      <c r="N148" s="6">
        <v>0.2</v>
      </c>
      <c r="O148" s="2" t="str">
        <f>IF(Append1[[#This Row],[weekday]]=0,"holiday",IF(AND(Append1[[#This Row],[weekday]]&gt;1,Append1[[#This Row],[weekday]]&lt;7),"working day","weekend"))</f>
        <v>working day</v>
      </c>
      <c r="P148" s="4" t="str">
        <f>IF(Append1[[#This Row],[weathersit]]=0,"sunny",IF(Append1[[#This Row],[weathersit]]=1,"mist",IF(Append1[[#This Row],[weathersit]]=2,"lightrain","extremerain")))</f>
        <v>mist</v>
      </c>
    </row>
    <row r="149" spans="1:16" x14ac:dyDescent="0.25">
      <c r="A149" s="4">
        <v>148</v>
      </c>
      <c r="B149" s="4">
        <v>0.19700000000000001</v>
      </c>
      <c r="C149" s="4">
        <v>0.37</v>
      </c>
      <c r="D149" s="4">
        <v>0.32840000000000003</v>
      </c>
      <c r="E149" s="4">
        <v>16</v>
      </c>
      <c r="F149" s="4">
        <v>47</v>
      </c>
      <c r="G149" s="4">
        <v>63</v>
      </c>
      <c r="H149" s="5">
        <v>40550</v>
      </c>
      <c r="I149" s="4">
        <v>1</v>
      </c>
      <c r="J149" s="4">
        <v>10</v>
      </c>
      <c r="K149" s="4" t="b">
        <f>IF(Append1[[#This Row],[days]]="working day",FALSE,TRUE)</f>
        <v>0</v>
      </c>
      <c r="L149" s="4">
        <v>5</v>
      </c>
      <c r="M149" s="4">
        <v>1</v>
      </c>
      <c r="N149" s="6">
        <v>0.22</v>
      </c>
      <c r="O149" s="2" t="str">
        <f>IF(Append1[[#This Row],[weekday]]=0,"holiday",IF(AND(Append1[[#This Row],[weekday]]&gt;1,Append1[[#This Row],[weekday]]&lt;7),"working day","weekend"))</f>
        <v>working day</v>
      </c>
      <c r="P149" s="4" t="str">
        <f>IF(Append1[[#This Row],[weathersit]]=0,"sunny",IF(Append1[[#This Row],[weathersit]]=1,"mist",IF(Append1[[#This Row],[weathersit]]=2,"lightrain","extremerain")))</f>
        <v>mist</v>
      </c>
    </row>
    <row r="150" spans="1:16" x14ac:dyDescent="0.25">
      <c r="A150" s="4">
        <v>149</v>
      </c>
      <c r="B150" s="4">
        <v>0.19700000000000001</v>
      </c>
      <c r="C150" s="4">
        <v>0.4</v>
      </c>
      <c r="D150" s="4">
        <v>0.22389999999999999</v>
      </c>
      <c r="E150" s="4">
        <v>19</v>
      </c>
      <c r="F150" s="4">
        <v>48</v>
      </c>
      <c r="G150" s="4">
        <v>67</v>
      </c>
      <c r="H150" s="5">
        <v>40550</v>
      </c>
      <c r="I150" s="4">
        <v>1</v>
      </c>
      <c r="J150" s="4">
        <v>11</v>
      </c>
      <c r="K150" s="4" t="b">
        <f>IF(Append1[[#This Row],[days]]="working day",FALSE,TRUE)</f>
        <v>0</v>
      </c>
      <c r="L150" s="4">
        <v>5</v>
      </c>
      <c r="M150" s="4">
        <v>2</v>
      </c>
      <c r="N150" s="6">
        <v>0.2</v>
      </c>
      <c r="O150" s="2" t="str">
        <f>IF(Append1[[#This Row],[weekday]]=0,"holiday",IF(AND(Append1[[#This Row],[weekday]]&gt;1,Append1[[#This Row],[weekday]]&lt;7),"working day","weekend"))</f>
        <v>working day</v>
      </c>
      <c r="P150" s="4" t="str">
        <f>IF(Append1[[#This Row],[weathersit]]=0,"sunny",IF(Append1[[#This Row],[weathersit]]=1,"mist",IF(Append1[[#This Row],[weathersit]]=2,"lightrain","extremerain")))</f>
        <v>lightrain</v>
      </c>
    </row>
    <row r="151" spans="1:16" x14ac:dyDescent="0.25">
      <c r="A151" s="4">
        <v>150</v>
      </c>
      <c r="B151" s="4">
        <v>0.19700000000000001</v>
      </c>
      <c r="C151" s="4">
        <v>0.37</v>
      </c>
      <c r="D151" s="4">
        <v>0.25369999999999998</v>
      </c>
      <c r="E151" s="4">
        <v>9</v>
      </c>
      <c r="F151" s="4">
        <v>50</v>
      </c>
      <c r="G151" s="4">
        <v>59</v>
      </c>
      <c r="H151" s="5">
        <v>40550</v>
      </c>
      <c r="I151" s="4">
        <v>1</v>
      </c>
      <c r="J151" s="4">
        <v>12</v>
      </c>
      <c r="K151" s="4" t="b">
        <f>IF(Append1[[#This Row],[days]]="working day",FALSE,TRUE)</f>
        <v>0</v>
      </c>
      <c r="L151" s="4">
        <v>5</v>
      </c>
      <c r="M151" s="4">
        <v>2</v>
      </c>
      <c r="N151" s="6">
        <v>0.2</v>
      </c>
      <c r="O151" s="2" t="str">
        <f>IF(Append1[[#This Row],[weekday]]=0,"holiday",IF(AND(Append1[[#This Row],[weekday]]&gt;1,Append1[[#This Row],[weekday]]&lt;7),"working day","weekend"))</f>
        <v>working day</v>
      </c>
      <c r="P151" s="4" t="str">
        <f>IF(Append1[[#This Row],[weathersit]]=0,"sunny",IF(Append1[[#This Row],[weathersit]]=1,"mist",IF(Append1[[#This Row],[weathersit]]=2,"lightrain","extremerain")))</f>
        <v>lightrain</v>
      </c>
    </row>
    <row r="152" spans="1:16" x14ac:dyDescent="0.25">
      <c r="A152" s="4">
        <v>151</v>
      </c>
      <c r="B152" s="4">
        <v>0.18179999999999999</v>
      </c>
      <c r="C152" s="4">
        <v>0.37</v>
      </c>
      <c r="D152" s="4">
        <v>0.28360000000000002</v>
      </c>
      <c r="E152" s="4">
        <v>9</v>
      </c>
      <c r="F152" s="4">
        <v>64</v>
      </c>
      <c r="G152" s="4">
        <v>73</v>
      </c>
      <c r="H152" s="5">
        <v>40550</v>
      </c>
      <c r="I152" s="4">
        <v>1</v>
      </c>
      <c r="J152" s="4">
        <v>13</v>
      </c>
      <c r="K152" s="4" t="b">
        <f>IF(Append1[[#This Row],[days]]="working day",FALSE,TRUE)</f>
        <v>0</v>
      </c>
      <c r="L152" s="4">
        <v>5</v>
      </c>
      <c r="M152" s="4">
        <v>2</v>
      </c>
      <c r="N152" s="6">
        <v>0.2</v>
      </c>
      <c r="O152" s="2" t="str">
        <f>IF(Append1[[#This Row],[weekday]]=0,"holiday",IF(AND(Append1[[#This Row],[weekday]]&gt;1,Append1[[#This Row],[weekday]]&lt;7),"working day","weekend"))</f>
        <v>working day</v>
      </c>
      <c r="P152" s="4" t="str">
        <f>IF(Append1[[#This Row],[weathersit]]=0,"sunny",IF(Append1[[#This Row],[weathersit]]=1,"mist",IF(Append1[[#This Row],[weathersit]]=2,"lightrain","extremerain")))</f>
        <v>lightrain</v>
      </c>
    </row>
    <row r="153" spans="1:16" x14ac:dyDescent="0.25">
      <c r="A153" s="4">
        <v>152</v>
      </c>
      <c r="B153" s="4">
        <v>0.19700000000000001</v>
      </c>
      <c r="C153" s="4">
        <v>0.4</v>
      </c>
      <c r="D153" s="4">
        <v>0.25369999999999998</v>
      </c>
      <c r="E153" s="4">
        <v>7</v>
      </c>
      <c r="F153" s="4">
        <v>43</v>
      </c>
      <c r="G153" s="4">
        <v>50</v>
      </c>
      <c r="H153" s="5">
        <v>40550</v>
      </c>
      <c r="I153" s="4">
        <v>1</v>
      </c>
      <c r="J153" s="4">
        <v>14</v>
      </c>
      <c r="K153" s="4" t="b">
        <f>IF(Append1[[#This Row],[days]]="working day",FALSE,TRUE)</f>
        <v>0</v>
      </c>
      <c r="L153" s="4">
        <v>5</v>
      </c>
      <c r="M153" s="4">
        <v>2</v>
      </c>
      <c r="N153" s="6">
        <v>0.2</v>
      </c>
      <c r="O153" s="2" t="str">
        <f>IF(Append1[[#This Row],[weekday]]=0,"holiday",IF(AND(Append1[[#This Row],[weekday]]&gt;1,Append1[[#This Row],[weekday]]&lt;7),"working day","weekend"))</f>
        <v>working day</v>
      </c>
      <c r="P153" s="4" t="str">
        <f>IF(Append1[[#This Row],[weathersit]]=0,"sunny",IF(Append1[[#This Row],[weathersit]]=1,"mist",IF(Append1[[#This Row],[weathersit]]=2,"lightrain","extremerain")))</f>
        <v>lightrain</v>
      </c>
    </row>
    <row r="154" spans="1:16" x14ac:dyDescent="0.25">
      <c r="A154" s="4">
        <v>153</v>
      </c>
      <c r="B154" s="4">
        <v>0.21210000000000001</v>
      </c>
      <c r="C154" s="4">
        <v>0.37</v>
      </c>
      <c r="D154" s="4">
        <v>0.16420000000000001</v>
      </c>
      <c r="E154" s="4">
        <v>9</v>
      </c>
      <c r="F154" s="4">
        <v>63</v>
      </c>
      <c r="G154" s="4">
        <v>72</v>
      </c>
      <c r="H154" s="5">
        <v>40550</v>
      </c>
      <c r="I154" s="4">
        <v>1</v>
      </c>
      <c r="J154" s="4">
        <v>15</v>
      </c>
      <c r="K154" s="4" t="b">
        <f>IF(Append1[[#This Row],[days]]="working day",FALSE,TRUE)</f>
        <v>0</v>
      </c>
      <c r="L154" s="4">
        <v>5</v>
      </c>
      <c r="M154" s="4">
        <v>2</v>
      </c>
      <c r="N154" s="6">
        <v>0.2</v>
      </c>
      <c r="O154" s="2" t="str">
        <f>IF(Append1[[#This Row],[weekday]]=0,"holiday",IF(AND(Append1[[#This Row],[weekday]]&gt;1,Append1[[#This Row],[weekday]]&lt;7),"working day","weekend"))</f>
        <v>working day</v>
      </c>
      <c r="P154" s="4" t="str">
        <f>IF(Append1[[#This Row],[weathersit]]=0,"sunny",IF(Append1[[#This Row],[weathersit]]=1,"mist",IF(Append1[[#This Row],[weathersit]]=2,"lightrain","extremerain")))</f>
        <v>lightrain</v>
      </c>
    </row>
    <row r="155" spans="1:16" x14ac:dyDescent="0.25">
      <c r="A155" s="4">
        <v>154</v>
      </c>
      <c r="B155" s="4">
        <v>0.21210000000000001</v>
      </c>
      <c r="C155" s="4">
        <v>0.37</v>
      </c>
      <c r="D155" s="4">
        <v>0.16420000000000001</v>
      </c>
      <c r="E155" s="4">
        <v>5</v>
      </c>
      <c r="F155" s="4">
        <v>82</v>
      </c>
      <c r="G155" s="4">
        <v>87</v>
      </c>
      <c r="H155" s="5">
        <v>40550</v>
      </c>
      <c r="I155" s="4">
        <v>1</v>
      </c>
      <c r="J155" s="4">
        <v>16</v>
      </c>
      <c r="K155" s="4" t="b">
        <f>IF(Append1[[#This Row],[days]]="working day",FALSE,TRUE)</f>
        <v>0</v>
      </c>
      <c r="L155" s="4">
        <v>5</v>
      </c>
      <c r="M155" s="4">
        <v>2</v>
      </c>
      <c r="N155" s="6">
        <v>0.2</v>
      </c>
      <c r="O155" s="2" t="str">
        <f>IF(Append1[[#This Row],[weekday]]=0,"holiday",IF(AND(Append1[[#This Row],[weekday]]&gt;1,Append1[[#This Row],[weekday]]&lt;7),"working day","weekend"))</f>
        <v>working day</v>
      </c>
      <c r="P155" s="4" t="str">
        <f>IF(Append1[[#This Row],[weathersit]]=0,"sunny",IF(Append1[[#This Row],[weathersit]]=1,"mist",IF(Append1[[#This Row],[weathersit]]=2,"lightrain","extremerain")))</f>
        <v>lightrain</v>
      </c>
    </row>
    <row r="156" spans="1:16" x14ac:dyDescent="0.25">
      <c r="A156" s="4">
        <v>155</v>
      </c>
      <c r="B156" s="4">
        <v>0.2576</v>
      </c>
      <c r="C156" s="4">
        <v>0.37</v>
      </c>
      <c r="D156" s="4">
        <v>0</v>
      </c>
      <c r="E156" s="4">
        <v>9</v>
      </c>
      <c r="F156" s="4">
        <v>178</v>
      </c>
      <c r="G156" s="4">
        <v>187</v>
      </c>
      <c r="H156" s="5">
        <v>40550</v>
      </c>
      <c r="I156" s="4">
        <v>1</v>
      </c>
      <c r="J156" s="4">
        <v>17</v>
      </c>
      <c r="K156" s="4" t="b">
        <f>IF(Append1[[#This Row],[days]]="working day",FALSE,TRUE)</f>
        <v>0</v>
      </c>
      <c r="L156" s="4">
        <v>5</v>
      </c>
      <c r="M156" s="4">
        <v>2</v>
      </c>
      <c r="N156" s="6">
        <v>0.2</v>
      </c>
      <c r="O156" s="2" t="str">
        <f>IF(Append1[[#This Row],[weekday]]=0,"holiday",IF(AND(Append1[[#This Row],[weekday]]&gt;1,Append1[[#This Row],[weekday]]&lt;7),"working day","weekend"))</f>
        <v>working day</v>
      </c>
      <c r="P156" s="4" t="str">
        <f>IF(Append1[[#This Row],[weathersit]]=0,"sunny",IF(Append1[[#This Row],[weathersit]]=1,"mist",IF(Append1[[#This Row],[weathersit]]=2,"lightrain","extremerain")))</f>
        <v>lightrain</v>
      </c>
    </row>
    <row r="157" spans="1:16" x14ac:dyDescent="0.25">
      <c r="A157" s="4">
        <v>156</v>
      </c>
      <c r="B157" s="4">
        <v>0.2273</v>
      </c>
      <c r="C157" s="4">
        <v>0.4</v>
      </c>
      <c r="D157" s="4">
        <v>8.9599999999999999E-2</v>
      </c>
      <c r="E157" s="4">
        <v>7</v>
      </c>
      <c r="F157" s="4">
        <v>116</v>
      </c>
      <c r="G157" s="4">
        <v>123</v>
      </c>
      <c r="H157" s="5">
        <v>40550</v>
      </c>
      <c r="I157" s="4">
        <v>1</v>
      </c>
      <c r="J157" s="4">
        <v>18</v>
      </c>
      <c r="K157" s="4" t="b">
        <f>IF(Append1[[#This Row],[days]]="working day",FALSE,TRUE)</f>
        <v>0</v>
      </c>
      <c r="L157" s="4">
        <v>5</v>
      </c>
      <c r="M157" s="4">
        <v>1</v>
      </c>
      <c r="N157" s="6">
        <v>0.2</v>
      </c>
      <c r="O157" s="2" t="str">
        <f>IF(Append1[[#This Row],[weekday]]=0,"holiday",IF(AND(Append1[[#This Row],[weekday]]&gt;1,Append1[[#This Row],[weekday]]&lt;7),"working day","weekend"))</f>
        <v>working day</v>
      </c>
      <c r="P157" s="4" t="str">
        <f>IF(Append1[[#This Row],[weathersit]]=0,"sunny",IF(Append1[[#This Row],[weathersit]]=1,"mist",IF(Append1[[#This Row],[weathersit]]=2,"lightrain","extremerain")))</f>
        <v>mist</v>
      </c>
    </row>
    <row r="158" spans="1:16" x14ac:dyDescent="0.25">
      <c r="A158" s="4">
        <v>157</v>
      </c>
      <c r="B158" s="4">
        <v>0.19700000000000001</v>
      </c>
      <c r="C158" s="4">
        <v>0.55000000000000004</v>
      </c>
      <c r="D158" s="4">
        <v>8.9599999999999999E-2</v>
      </c>
      <c r="E158" s="4">
        <v>3</v>
      </c>
      <c r="F158" s="4">
        <v>92</v>
      </c>
      <c r="G158" s="4">
        <v>95</v>
      </c>
      <c r="H158" s="5">
        <v>40550</v>
      </c>
      <c r="I158" s="4">
        <v>1</v>
      </c>
      <c r="J158" s="4">
        <v>19</v>
      </c>
      <c r="K158" s="4" t="b">
        <f>IF(Append1[[#This Row],[days]]="working day",FALSE,TRUE)</f>
        <v>0</v>
      </c>
      <c r="L158" s="4">
        <v>5</v>
      </c>
      <c r="M158" s="4">
        <v>1</v>
      </c>
      <c r="N158" s="6">
        <v>0.16</v>
      </c>
      <c r="O158" s="2" t="str">
        <f>IF(Append1[[#This Row],[weekday]]=0,"holiday",IF(AND(Append1[[#This Row],[weekday]]&gt;1,Append1[[#This Row],[weekday]]&lt;7),"working day","weekend"))</f>
        <v>working day</v>
      </c>
      <c r="P158" s="4" t="str">
        <f>IF(Append1[[#This Row],[weathersit]]=0,"sunny",IF(Append1[[#This Row],[weathersit]]=1,"mist",IF(Append1[[#This Row],[weathersit]]=2,"lightrain","extremerain")))</f>
        <v>mist</v>
      </c>
    </row>
    <row r="159" spans="1:16" x14ac:dyDescent="0.25">
      <c r="A159" s="4">
        <v>158</v>
      </c>
      <c r="B159" s="4">
        <v>0.21210000000000001</v>
      </c>
      <c r="C159" s="4">
        <v>0.47</v>
      </c>
      <c r="D159" s="4">
        <v>0.1045</v>
      </c>
      <c r="E159" s="4">
        <v>1</v>
      </c>
      <c r="F159" s="4">
        <v>50</v>
      </c>
      <c r="G159" s="4">
        <v>51</v>
      </c>
      <c r="H159" s="5">
        <v>40550</v>
      </c>
      <c r="I159" s="4">
        <v>1</v>
      </c>
      <c r="J159" s="4">
        <v>20</v>
      </c>
      <c r="K159" s="4" t="b">
        <f>IF(Append1[[#This Row],[days]]="working day",FALSE,TRUE)</f>
        <v>0</v>
      </c>
      <c r="L159" s="4">
        <v>5</v>
      </c>
      <c r="M159" s="4">
        <v>1</v>
      </c>
      <c r="N159" s="6">
        <v>0.18</v>
      </c>
      <c r="O159" s="2" t="str">
        <f>IF(Append1[[#This Row],[weekday]]=0,"holiday",IF(AND(Append1[[#This Row],[weekday]]&gt;1,Append1[[#This Row],[weekday]]&lt;7),"working day","weekend"))</f>
        <v>working day</v>
      </c>
      <c r="P159" s="4" t="str">
        <f>IF(Append1[[#This Row],[weathersit]]=0,"sunny",IF(Append1[[#This Row],[weathersit]]=1,"mist",IF(Append1[[#This Row],[weathersit]]=2,"lightrain","extremerain")))</f>
        <v>mist</v>
      </c>
    </row>
    <row r="160" spans="1:16" x14ac:dyDescent="0.25">
      <c r="A160" s="4">
        <v>159</v>
      </c>
      <c r="B160" s="4">
        <v>0.19700000000000001</v>
      </c>
      <c r="C160" s="4">
        <v>0.47</v>
      </c>
      <c r="D160" s="4">
        <v>0.1343</v>
      </c>
      <c r="E160" s="4">
        <v>0</v>
      </c>
      <c r="F160" s="4">
        <v>39</v>
      </c>
      <c r="G160" s="4">
        <v>39</v>
      </c>
      <c r="H160" s="5">
        <v>40550</v>
      </c>
      <c r="I160" s="4">
        <v>1</v>
      </c>
      <c r="J160" s="4">
        <v>21</v>
      </c>
      <c r="K160" s="4" t="b">
        <f>IF(Append1[[#This Row],[days]]="working day",FALSE,TRUE)</f>
        <v>0</v>
      </c>
      <c r="L160" s="4">
        <v>5</v>
      </c>
      <c r="M160" s="4">
        <v>1</v>
      </c>
      <c r="N160" s="6">
        <v>0.18</v>
      </c>
      <c r="O160" s="2" t="str">
        <f>IF(Append1[[#This Row],[weekday]]=0,"holiday",IF(AND(Append1[[#This Row],[weekday]]&gt;1,Append1[[#This Row],[weekday]]&lt;7),"working day","weekend"))</f>
        <v>working day</v>
      </c>
      <c r="P160" s="4" t="str">
        <f>IF(Append1[[#This Row],[weathersit]]=0,"sunny",IF(Append1[[#This Row],[weathersit]]=1,"mist",IF(Append1[[#This Row],[weathersit]]=2,"lightrain","extremerain")))</f>
        <v>mist</v>
      </c>
    </row>
    <row r="161" spans="1:16" x14ac:dyDescent="0.25">
      <c r="A161" s="4">
        <v>160</v>
      </c>
      <c r="B161" s="4">
        <v>0.19700000000000001</v>
      </c>
      <c r="C161" s="4">
        <v>0.43</v>
      </c>
      <c r="D161" s="4">
        <v>0.16420000000000001</v>
      </c>
      <c r="E161" s="4">
        <v>2</v>
      </c>
      <c r="F161" s="4">
        <v>34</v>
      </c>
      <c r="G161" s="4">
        <v>36</v>
      </c>
      <c r="H161" s="5">
        <v>40550</v>
      </c>
      <c r="I161" s="4">
        <v>1</v>
      </c>
      <c r="J161" s="4">
        <v>22</v>
      </c>
      <c r="K161" s="4" t="b">
        <f>IF(Append1[[#This Row],[days]]="working day",FALSE,TRUE)</f>
        <v>0</v>
      </c>
      <c r="L161" s="4">
        <v>5</v>
      </c>
      <c r="M161" s="4">
        <v>2</v>
      </c>
      <c r="N161" s="6">
        <v>0.18</v>
      </c>
      <c r="O161" s="2" t="str">
        <f>IF(Append1[[#This Row],[weekday]]=0,"holiday",IF(AND(Append1[[#This Row],[weekday]]&gt;1,Append1[[#This Row],[weekday]]&lt;7),"working day","weekend"))</f>
        <v>working day</v>
      </c>
      <c r="P161" s="4" t="str">
        <f>IF(Append1[[#This Row],[weathersit]]=0,"sunny",IF(Append1[[#This Row],[weathersit]]=1,"mist",IF(Append1[[#This Row],[weathersit]]=2,"lightrain","extremerain")))</f>
        <v>lightrain</v>
      </c>
    </row>
    <row r="162" spans="1:16" x14ac:dyDescent="0.25">
      <c r="A162" s="4">
        <v>161</v>
      </c>
      <c r="B162" s="4">
        <v>0.19700000000000001</v>
      </c>
      <c r="C162" s="4">
        <v>0.51</v>
      </c>
      <c r="D162" s="4">
        <v>0.16420000000000001</v>
      </c>
      <c r="E162" s="4">
        <v>1</v>
      </c>
      <c r="F162" s="4">
        <v>14</v>
      </c>
      <c r="G162" s="4">
        <v>15</v>
      </c>
      <c r="H162" s="5">
        <v>40550</v>
      </c>
      <c r="I162" s="4">
        <v>1</v>
      </c>
      <c r="J162" s="4">
        <v>23</v>
      </c>
      <c r="K162" s="4" t="b">
        <f>IF(Append1[[#This Row],[days]]="working day",FALSE,TRUE)</f>
        <v>0</v>
      </c>
      <c r="L162" s="4">
        <v>5</v>
      </c>
      <c r="M162" s="4">
        <v>2</v>
      </c>
      <c r="N162" s="6">
        <v>0.18</v>
      </c>
      <c r="O162" s="2" t="str">
        <f>IF(Append1[[#This Row],[weekday]]=0,"holiday",IF(AND(Append1[[#This Row],[weekday]]&gt;1,Append1[[#This Row],[weekday]]&lt;7),"working day","weekend"))</f>
        <v>working day</v>
      </c>
      <c r="P162" s="4" t="str">
        <f>IF(Append1[[#This Row],[weathersit]]=0,"sunny",IF(Append1[[#This Row],[weathersit]]=1,"mist",IF(Append1[[#This Row],[weathersit]]=2,"lightrain","extremerain")))</f>
        <v>lightrain</v>
      </c>
    </row>
    <row r="163" spans="1:16" x14ac:dyDescent="0.25">
      <c r="A163" s="4">
        <v>162</v>
      </c>
      <c r="B163" s="4">
        <v>0.19700000000000001</v>
      </c>
      <c r="C163" s="4">
        <v>0.51</v>
      </c>
      <c r="D163" s="4">
        <v>0.16420000000000001</v>
      </c>
      <c r="E163" s="4">
        <v>1</v>
      </c>
      <c r="F163" s="4">
        <v>24</v>
      </c>
      <c r="G163" s="4">
        <v>25</v>
      </c>
      <c r="H163" s="5">
        <v>40551</v>
      </c>
      <c r="I163" s="4">
        <v>1</v>
      </c>
      <c r="J163" s="4">
        <v>0</v>
      </c>
      <c r="K163" s="4" t="b">
        <f>IF(Append1[[#This Row],[days]]="working day",FALSE,TRUE)</f>
        <v>0</v>
      </c>
      <c r="L163" s="4">
        <v>6</v>
      </c>
      <c r="M163" s="4">
        <v>2</v>
      </c>
      <c r="N163" s="6">
        <v>0.18</v>
      </c>
      <c r="O163" s="2" t="str">
        <f>IF(Append1[[#This Row],[weekday]]=0,"holiday",IF(AND(Append1[[#This Row],[weekday]]&gt;1,Append1[[#This Row],[weekday]]&lt;7),"working day","weekend"))</f>
        <v>working day</v>
      </c>
      <c r="P163" s="4" t="str">
        <f>IF(Append1[[#This Row],[weathersit]]=0,"sunny",IF(Append1[[#This Row],[weathersit]]=1,"mist",IF(Append1[[#This Row],[weathersit]]=2,"lightrain","extremerain")))</f>
        <v>lightrain</v>
      </c>
    </row>
    <row r="164" spans="1:16" x14ac:dyDescent="0.25">
      <c r="A164" s="4">
        <v>163</v>
      </c>
      <c r="B164" s="4">
        <v>0.21210000000000001</v>
      </c>
      <c r="C164" s="4">
        <v>0.55000000000000004</v>
      </c>
      <c r="D164" s="4">
        <v>8.9599999999999999E-2</v>
      </c>
      <c r="E164" s="4">
        <v>1</v>
      </c>
      <c r="F164" s="4">
        <v>15</v>
      </c>
      <c r="G164" s="4">
        <v>16</v>
      </c>
      <c r="H164" s="5">
        <v>40551</v>
      </c>
      <c r="I164" s="4">
        <v>1</v>
      </c>
      <c r="J164" s="4">
        <v>1</v>
      </c>
      <c r="K164" s="4" t="b">
        <f>IF(Append1[[#This Row],[days]]="working day",FALSE,TRUE)</f>
        <v>0</v>
      </c>
      <c r="L164" s="4">
        <v>6</v>
      </c>
      <c r="M164" s="4">
        <v>2</v>
      </c>
      <c r="N164" s="6">
        <v>0.18</v>
      </c>
      <c r="O164" s="2" t="str">
        <f>IF(Append1[[#This Row],[weekday]]=0,"holiday",IF(AND(Append1[[#This Row],[weekday]]&gt;1,Append1[[#This Row],[weekday]]&lt;7),"working day","weekend"))</f>
        <v>working day</v>
      </c>
      <c r="P164" s="4" t="str">
        <f>IF(Append1[[#This Row],[weathersit]]=0,"sunny",IF(Append1[[#This Row],[weathersit]]=1,"mist",IF(Append1[[#This Row],[weathersit]]=2,"lightrain","extremerain")))</f>
        <v>lightrain</v>
      </c>
    </row>
    <row r="165" spans="1:16" x14ac:dyDescent="0.25">
      <c r="A165" s="4">
        <v>164</v>
      </c>
      <c r="B165" s="4">
        <v>0.2424</v>
      </c>
      <c r="C165" s="4">
        <v>0.55000000000000004</v>
      </c>
      <c r="D165" s="4">
        <v>0</v>
      </c>
      <c r="E165" s="4">
        <v>3</v>
      </c>
      <c r="F165" s="4">
        <v>13</v>
      </c>
      <c r="G165" s="4">
        <v>16</v>
      </c>
      <c r="H165" s="5">
        <v>40551</v>
      </c>
      <c r="I165" s="4">
        <v>1</v>
      </c>
      <c r="J165" s="4">
        <v>2</v>
      </c>
      <c r="K165" s="4" t="b">
        <f>IF(Append1[[#This Row],[days]]="working day",FALSE,TRUE)</f>
        <v>0</v>
      </c>
      <c r="L165" s="4">
        <v>6</v>
      </c>
      <c r="M165" s="4">
        <v>2</v>
      </c>
      <c r="N165" s="6">
        <v>0.18</v>
      </c>
      <c r="O165" s="2" t="str">
        <f>IF(Append1[[#This Row],[weekday]]=0,"holiday",IF(AND(Append1[[#This Row],[weekday]]&gt;1,Append1[[#This Row],[weekday]]&lt;7),"working day","weekend"))</f>
        <v>working day</v>
      </c>
      <c r="P165" s="4" t="str">
        <f>IF(Append1[[#This Row],[weathersit]]=0,"sunny",IF(Append1[[#This Row],[weathersit]]=1,"mist",IF(Append1[[#This Row],[weathersit]]=2,"lightrain","extremerain")))</f>
        <v>lightrain</v>
      </c>
    </row>
    <row r="166" spans="1:16" x14ac:dyDescent="0.25">
      <c r="A166" s="4">
        <v>165</v>
      </c>
      <c r="B166" s="4">
        <v>0.19700000000000001</v>
      </c>
      <c r="C166" s="4">
        <v>0.55000000000000004</v>
      </c>
      <c r="D166" s="4">
        <v>0.16420000000000001</v>
      </c>
      <c r="E166" s="4">
        <v>0</v>
      </c>
      <c r="F166" s="4">
        <v>7</v>
      </c>
      <c r="G166" s="4">
        <v>7</v>
      </c>
      <c r="H166" s="5">
        <v>40551</v>
      </c>
      <c r="I166" s="4">
        <v>1</v>
      </c>
      <c r="J166" s="4">
        <v>3</v>
      </c>
      <c r="K166" s="4" t="b">
        <f>IF(Append1[[#This Row],[days]]="working day",FALSE,TRUE)</f>
        <v>0</v>
      </c>
      <c r="L166" s="4">
        <v>6</v>
      </c>
      <c r="M166" s="4">
        <v>3</v>
      </c>
      <c r="N166" s="6">
        <v>0.18</v>
      </c>
      <c r="O166" s="2" t="str">
        <f>IF(Append1[[#This Row],[weekday]]=0,"holiday",IF(AND(Append1[[#This Row],[weekday]]&gt;1,Append1[[#This Row],[weekday]]&lt;7),"working day","weekend"))</f>
        <v>working day</v>
      </c>
      <c r="P166" s="4" t="str">
        <f>IF(Append1[[#This Row],[weathersit]]=0,"sunny",IF(Append1[[#This Row],[weathersit]]=1,"mist",IF(Append1[[#This Row],[weathersit]]=2,"lightrain","extremerain")))</f>
        <v>extremerain</v>
      </c>
    </row>
    <row r="167" spans="1:16" x14ac:dyDescent="0.25">
      <c r="A167" s="4">
        <v>166</v>
      </c>
      <c r="B167" s="4">
        <v>0.19700000000000001</v>
      </c>
      <c r="C167" s="4">
        <v>0.55000000000000004</v>
      </c>
      <c r="D167" s="4">
        <v>0.16420000000000001</v>
      </c>
      <c r="E167" s="4">
        <v>0</v>
      </c>
      <c r="F167" s="4">
        <v>1</v>
      </c>
      <c r="G167" s="4">
        <v>1</v>
      </c>
      <c r="H167" s="5">
        <v>40551</v>
      </c>
      <c r="I167" s="4">
        <v>1</v>
      </c>
      <c r="J167" s="4">
        <v>4</v>
      </c>
      <c r="K167" s="4" t="b">
        <f>IF(Append1[[#This Row],[days]]="working day",FALSE,TRUE)</f>
        <v>0</v>
      </c>
      <c r="L167" s="4">
        <v>6</v>
      </c>
      <c r="M167" s="4">
        <v>3</v>
      </c>
      <c r="N167" s="6">
        <v>0.18</v>
      </c>
      <c r="O167" s="2" t="str">
        <f>IF(Append1[[#This Row],[weekday]]=0,"holiday",IF(AND(Append1[[#This Row],[weekday]]&gt;1,Append1[[#This Row],[weekday]]&lt;7),"working day","weekend"))</f>
        <v>working day</v>
      </c>
      <c r="P167" s="4" t="str">
        <f>IF(Append1[[#This Row],[weathersit]]=0,"sunny",IF(Append1[[#This Row],[weathersit]]=1,"mist",IF(Append1[[#This Row],[weathersit]]=2,"lightrain","extremerain")))</f>
        <v>extremerain</v>
      </c>
    </row>
    <row r="168" spans="1:16" x14ac:dyDescent="0.25">
      <c r="A168" s="4">
        <v>167</v>
      </c>
      <c r="B168" s="4">
        <v>0.16669999999999999</v>
      </c>
      <c r="C168" s="4">
        <v>0.74</v>
      </c>
      <c r="D168" s="4">
        <v>0.16420000000000001</v>
      </c>
      <c r="E168" s="4">
        <v>0</v>
      </c>
      <c r="F168" s="4">
        <v>5</v>
      </c>
      <c r="G168" s="4">
        <v>5</v>
      </c>
      <c r="H168" s="5">
        <v>40551</v>
      </c>
      <c r="I168" s="4">
        <v>1</v>
      </c>
      <c r="J168" s="4">
        <v>5</v>
      </c>
      <c r="K168" s="4" t="b">
        <f>IF(Append1[[#This Row],[days]]="working day",FALSE,TRUE)</f>
        <v>0</v>
      </c>
      <c r="L168" s="4">
        <v>6</v>
      </c>
      <c r="M168" s="4">
        <v>2</v>
      </c>
      <c r="N168" s="6">
        <v>0.16</v>
      </c>
      <c r="O168" s="2" t="str">
        <f>IF(Append1[[#This Row],[weekday]]=0,"holiday",IF(AND(Append1[[#This Row],[weekday]]&gt;1,Append1[[#This Row],[weekday]]&lt;7),"working day","weekend"))</f>
        <v>working day</v>
      </c>
      <c r="P168" s="4" t="str">
        <f>IF(Append1[[#This Row],[weathersit]]=0,"sunny",IF(Append1[[#This Row],[weathersit]]=1,"mist",IF(Append1[[#This Row],[weathersit]]=2,"lightrain","extremerain")))</f>
        <v>lightrain</v>
      </c>
    </row>
    <row r="169" spans="1:16" x14ac:dyDescent="0.25">
      <c r="A169" s="4">
        <v>168</v>
      </c>
      <c r="B169" s="4">
        <v>0.16669999999999999</v>
      </c>
      <c r="C169" s="4">
        <v>0.74</v>
      </c>
      <c r="D169" s="4">
        <v>0.16420000000000001</v>
      </c>
      <c r="E169" s="4">
        <v>0</v>
      </c>
      <c r="F169" s="4">
        <v>2</v>
      </c>
      <c r="G169" s="4">
        <v>2</v>
      </c>
      <c r="H169" s="5">
        <v>40551</v>
      </c>
      <c r="I169" s="4">
        <v>1</v>
      </c>
      <c r="J169" s="4">
        <v>6</v>
      </c>
      <c r="K169" s="4" t="b">
        <f>IF(Append1[[#This Row],[days]]="working day",FALSE,TRUE)</f>
        <v>0</v>
      </c>
      <c r="L169" s="4">
        <v>6</v>
      </c>
      <c r="M169" s="4">
        <v>2</v>
      </c>
      <c r="N169" s="6">
        <v>0.16</v>
      </c>
      <c r="O169" s="2" t="str">
        <f>IF(Append1[[#This Row],[weekday]]=0,"holiday",IF(AND(Append1[[#This Row],[weekday]]&gt;1,Append1[[#This Row],[weekday]]&lt;7),"working day","weekend"))</f>
        <v>working day</v>
      </c>
      <c r="P169" s="4" t="str">
        <f>IF(Append1[[#This Row],[weathersit]]=0,"sunny",IF(Append1[[#This Row],[weathersit]]=1,"mist",IF(Append1[[#This Row],[weathersit]]=2,"lightrain","extremerain")))</f>
        <v>lightrain</v>
      </c>
    </row>
    <row r="170" spans="1:16" x14ac:dyDescent="0.25">
      <c r="A170" s="4">
        <v>169</v>
      </c>
      <c r="B170" s="4">
        <v>0.18179999999999999</v>
      </c>
      <c r="C170" s="4">
        <v>0.74</v>
      </c>
      <c r="D170" s="4">
        <v>0.1045</v>
      </c>
      <c r="E170" s="4">
        <v>1</v>
      </c>
      <c r="F170" s="4">
        <v>8</v>
      </c>
      <c r="G170" s="4">
        <v>9</v>
      </c>
      <c r="H170" s="5">
        <v>40551</v>
      </c>
      <c r="I170" s="4">
        <v>1</v>
      </c>
      <c r="J170" s="4">
        <v>7</v>
      </c>
      <c r="K170" s="4" t="b">
        <f>IF(Append1[[#This Row],[days]]="working day",FALSE,TRUE)</f>
        <v>0</v>
      </c>
      <c r="L170" s="4">
        <v>6</v>
      </c>
      <c r="M170" s="4">
        <v>2</v>
      </c>
      <c r="N170" s="6">
        <v>0.16</v>
      </c>
      <c r="O170" s="2" t="str">
        <f>IF(Append1[[#This Row],[weekday]]=0,"holiday",IF(AND(Append1[[#This Row],[weekday]]&gt;1,Append1[[#This Row],[weekday]]&lt;7),"working day","weekend"))</f>
        <v>working day</v>
      </c>
      <c r="P170" s="4" t="str">
        <f>IF(Append1[[#This Row],[weathersit]]=0,"sunny",IF(Append1[[#This Row],[weathersit]]=1,"mist",IF(Append1[[#This Row],[weathersit]]=2,"lightrain","extremerain")))</f>
        <v>lightrain</v>
      </c>
    </row>
    <row r="171" spans="1:16" x14ac:dyDescent="0.25">
      <c r="A171" s="4">
        <v>170</v>
      </c>
      <c r="B171" s="4">
        <v>0.18179999999999999</v>
      </c>
      <c r="C171" s="4">
        <v>0.93</v>
      </c>
      <c r="D171" s="4">
        <v>0.1045</v>
      </c>
      <c r="E171" s="4">
        <v>0</v>
      </c>
      <c r="F171" s="4">
        <v>15</v>
      </c>
      <c r="G171" s="4">
        <v>15</v>
      </c>
      <c r="H171" s="5">
        <v>40551</v>
      </c>
      <c r="I171" s="4">
        <v>1</v>
      </c>
      <c r="J171" s="4">
        <v>8</v>
      </c>
      <c r="K171" s="4" t="b">
        <f>IF(Append1[[#This Row],[days]]="working day",FALSE,TRUE)</f>
        <v>0</v>
      </c>
      <c r="L171" s="4">
        <v>6</v>
      </c>
      <c r="M171" s="4">
        <v>3</v>
      </c>
      <c r="N171" s="6">
        <v>0.16</v>
      </c>
      <c r="O171" s="2" t="str">
        <f>IF(Append1[[#This Row],[weekday]]=0,"holiday",IF(AND(Append1[[#This Row],[weekday]]&gt;1,Append1[[#This Row],[weekday]]&lt;7),"working day","weekend"))</f>
        <v>working day</v>
      </c>
      <c r="P171" s="4" t="str">
        <f>IF(Append1[[#This Row],[weathersit]]=0,"sunny",IF(Append1[[#This Row],[weathersit]]=1,"mist",IF(Append1[[#This Row],[weathersit]]=2,"lightrain","extremerain")))</f>
        <v>extremerain</v>
      </c>
    </row>
    <row r="172" spans="1:16" x14ac:dyDescent="0.25">
      <c r="A172" s="4">
        <v>171</v>
      </c>
      <c r="B172" s="4">
        <v>0.18179999999999999</v>
      </c>
      <c r="C172" s="4">
        <v>0.93</v>
      </c>
      <c r="D172" s="4">
        <v>0.1045</v>
      </c>
      <c r="E172" s="4">
        <v>0</v>
      </c>
      <c r="F172" s="4">
        <v>20</v>
      </c>
      <c r="G172" s="4">
        <v>20</v>
      </c>
      <c r="H172" s="5">
        <v>40551</v>
      </c>
      <c r="I172" s="4">
        <v>1</v>
      </c>
      <c r="J172" s="4">
        <v>9</v>
      </c>
      <c r="K172" s="4" t="b">
        <f>IF(Append1[[#This Row],[days]]="working day",FALSE,TRUE)</f>
        <v>0</v>
      </c>
      <c r="L172" s="4">
        <v>6</v>
      </c>
      <c r="M172" s="4">
        <v>3</v>
      </c>
      <c r="N172" s="6">
        <v>0.16</v>
      </c>
      <c r="O172" s="2" t="str">
        <f>IF(Append1[[#This Row],[weekday]]=0,"holiday",IF(AND(Append1[[#This Row],[weekday]]&gt;1,Append1[[#This Row],[weekday]]&lt;7),"working day","weekend"))</f>
        <v>working day</v>
      </c>
      <c r="P172" s="4" t="str">
        <f>IF(Append1[[#This Row],[weathersit]]=0,"sunny",IF(Append1[[#This Row],[weathersit]]=1,"mist",IF(Append1[[#This Row],[weathersit]]=2,"lightrain","extremerain")))</f>
        <v>extremerain</v>
      </c>
    </row>
    <row r="173" spans="1:16" x14ac:dyDescent="0.25">
      <c r="A173" s="4">
        <v>172</v>
      </c>
      <c r="B173" s="4">
        <v>0.19700000000000001</v>
      </c>
      <c r="C173" s="4">
        <v>0.8</v>
      </c>
      <c r="D173" s="4">
        <v>0.16420000000000001</v>
      </c>
      <c r="E173" s="4">
        <v>5</v>
      </c>
      <c r="F173" s="4">
        <v>56</v>
      </c>
      <c r="G173" s="4">
        <v>61</v>
      </c>
      <c r="H173" s="5">
        <v>40551</v>
      </c>
      <c r="I173" s="4">
        <v>1</v>
      </c>
      <c r="J173" s="4">
        <v>10</v>
      </c>
      <c r="K173" s="4" t="b">
        <f>IF(Append1[[#This Row],[days]]="working day",FALSE,TRUE)</f>
        <v>0</v>
      </c>
      <c r="L173" s="4">
        <v>6</v>
      </c>
      <c r="M173" s="4">
        <v>2</v>
      </c>
      <c r="N173" s="6">
        <v>0.18</v>
      </c>
      <c r="O173" s="2" t="str">
        <f>IF(Append1[[#This Row],[weekday]]=0,"holiday",IF(AND(Append1[[#This Row],[weekday]]&gt;1,Append1[[#This Row],[weekday]]&lt;7),"working day","weekend"))</f>
        <v>working day</v>
      </c>
      <c r="P173" s="4" t="str">
        <f>IF(Append1[[#This Row],[weathersit]]=0,"sunny",IF(Append1[[#This Row],[weathersit]]=1,"mist",IF(Append1[[#This Row],[weathersit]]=2,"lightrain","extremerain")))</f>
        <v>lightrain</v>
      </c>
    </row>
    <row r="174" spans="1:16" x14ac:dyDescent="0.25">
      <c r="A174" s="4">
        <v>173</v>
      </c>
      <c r="B174" s="4">
        <v>0.18179999999999999</v>
      </c>
      <c r="C174" s="4">
        <v>0.69</v>
      </c>
      <c r="D174" s="4">
        <v>0.3881</v>
      </c>
      <c r="E174" s="4">
        <v>2</v>
      </c>
      <c r="F174" s="4">
        <v>60</v>
      </c>
      <c r="G174" s="4">
        <v>62</v>
      </c>
      <c r="H174" s="5">
        <v>40551</v>
      </c>
      <c r="I174" s="4">
        <v>1</v>
      </c>
      <c r="J174" s="4">
        <v>11</v>
      </c>
      <c r="K174" s="4" t="b">
        <f>IF(Append1[[#This Row],[days]]="working day",FALSE,TRUE)</f>
        <v>0</v>
      </c>
      <c r="L174" s="4">
        <v>6</v>
      </c>
      <c r="M174" s="4">
        <v>2</v>
      </c>
      <c r="N174" s="6">
        <v>0.2</v>
      </c>
      <c r="O174" s="2" t="str">
        <f>IF(Append1[[#This Row],[weekday]]=0,"holiday",IF(AND(Append1[[#This Row],[weekday]]&gt;1,Append1[[#This Row],[weekday]]&lt;7),"working day","weekend"))</f>
        <v>working day</v>
      </c>
      <c r="P174" s="4" t="str">
        <f>IF(Append1[[#This Row],[weathersit]]=0,"sunny",IF(Append1[[#This Row],[weathersit]]=1,"mist",IF(Append1[[#This Row],[weathersit]]=2,"lightrain","extremerain")))</f>
        <v>lightrain</v>
      </c>
    </row>
    <row r="175" spans="1:16" x14ac:dyDescent="0.25">
      <c r="A175" s="4">
        <v>174</v>
      </c>
      <c r="B175" s="4">
        <v>0.18179999999999999</v>
      </c>
      <c r="C175" s="4">
        <v>0.59</v>
      </c>
      <c r="D175" s="4">
        <v>0.35820000000000002</v>
      </c>
      <c r="E175" s="4">
        <v>8</v>
      </c>
      <c r="F175" s="4">
        <v>90</v>
      </c>
      <c r="G175" s="4">
        <v>98</v>
      </c>
      <c r="H175" s="5">
        <v>40551</v>
      </c>
      <c r="I175" s="4">
        <v>1</v>
      </c>
      <c r="J175" s="4">
        <v>12</v>
      </c>
      <c r="K175" s="4" t="b">
        <f>IF(Append1[[#This Row],[days]]="working day",FALSE,TRUE)</f>
        <v>0</v>
      </c>
      <c r="L175" s="4">
        <v>6</v>
      </c>
      <c r="M175" s="4">
        <v>2</v>
      </c>
      <c r="N175" s="6">
        <v>0.2</v>
      </c>
      <c r="O175" s="2" t="str">
        <f>IF(Append1[[#This Row],[weekday]]=0,"holiday",IF(AND(Append1[[#This Row],[weekday]]&gt;1,Append1[[#This Row],[weekday]]&lt;7),"working day","weekend"))</f>
        <v>working day</v>
      </c>
      <c r="P175" s="4" t="str">
        <f>IF(Append1[[#This Row],[weathersit]]=0,"sunny",IF(Append1[[#This Row],[weathersit]]=1,"mist",IF(Append1[[#This Row],[weathersit]]=2,"lightrain","extremerain")))</f>
        <v>lightrain</v>
      </c>
    </row>
    <row r="176" spans="1:16" x14ac:dyDescent="0.25">
      <c r="A176" s="4">
        <v>175</v>
      </c>
      <c r="B176" s="4">
        <v>0.18179999999999999</v>
      </c>
      <c r="C176" s="4">
        <v>0.44</v>
      </c>
      <c r="D176" s="4">
        <v>0.32840000000000003</v>
      </c>
      <c r="E176" s="4">
        <v>7</v>
      </c>
      <c r="F176" s="4">
        <v>95</v>
      </c>
      <c r="G176" s="4">
        <v>102</v>
      </c>
      <c r="H176" s="5">
        <v>40551</v>
      </c>
      <c r="I176" s="4">
        <v>1</v>
      </c>
      <c r="J176" s="4">
        <v>13</v>
      </c>
      <c r="K176" s="4" t="b">
        <f>IF(Append1[[#This Row],[days]]="working day",FALSE,TRUE)</f>
        <v>0</v>
      </c>
      <c r="L176" s="4">
        <v>6</v>
      </c>
      <c r="M176" s="4">
        <v>1</v>
      </c>
      <c r="N176" s="6">
        <v>0.2</v>
      </c>
      <c r="O176" s="2" t="str">
        <f>IF(Append1[[#This Row],[weekday]]=0,"holiday",IF(AND(Append1[[#This Row],[weekday]]&gt;1,Append1[[#This Row],[weekday]]&lt;7),"working day","weekend"))</f>
        <v>working day</v>
      </c>
      <c r="P176" s="4" t="str">
        <f>IF(Append1[[#This Row],[weathersit]]=0,"sunny",IF(Append1[[#This Row],[weathersit]]=1,"mist",IF(Append1[[#This Row],[weathersit]]=2,"lightrain","extremerain")))</f>
        <v>mist</v>
      </c>
    </row>
    <row r="177" spans="1:16" x14ac:dyDescent="0.25">
      <c r="A177" s="4">
        <v>176</v>
      </c>
      <c r="B177" s="4">
        <v>0.16669999999999999</v>
      </c>
      <c r="C177" s="4">
        <v>0.32</v>
      </c>
      <c r="D177" s="4">
        <v>0.49249999999999999</v>
      </c>
      <c r="E177" s="4">
        <v>12</v>
      </c>
      <c r="F177" s="4">
        <v>83</v>
      </c>
      <c r="G177" s="4">
        <v>95</v>
      </c>
      <c r="H177" s="5">
        <v>40551</v>
      </c>
      <c r="I177" s="4">
        <v>1</v>
      </c>
      <c r="J177" s="4">
        <v>14</v>
      </c>
      <c r="K177" s="4" t="b">
        <f>IF(Append1[[#This Row],[days]]="working day",FALSE,TRUE)</f>
        <v>0</v>
      </c>
      <c r="L177" s="4">
        <v>6</v>
      </c>
      <c r="M177" s="4">
        <v>1</v>
      </c>
      <c r="N177" s="6">
        <v>0.2</v>
      </c>
      <c r="O177" s="2" t="str">
        <f>IF(Append1[[#This Row],[weekday]]=0,"holiday",IF(AND(Append1[[#This Row],[weekday]]&gt;1,Append1[[#This Row],[weekday]]&lt;7),"working day","weekend"))</f>
        <v>working day</v>
      </c>
      <c r="P177" s="4" t="str">
        <f>IF(Append1[[#This Row],[weathersit]]=0,"sunny",IF(Append1[[#This Row],[weathersit]]=1,"mist",IF(Append1[[#This Row],[weathersit]]=2,"lightrain","extremerain")))</f>
        <v>mist</v>
      </c>
    </row>
    <row r="178" spans="1:16" x14ac:dyDescent="0.25">
      <c r="A178" s="4">
        <v>177</v>
      </c>
      <c r="B178" s="4">
        <v>0.16669999999999999</v>
      </c>
      <c r="C178" s="4">
        <v>0.32</v>
      </c>
      <c r="D178" s="4">
        <v>0.44779999999999998</v>
      </c>
      <c r="E178" s="4">
        <v>5</v>
      </c>
      <c r="F178" s="4">
        <v>69</v>
      </c>
      <c r="G178" s="4">
        <v>74</v>
      </c>
      <c r="H178" s="5">
        <v>40551</v>
      </c>
      <c r="I178" s="4">
        <v>1</v>
      </c>
      <c r="J178" s="4">
        <v>15</v>
      </c>
      <c r="K178" s="4" t="b">
        <f>IF(Append1[[#This Row],[days]]="working day",FALSE,TRUE)</f>
        <v>0</v>
      </c>
      <c r="L178" s="4">
        <v>6</v>
      </c>
      <c r="M178" s="4">
        <v>1</v>
      </c>
      <c r="N178" s="6">
        <v>0.2</v>
      </c>
      <c r="O178" s="2" t="str">
        <f>IF(Append1[[#This Row],[weekday]]=0,"holiday",IF(AND(Append1[[#This Row],[weekday]]&gt;1,Append1[[#This Row],[weekday]]&lt;7),"working day","weekend"))</f>
        <v>working day</v>
      </c>
      <c r="P178" s="4" t="str">
        <f>IF(Append1[[#This Row],[weathersit]]=0,"sunny",IF(Append1[[#This Row],[weathersit]]=1,"mist",IF(Append1[[#This Row],[weathersit]]=2,"lightrain","extremerain")))</f>
        <v>mist</v>
      </c>
    </row>
    <row r="179" spans="1:16" x14ac:dyDescent="0.25">
      <c r="A179" s="4">
        <v>178</v>
      </c>
      <c r="B179" s="4">
        <v>0.13639999999999999</v>
      </c>
      <c r="C179" s="4">
        <v>0.28999999999999998</v>
      </c>
      <c r="D179" s="4">
        <v>0.44779999999999998</v>
      </c>
      <c r="E179" s="4">
        <v>8</v>
      </c>
      <c r="F179" s="4">
        <v>68</v>
      </c>
      <c r="G179" s="4">
        <v>76</v>
      </c>
      <c r="H179" s="5">
        <v>40551</v>
      </c>
      <c r="I179" s="4">
        <v>1</v>
      </c>
      <c r="J179" s="4">
        <v>16</v>
      </c>
      <c r="K179" s="4" t="b">
        <f>IF(Append1[[#This Row],[days]]="working day",FALSE,TRUE)</f>
        <v>0</v>
      </c>
      <c r="L179" s="4">
        <v>6</v>
      </c>
      <c r="M179" s="4">
        <v>1</v>
      </c>
      <c r="N179" s="6">
        <v>0.18</v>
      </c>
      <c r="O179" s="2" t="str">
        <f>IF(Append1[[#This Row],[weekday]]=0,"holiday",IF(AND(Append1[[#This Row],[weekday]]&gt;1,Append1[[#This Row],[weekday]]&lt;7),"working day","weekend"))</f>
        <v>working day</v>
      </c>
      <c r="P179" s="4" t="str">
        <f>IF(Append1[[#This Row],[weathersit]]=0,"sunny",IF(Append1[[#This Row],[weathersit]]=1,"mist",IF(Append1[[#This Row],[weathersit]]=2,"lightrain","extremerain")))</f>
        <v>mist</v>
      </c>
    </row>
    <row r="180" spans="1:16" x14ac:dyDescent="0.25">
      <c r="A180" s="4">
        <v>179</v>
      </c>
      <c r="B180" s="4">
        <v>0.1212</v>
      </c>
      <c r="C180" s="4">
        <v>0.37</v>
      </c>
      <c r="D180" s="4">
        <v>0.55220000000000002</v>
      </c>
      <c r="E180" s="4">
        <v>5</v>
      </c>
      <c r="F180" s="4">
        <v>64</v>
      </c>
      <c r="G180" s="4">
        <v>69</v>
      </c>
      <c r="H180" s="5">
        <v>40551</v>
      </c>
      <c r="I180" s="4">
        <v>1</v>
      </c>
      <c r="J180" s="4">
        <v>17</v>
      </c>
      <c r="K180" s="4" t="b">
        <f>IF(Append1[[#This Row],[days]]="working day",FALSE,TRUE)</f>
        <v>0</v>
      </c>
      <c r="L180" s="4">
        <v>6</v>
      </c>
      <c r="M180" s="4">
        <v>1</v>
      </c>
      <c r="N180" s="6">
        <v>0.16</v>
      </c>
      <c r="O180" s="2" t="str">
        <f>IF(Append1[[#This Row],[weekday]]=0,"holiday",IF(AND(Append1[[#This Row],[weekday]]&gt;1,Append1[[#This Row],[weekday]]&lt;7),"working day","weekend"))</f>
        <v>working day</v>
      </c>
      <c r="P180" s="4" t="str">
        <f>IF(Append1[[#This Row],[weathersit]]=0,"sunny",IF(Append1[[#This Row],[weathersit]]=1,"mist",IF(Append1[[#This Row],[weathersit]]=2,"lightrain","extremerain")))</f>
        <v>mist</v>
      </c>
    </row>
    <row r="181" spans="1:16" x14ac:dyDescent="0.25">
      <c r="A181" s="4">
        <v>180</v>
      </c>
      <c r="B181" s="4">
        <v>0.1212</v>
      </c>
      <c r="C181" s="4">
        <v>0.39</v>
      </c>
      <c r="D181" s="4">
        <v>0.29849999999999999</v>
      </c>
      <c r="E181" s="4">
        <v>3</v>
      </c>
      <c r="F181" s="4">
        <v>52</v>
      </c>
      <c r="G181" s="4">
        <v>55</v>
      </c>
      <c r="H181" s="5">
        <v>40551</v>
      </c>
      <c r="I181" s="4">
        <v>1</v>
      </c>
      <c r="J181" s="4">
        <v>18</v>
      </c>
      <c r="K181" s="4" t="b">
        <f>IF(Append1[[#This Row],[days]]="working day",FALSE,TRUE)</f>
        <v>0</v>
      </c>
      <c r="L181" s="4">
        <v>6</v>
      </c>
      <c r="M181" s="4">
        <v>1</v>
      </c>
      <c r="N181" s="6">
        <v>0.14000000000000001</v>
      </c>
      <c r="O181" s="2" t="str">
        <f>IF(Append1[[#This Row],[weekday]]=0,"holiday",IF(AND(Append1[[#This Row],[weekday]]&gt;1,Append1[[#This Row],[weekday]]&lt;7),"working day","weekend"))</f>
        <v>working day</v>
      </c>
      <c r="P181" s="4" t="str">
        <f>IF(Append1[[#This Row],[weathersit]]=0,"sunny",IF(Append1[[#This Row],[weathersit]]=1,"mist",IF(Append1[[#This Row],[weathersit]]=2,"lightrain","extremerain")))</f>
        <v>mist</v>
      </c>
    </row>
    <row r="182" spans="1:16" x14ac:dyDescent="0.25">
      <c r="A182" s="4">
        <v>181</v>
      </c>
      <c r="B182" s="4">
        <v>0.1212</v>
      </c>
      <c r="C182" s="4">
        <v>0.36</v>
      </c>
      <c r="D182" s="4">
        <v>0.25369999999999998</v>
      </c>
      <c r="E182" s="4">
        <v>4</v>
      </c>
      <c r="F182" s="4">
        <v>26</v>
      </c>
      <c r="G182" s="4">
        <v>30</v>
      </c>
      <c r="H182" s="5">
        <v>40551</v>
      </c>
      <c r="I182" s="4">
        <v>1</v>
      </c>
      <c r="J182" s="4">
        <v>19</v>
      </c>
      <c r="K182" s="4" t="b">
        <f>IF(Append1[[#This Row],[days]]="working day",FALSE,TRUE)</f>
        <v>0</v>
      </c>
      <c r="L182" s="4">
        <v>6</v>
      </c>
      <c r="M182" s="4">
        <v>1</v>
      </c>
      <c r="N182" s="6">
        <v>0.14000000000000001</v>
      </c>
      <c r="O182" s="2" t="str">
        <f>IF(Append1[[#This Row],[weekday]]=0,"holiday",IF(AND(Append1[[#This Row],[weekday]]&gt;1,Append1[[#This Row],[weekday]]&lt;7),"working day","weekend"))</f>
        <v>working day</v>
      </c>
      <c r="P182" s="4" t="str">
        <f>IF(Append1[[#This Row],[weathersit]]=0,"sunny",IF(Append1[[#This Row],[weathersit]]=1,"mist",IF(Append1[[#This Row],[weathersit]]=2,"lightrain","extremerain")))</f>
        <v>mist</v>
      </c>
    </row>
    <row r="183" spans="1:16" x14ac:dyDescent="0.25">
      <c r="A183" s="4">
        <v>182</v>
      </c>
      <c r="B183" s="4">
        <v>0.1212</v>
      </c>
      <c r="C183" s="4">
        <v>0.36</v>
      </c>
      <c r="D183" s="4">
        <v>0.25369999999999998</v>
      </c>
      <c r="E183" s="4">
        <v>0</v>
      </c>
      <c r="F183" s="4">
        <v>28</v>
      </c>
      <c r="G183" s="4">
        <v>28</v>
      </c>
      <c r="H183" s="5">
        <v>40551</v>
      </c>
      <c r="I183" s="4">
        <v>1</v>
      </c>
      <c r="J183" s="4">
        <v>20</v>
      </c>
      <c r="K183" s="4" t="b">
        <f>IF(Append1[[#This Row],[days]]="working day",FALSE,TRUE)</f>
        <v>0</v>
      </c>
      <c r="L183" s="4">
        <v>6</v>
      </c>
      <c r="M183" s="4">
        <v>1</v>
      </c>
      <c r="N183" s="6">
        <v>0.12</v>
      </c>
      <c r="O183" s="2" t="str">
        <f>IF(Append1[[#This Row],[weekday]]=0,"holiday",IF(AND(Append1[[#This Row],[weekday]]&gt;1,Append1[[#This Row],[weekday]]&lt;7),"working day","weekend"))</f>
        <v>working day</v>
      </c>
      <c r="P183" s="4" t="str">
        <f>IF(Append1[[#This Row],[weathersit]]=0,"sunny",IF(Append1[[#This Row],[weathersit]]=1,"mist",IF(Append1[[#This Row],[weathersit]]=2,"lightrain","extremerain")))</f>
        <v>mist</v>
      </c>
    </row>
    <row r="184" spans="1:16" x14ac:dyDescent="0.25">
      <c r="A184" s="4">
        <v>183</v>
      </c>
      <c r="B184" s="4">
        <v>0.1061</v>
      </c>
      <c r="C184" s="4">
        <v>0.39</v>
      </c>
      <c r="D184" s="4">
        <v>0.35820000000000002</v>
      </c>
      <c r="E184" s="4">
        <v>2</v>
      </c>
      <c r="F184" s="4">
        <v>35</v>
      </c>
      <c r="G184" s="4">
        <v>37</v>
      </c>
      <c r="H184" s="5">
        <v>40551</v>
      </c>
      <c r="I184" s="4">
        <v>1</v>
      </c>
      <c r="J184" s="4">
        <v>21</v>
      </c>
      <c r="K184" s="4" t="b">
        <f>IF(Append1[[#This Row],[days]]="working day",FALSE,TRUE)</f>
        <v>0</v>
      </c>
      <c r="L184" s="4">
        <v>6</v>
      </c>
      <c r="M184" s="4">
        <v>1</v>
      </c>
      <c r="N184" s="6">
        <v>0.12</v>
      </c>
      <c r="O184" s="2" t="str">
        <f>IF(Append1[[#This Row],[weekday]]=0,"holiday",IF(AND(Append1[[#This Row],[weekday]]&gt;1,Append1[[#This Row],[weekday]]&lt;7),"working day","weekend"))</f>
        <v>working day</v>
      </c>
      <c r="P184" s="4" t="str">
        <f>IF(Append1[[#This Row],[weathersit]]=0,"sunny",IF(Append1[[#This Row],[weathersit]]=1,"mist",IF(Append1[[#This Row],[weathersit]]=2,"lightrain","extremerain")))</f>
        <v>mist</v>
      </c>
    </row>
    <row r="185" spans="1:16" x14ac:dyDescent="0.25">
      <c r="A185" s="4">
        <v>184</v>
      </c>
      <c r="B185" s="4">
        <v>0.1061</v>
      </c>
      <c r="C185" s="4">
        <v>0.36</v>
      </c>
      <c r="D185" s="4">
        <v>0.3881</v>
      </c>
      <c r="E185" s="4">
        <v>1</v>
      </c>
      <c r="F185" s="4">
        <v>33</v>
      </c>
      <c r="G185" s="4">
        <v>34</v>
      </c>
      <c r="H185" s="5">
        <v>40551</v>
      </c>
      <c r="I185" s="4">
        <v>1</v>
      </c>
      <c r="J185" s="4">
        <v>22</v>
      </c>
      <c r="K185" s="4" t="b">
        <f>IF(Append1[[#This Row],[days]]="working day",FALSE,TRUE)</f>
        <v>0</v>
      </c>
      <c r="L185" s="4">
        <v>6</v>
      </c>
      <c r="M185" s="4">
        <v>1</v>
      </c>
      <c r="N185" s="6">
        <v>0.12</v>
      </c>
      <c r="O185" s="2" t="str">
        <f>IF(Append1[[#This Row],[weekday]]=0,"holiday",IF(AND(Append1[[#This Row],[weekday]]&gt;1,Append1[[#This Row],[weekday]]&lt;7),"working day","weekend"))</f>
        <v>working day</v>
      </c>
      <c r="P185" s="4" t="str">
        <f>IF(Append1[[#This Row],[weathersit]]=0,"sunny",IF(Append1[[#This Row],[weathersit]]=1,"mist",IF(Append1[[#This Row],[weathersit]]=2,"lightrain","extremerain")))</f>
        <v>mist</v>
      </c>
    </row>
    <row r="186" spans="1:16" x14ac:dyDescent="0.25">
      <c r="A186" s="4">
        <v>185</v>
      </c>
      <c r="B186" s="4">
        <v>6.0600000000000001E-2</v>
      </c>
      <c r="C186" s="4">
        <v>0.39</v>
      </c>
      <c r="D186" s="4">
        <v>0.44779999999999998</v>
      </c>
      <c r="E186" s="4">
        <v>0</v>
      </c>
      <c r="F186" s="4">
        <v>22</v>
      </c>
      <c r="G186" s="4">
        <v>22</v>
      </c>
      <c r="H186" s="5">
        <v>40551</v>
      </c>
      <c r="I186" s="4">
        <v>1</v>
      </c>
      <c r="J186" s="4">
        <v>23</v>
      </c>
      <c r="K186" s="4" t="b">
        <f>IF(Append1[[#This Row],[days]]="working day",FALSE,TRUE)</f>
        <v>0</v>
      </c>
      <c r="L186" s="4">
        <v>6</v>
      </c>
      <c r="M186" s="4">
        <v>1</v>
      </c>
      <c r="N186" s="6">
        <v>0.1</v>
      </c>
      <c r="O186" s="2" t="str">
        <f>IF(Append1[[#This Row],[weekday]]=0,"holiday",IF(AND(Append1[[#This Row],[weekday]]&gt;1,Append1[[#This Row],[weekday]]&lt;7),"working day","weekend"))</f>
        <v>working day</v>
      </c>
      <c r="P186" s="4" t="str">
        <f>IF(Append1[[#This Row],[weathersit]]=0,"sunny",IF(Append1[[#This Row],[weathersit]]=1,"mist",IF(Append1[[#This Row],[weathersit]]=2,"lightrain","extremerain")))</f>
        <v>mist</v>
      </c>
    </row>
    <row r="187" spans="1:16" x14ac:dyDescent="0.25">
      <c r="A187" s="4">
        <v>186</v>
      </c>
      <c r="B187" s="4">
        <v>7.5800000000000006E-2</v>
      </c>
      <c r="C187" s="4">
        <v>0.42</v>
      </c>
      <c r="D187" s="4">
        <v>0.3881</v>
      </c>
      <c r="E187" s="4">
        <v>1</v>
      </c>
      <c r="F187" s="4">
        <v>24</v>
      </c>
      <c r="G187" s="4">
        <v>25</v>
      </c>
      <c r="H187" s="5">
        <v>40552</v>
      </c>
      <c r="I187" s="4">
        <v>1</v>
      </c>
      <c r="J187" s="4">
        <v>0</v>
      </c>
      <c r="K187" s="4" t="b">
        <f>IF(Append1[[#This Row],[days]]="working day",FALSE,TRUE)</f>
        <v>1</v>
      </c>
      <c r="L187" s="4">
        <v>0</v>
      </c>
      <c r="M187" s="4">
        <v>1</v>
      </c>
      <c r="N187" s="6">
        <v>0.1</v>
      </c>
      <c r="O187" s="2" t="str">
        <f>IF(Append1[[#This Row],[weekday]]=0,"holiday",IF(AND(Append1[[#This Row],[weekday]]&gt;1,Append1[[#This Row],[weekday]]&lt;7),"working day","weekend"))</f>
        <v>holiday</v>
      </c>
      <c r="P187" s="4" t="str">
        <f>IF(Append1[[#This Row],[weathersit]]=0,"sunny",IF(Append1[[#This Row],[weathersit]]=1,"mist",IF(Append1[[#This Row],[weathersit]]=2,"lightrain","extremerain")))</f>
        <v>mist</v>
      </c>
    </row>
    <row r="188" spans="1:16" x14ac:dyDescent="0.25">
      <c r="A188" s="4">
        <v>187</v>
      </c>
      <c r="B188" s="4">
        <v>6.0600000000000001E-2</v>
      </c>
      <c r="C188" s="4">
        <v>0.42</v>
      </c>
      <c r="D188" s="4">
        <v>0.4627</v>
      </c>
      <c r="E188" s="4">
        <v>0</v>
      </c>
      <c r="F188" s="4">
        <v>12</v>
      </c>
      <c r="G188" s="4">
        <v>12</v>
      </c>
      <c r="H188" s="5">
        <v>40552</v>
      </c>
      <c r="I188" s="4">
        <v>1</v>
      </c>
      <c r="J188" s="4">
        <v>1</v>
      </c>
      <c r="K188" s="4" t="b">
        <f>IF(Append1[[#This Row],[days]]="working day",FALSE,TRUE)</f>
        <v>1</v>
      </c>
      <c r="L188" s="4">
        <v>0</v>
      </c>
      <c r="M188" s="4">
        <v>1</v>
      </c>
      <c r="N188" s="6">
        <v>0.1</v>
      </c>
      <c r="O188" s="2" t="str">
        <f>IF(Append1[[#This Row],[weekday]]=0,"holiday",IF(AND(Append1[[#This Row],[weekday]]&gt;1,Append1[[#This Row],[weekday]]&lt;7),"working day","weekend"))</f>
        <v>holiday</v>
      </c>
      <c r="P188" s="4" t="str">
        <f>IF(Append1[[#This Row],[weathersit]]=0,"sunny",IF(Append1[[#This Row],[weathersit]]=1,"mist",IF(Append1[[#This Row],[weathersit]]=2,"lightrain","extremerain")))</f>
        <v>mist</v>
      </c>
    </row>
    <row r="189" spans="1:16" x14ac:dyDescent="0.25">
      <c r="A189" s="4">
        <v>188</v>
      </c>
      <c r="B189" s="4">
        <v>6.0600000000000001E-2</v>
      </c>
      <c r="C189" s="4">
        <v>0.46</v>
      </c>
      <c r="D189" s="4">
        <v>0.4627</v>
      </c>
      <c r="E189" s="4">
        <v>0</v>
      </c>
      <c r="F189" s="4">
        <v>11</v>
      </c>
      <c r="G189" s="4">
        <v>11</v>
      </c>
      <c r="H189" s="5">
        <v>40552</v>
      </c>
      <c r="I189" s="4">
        <v>1</v>
      </c>
      <c r="J189" s="4">
        <v>2</v>
      </c>
      <c r="K189" s="4" t="b">
        <f>IF(Append1[[#This Row],[days]]="working day",FALSE,TRUE)</f>
        <v>1</v>
      </c>
      <c r="L189" s="4">
        <v>0</v>
      </c>
      <c r="M189" s="4">
        <v>1</v>
      </c>
      <c r="N189" s="6">
        <v>0.1</v>
      </c>
      <c r="O189" s="2" t="str">
        <f>IF(Append1[[#This Row],[weekday]]=0,"holiday",IF(AND(Append1[[#This Row],[weekday]]&gt;1,Append1[[#This Row],[weekday]]&lt;7),"working day","weekend"))</f>
        <v>holiday</v>
      </c>
      <c r="P189" s="4" t="str">
        <f>IF(Append1[[#This Row],[weathersit]]=0,"sunny",IF(Append1[[#This Row],[weathersit]]=1,"mist",IF(Append1[[#This Row],[weathersit]]=2,"lightrain","extremerain")))</f>
        <v>mist</v>
      </c>
    </row>
    <row r="190" spans="1:16" x14ac:dyDescent="0.25">
      <c r="A190" s="4">
        <v>189</v>
      </c>
      <c r="B190" s="4">
        <v>7.5800000000000006E-2</v>
      </c>
      <c r="C190" s="4">
        <v>0.46</v>
      </c>
      <c r="D190" s="4">
        <v>0.41789999999999999</v>
      </c>
      <c r="E190" s="4">
        <v>0</v>
      </c>
      <c r="F190" s="4">
        <v>4</v>
      </c>
      <c r="G190" s="4">
        <v>4</v>
      </c>
      <c r="H190" s="5">
        <v>40552</v>
      </c>
      <c r="I190" s="4">
        <v>1</v>
      </c>
      <c r="J190" s="4">
        <v>3</v>
      </c>
      <c r="K190" s="4" t="b">
        <f>IF(Append1[[#This Row],[days]]="working day",FALSE,TRUE)</f>
        <v>1</v>
      </c>
      <c r="L190" s="4">
        <v>0</v>
      </c>
      <c r="M190" s="4">
        <v>1</v>
      </c>
      <c r="N190" s="6">
        <v>0.1</v>
      </c>
      <c r="O190" s="2" t="str">
        <f>IF(Append1[[#This Row],[weekday]]=0,"holiday",IF(AND(Append1[[#This Row],[weekday]]&gt;1,Append1[[#This Row],[weekday]]&lt;7),"working day","weekend"))</f>
        <v>holiday</v>
      </c>
      <c r="P190" s="4" t="str">
        <f>IF(Append1[[#This Row],[weathersit]]=0,"sunny",IF(Append1[[#This Row],[weathersit]]=1,"mist",IF(Append1[[#This Row],[weathersit]]=2,"lightrain","extremerain")))</f>
        <v>mist</v>
      </c>
    </row>
    <row r="191" spans="1:16" x14ac:dyDescent="0.25">
      <c r="A191" s="4">
        <v>190</v>
      </c>
      <c r="B191" s="4">
        <v>9.0899999999999995E-2</v>
      </c>
      <c r="C191" s="4">
        <v>0.53</v>
      </c>
      <c r="D191" s="4">
        <v>0.19400000000000001</v>
      </c>
      <c r="E191" s="4">
        <v>0</v>
      </c>
      <c r="F191" s="4">
        <v>1</v>
      </c>
      <c r="G191" s="4">
        <v>1</v>
      </c>
      <c r="H191" s="5">
        <v>40552</v>
      </c>
      <c r="I191" s="4">
        <v>1</v>
      </c>
      <c r="J191" s="4">
        <v>4</v>
      </c>
      <c r="K191" s="4" t="b">
        <f>IF(Append1[[#This Row],[days]]="working day",FALSE,TRUE)</f>
        <v>1</v>
      </c>
      <c r="L191" s="4">
        <v>0</v>
      </c>
      <c r="M191" s="4">
        <v>1</v>
      </c>
      <c r="N191" s="6">
        <v>0.08</v>
      </c>
      <c r="O191" s="2" t="str">
        <f>IF(Append1[[#This Row],[weekday]]=0,"holiday",IF(AND(Append1[[#This Row],[weekday]]&gt;1,Append1[[#This Row],[weekday]]&lt;7),"working day","weekend"))</f>
        <v>holiday</v>
      </c>
      <c r="P191" s="4" t="str">
        <f>IF(Append1[[#This Row],[weathersit]]=0,"sunny",IF(Append1[[#This Row],[weathersit]]=1,"mist",IF(Append1[[#This Row],[weathersit]]=2,"lightrain","extremerain")))</f>
        <v>mist</v>
      </c>
    </row>
    <row r="192" spans="1:16" x14ac:dyDescent="0.25">
      <c r="A192" s="4">
        <v>191</v>
      </c>
      <c r="B192" s="4">
        <v>9.0899999999999995E-2</v>
      </c>
      <c r="C192" s="4">
        <v>0.53</v>
      </c>
      <c r="D192" s="4">
        <v>0.19400000000000001</v>
      </c>
      <c r="E192" s="4">
        <v>0</v>
      </c>
      <c r="F192" s="4">
        <v>1</v>
      </c>
      <c r="G192" s="4">
        <v>1</v>
      </c>
      <c r="H192" s="5">
        <v>40552</v>
      </c>
      <c r="I192" s="4">
        <v>1</v>
      </c>
      <c r="J192" s="4">
        <v>5</v>
      </c>
      <c r="K192" s="4" t="b">
        <f>IF(Append1[[#This Row],[days]]="working day",FALSE,TRUE)</f>
        <v>1</v>
      </c>
      <c r="L192" s="4">
        <v>0</v>
      </c>
      <c r="M192" s="4">
        <v>1</v>
      </c>
      <c r="N192" s="6">
        <v>0.08</v>
      </c>
      <c r="O192" s="2" t="str">
        <f>IF(Append1[[#This Row],[weekday]]=0,"holiday",IF(AND(Append1[[#This Row],[weekday]]&gt;1,Append1[[#This Row],[weekday]]&lt;7),"working day","weekend"))</f>
        <v>holiday</v>
      </c>
      <c r="P192" s="4" t="str">
        <f>IF(Append1[[#This Row],[weathersit]]=0,"sunny",IF(Append1[[#This Row],[weathersit]]=1,"mist",IF(Append1[[#This Row],[weathersit]]=2,"lightrain","extremerain")))</f>
        <v>mist</v>
      </c>
    </row>
    <row r="193" spans="1:16" x14ac:dyDescent="0.25">
      <c r="A193" s="4">
        <v>192</v>
      </c>
      <c r="B193" s="4">
        <v>9.0899999999999995E-2</v>
      </c>
      <c r="C193" s="4">
        <v>0.49</v>
      </c>
      <c r="D193" s="4">
        <v>0.28360000000000002</v>
      </c>
      <c r="E193" s="4">
        <v>0</v>
      </c>
      <c r="F193" s="4">
        <v>1</v>
      </c>
      <c r="G193" s="4">
        <v>1</v>
      </c>
      <c r="H193" s="5">
        <v>40552</v>
      </c>
      <c r="I193" s="4">
        <v>1</v>
      </c>
      <c r="J193" s="4">
        <v>6</v>
      </c>
      <c r="K193" s="4" t="b">
        <f>IF(Append1[[#This Row],[days]]="working day",FALSE,TRUE)</f>
        <v>1</v>
      </c>
      <c r="L193" s="4">
        <v>0</v>
      </c>
      <c r="M193" s="4">
        <v>1</v>
      </c>
      <c r="N193" s="6">
        <v>0.1</v>
      </c>
      <c r="O193" s="2" t="str">
        <f>IF(Append1[[#This Row],[weekday]]=0,"holiday",IF(AND(Append1[[#This Row],[weekday]]&gt;1,Append1[[#This Row],[weekday]]&lt;7),"working day","weekend"))</f>
        <v>holiday</v>
      </c>
      <c r="P193" s="4" t="str">
        <f>IF(Append1[[#This Row],[weathersit]]=0,"sunny",IF(Append1[[#This Row],[weathersit]]=1,"mist",IF(Append1[[#This Row],[weathersit]]=2,"lightrain","extremerain")))</f>
        <v>mist</v>
      </c>
    </row>
    <row r="194" spans="1:16" x14ac:dyDescent="0.25">
      <c r="A194" s="4">
        <v>193</v>
      </c>
      <c r="B194" s="4">
        <v>9.0899999999999995E-2</v>
      </c>
      <c r="C194" s="4">
        <v>0.53</v>
      </c>
      <c r="D194" s="4">
        <v>0.19400000000000001</v>
      </c>
      <c r="E194" s="4">
        <v>1</v>
      </c>
      <c r="F194" s="4">
        <v>5</v>
      </c>
      <c r="G194" s="4">
        <v>6</v>
      </c>
      <c r="H194" s="5">
        <v>40552</v>
      </c>
      <c r="I194" s="4">
        <v>1</v>
      </c>
      <c r="J194" s="4">
        <v>7</v>
      </c>
      <c r="K194" s="4" t="b">
        <f>IF(Append1[[#This Row],[days]]="working day",FALSE,TRUE)</f>
        <v>1</v>
      </c>
      <c r="L194" s="4">
        <v>0</v>
      </c>
      <c r="M194" s="4">
        <v>1</v>
      </c>
      <c r="N194" s="6">
        <v>0.08</v>
      </c>
      <c r="O194" s="2" t="str">
        <f>IF(Append1[[#This Row],[weekday]]=0,"holiday",IF(AND(Append1[[#This Row],[weekday]]&gt;1,Append1[[#This Row],[weekday]]&lt;7),"working day","weekend"))</f>
        <v>holiday</v>
      </c>
      <c r="P194" s="4" t="str">
        <f>IF(Append1[[#This Row],[weathersit]]=0,"sunny",IF(Append1[[#This Row],[weathersit]]=1,"mist",IF(Append1[[#This Row],[weathersit]]=2,"lightrain","extremerain")))</f>
        <v>mist</v>
      </c>
    </row>
    <row r="195" spans="1:16" x14ac:dyDescent="0.25">
      <c r="A195" s="4">
        <v>194</v>
      </c>
      <c r="B195" s="4">
        <v>9.0899999999999995E-2</v>
      </c>
      <c r="C195" s="4">
        <v>0.49</v>
      </c>
      <c r="D195" s="4">
        <v>0.28360000000000002</v>
      </c>
      <c r="E195" s="4">
        <v>0</v>
      </c>
      <c r="F195" s="4">
        <v>10</v>
      </c>
      <c r="G195" s="4">
        <v>10</v>
      </c>
      <c r="H195" s="5">
        <v>40552</v>
      </c>
      <c r="I195" s="4">
        <v>1</v>
      </c>
      <c r="J195" s="4">
        <v>8</v>
      </c>
      <c r="K195" s="4" t="b">
        <f>IF(Append1[[#This Row],[days]]="working day",FALSE,TRUE)</f>
        <v>1</v>
      </c>
      <c r="L195" s="4">
        <v>0</v>
      </c>
      <c r="M195" s="4">
        <v>1</v>
      </c>
      <c r="N195" s="6">
        <v>0.1</v>
      </c>
      <c r="O195" s="2" t="str">
        <f>IF(Append1[[#This Row],[weekday]]=0,"holiday",IF(AND(Append1[[#This Row],[weekday]]&gt;1,Append1[[#This Row],[weekday]]&lt;7),"working day","weekend"))</f>
        <v>holiday</v>
      </c>
      <c r="P195" s="4" t="str">
        <f>IF(Append1[[#This Row],[weathersit]]=0,"sunny",IF(Append1[[#This Row],[weathersit]]=1,"mist",IF(Append1[[#This Row],[weathersit]]=2,"lightrain","extremerain")))</f>
        <v>mist</v>
      </c>
    </row>
    <row r="196" spans="1:16" x14ac:dyDescent="0.25">
      <c r="A196" s="4">
        <v>195</v>
      </c>
      <c r="B196" s="4">
        <v>7.5800000000000006E-2</v>
      </c>
      <c r="C196" s="4">
        <v>0.46</v>
      </c>
      <c r="D196" s="4">
        <v>0.52239999999999998</v>
      </c>
      <c r="E196" s="4">
        <v>0</v>
      </c>
      <c r="F196" s="4">
        <v>19</v>
      </c>
      <c r="G196" s="4">
        <v>19</v>
      </c>
      <c r="H196" s="5">
        <v>40552</v>
      </c>
      <c r="I196" s="4">
        <v>1</v>
      </c>
      <c r="J196" s="4">
        <v>9</v>
      </c>
      <c r="K196" s="4" t="b">
        <f>IF(Append1[[#This Row],[days]]="working day",FALSE,TRUE)</f>
        <v>1</v>
      </c>
      <c r="L196" s="4">
        <v>0</v>
      </c>
      <c r="M196" s="4">
        <v>1</v>
      </c>
      <c r="N196" s="6">
        <v>0.12</v>
      </c>
      <c r="O196" s="2" t="str">
        <f>IF(Append1[[#This Row],[weekday]]=0,"holiday",IF(AND(Append1[[#This Row],[weekday]]&gt;1,Append1[[#This Row],[weekday]]&lt;7),"working day","weekend"))</f>
        <v>holiday</v>
      </c>
      <c r="P196" s="4" t="str">
        <f>IF(Append1[[#This Row],[weathersit]]=0,"sunny",IF(Append1[[#This Row],[weathersit]]=1,"mist",IF(Append1[[#This Row],[weathersit]]=2,"lightrain","extremerain")))</f>
        <v>mist</v>
      </c>
    </row>
    <row r="197" spans="1:16" x14ac:dyDescent="0.25">
      <c r="A197" s="4">
        <v>196</v>
      </c>
      <c r="B197" s="4">
        <v>0.1061</v>
      </c>
      <c r="C197" s="4">
        <v>0.43</v>
      </c>
      <c r="D197" s="4">
        <v>0.3881</v>
      </c>
      <c r="E197" s="4">
        <v>0</v>
      </c>
      <c r="F197" s="4">
        <v>49</v>
      </c>
      <c r="G197" s="4">
        <v>49</v>
      </c>
      <c r="H197" s="5">
        <v>40552</v>
      </c>
      <c r="I197" s="4">
        <v>1</v>
      </c>
      <c r="J197" s="4">
        <v>10</v>
      </c>
      <c r="K197" s="4" t="b">
        <f>IF(Append1[[#This Row],[days]]="working day",FALSE,TRUE)</f>
        <v>1</v>
      </c>
      <c r="L197" s="4">
        <v>0</v>
      </c>
      <c r="M197" s="4">
        <v>1</v>
      </c>
      <c r="N197" s="6">
        <v>0.14000000000000001</v>
      </c>
      <c r="O197" s="2" t="str">
        <f>IF(Append1[[#This Row],[weekday]]=0,"holiday",IF(AND(Append1[[#This Row],[weekday]]&gt;1,Append1[[#This Row],[weekday]]&lt;7),"working day","weekend"))</f>
        <v>holiday</v>
      </c>
      <c r="P197" s="4" t="str">
        <f>IF(Append1[[#This Row],[weathersit]]=0,"sunny",IF(Append1[[#This Row],[weathersit]]=1,"mist",IF(Append1[[#This Row],[weathersit]]=2,"lightrain","extremerain")))</f>
        <v>mist</v>
      </c>
    </row>
    <row r="198" spans="1:16" x14ac:dyDescent="0.25">
      <c r="A198" s="4">
        <v>197</v>
      </c>
      <c r="B198" s="4">
        <v>0.1212</v>
      </c>
      <c r="C198" s="4">
        <v>0.4</v>
      </c>
      <c r="D198" s="4">
        <v>0.52239999999999998</v>
      </c>
      <c r="E198" s="4">
        <v>2</v>
      </c>
      <c r="F198" s="4">
        <v>47</v>
      </c>
      <c r="G198" s="4">
        <v>49</v>
      </c>
      <c r="H198" s="5">
        <v>40552</v>
      </c>
      <c r="I198" s="4">
        <v>1</v>
      </c>
      <c r="J198" s="4">
        <v>11</v>
      </c>
      <c r="K198" s="4" t="b">
        <f>IF(Append1[[#This Row],[days]]="working day",FALSE,TRUE)</f>
        <v>1</v>
      </c>
      <c r="L198" s="4">
        <v>0</v>
      </c>
      <c r="M198" s="4">
        <v>1</v>
      </c>
      <c r="N198" s="6">
        <v>0.16</v>
      </c>
      <c r="O198" s="2" t="str">
        <f>IF(Append1[[#This Row],[weekday]]=0,"holiday",IF(AND(Append1[[#This Row],[weekday]]&gt;1,Append1[[#This Row],[weekday]]&lt;7),"working day","weekend"))</f>
        <v>holiday</v>
      </c>
      <c r="P198" s="4" t="str">
        <f>IF(Append1[[#This Row],[weathersit]]=0,"sunny",IF(Append1[[#This Row],[weathersit]]=1,"mist",IF(Append1[[#This Row],[weathersit]]=2,"lightrain","extremerain")))</f>
        <v>mist</v>
      </c>
    </row>
    <row r="199" spans="1:16" x14ac:dyDescent="0.25">
      <c r="A199" s="4">
        <v>198</v>
      </c>
      <c r="B199" s="4">
        <v>0.13639999999999999</v>
      </c>
      <c r="C199" s="4">
        <v>0.37</v>
      </c>
      <c r="D199" s="4">
        <v>0.44779999999999998</v>
      </c>
      <c r="E199" s="4">
        <v>4</v>
      </c>
      <c r="F199" s="4">
        <v>79</v>
      </c>
      <c r="G199" s="4">
        <v>83</v>
      </c>
      <c r="H199" s="5">
        <v>40552</v>
      </c>
      <c r="I199" s="4">
        <v>1</v>
      </c>
      <c r="J199" s="4">
        <v>12</v>
      </c>
      <c r="K199" s="4" t="b">
        <f>IF(Append1[[#This Row],[days]]="working day",FALSE,TRUE)</f>
        <v>1</v>
      </c>
      <c r="L199" s="4">
        <v>0</v>
      </c>
      <c r="M199" s="4">
        <v>1</v>
      </c>
      <c r="N199" s="6">
        <v>0.18</v>
      </c>
      <c r="O199" s="2" t="str">
        <f>IF(Append1[[#This Row],[weekday]]=0,"holiday",IF(AND(Append1[[#This Row],[weekday]]&gt;1,Append1[[#This Row],[weekday]]&lt;7),"working day","weekend"))</f>
        <v>holiday</v>
      </c>
      <c r="P199" s="4" t="str">
        <f>IF(Append1[[#This Row],[weathersit]]=0,"sunny",IF(Append1[[#This Row],[weathersit]]=1,"mist",IF(Append1[[#This Row],[weathersit]]=2,"lightrain","extremerain")))</f>
        <v>mist</v>
      </c>
    </row>
    <row r="200" spans="1:16" x14ac:dyDescent="0.25">
      <c r="A200" s="4">
        <v>199</v>
      </c>
      <c r="B200" s="4">
        <v>0.16669999999999999</v>
      </c>
      <c r="C200" s="4">
        <v>0.34</v>
      </c>
      <c r="D200" s="4">
        <v>0.44779999999999998</v>
      </c>
      <c r="E200" s="4">
        <v>6</v>
      </c>
      <c r="F200" s="4">
        <v>69</v>
      </c>
      <c r="G200" s="4">
        <v>75</v>
      </c>
      <c r="H200" s="5">
        <v>40552</v>
      </c>
      <c r="I200" s="4">
        <v>1</v>
      </c>
      <c r="J200" s="4">
        <v>13</v>
      </c>
      <c r="K200" s="4" t="b">
        <f>IF(Append1[[#This Row],[days]]="working day",FALSE,TRUE)</f>
        <v>1</v>
      </c>
      <c r="L200" s="4">
        <v>0</v>
      </c>
      <c r="M200" s="4">
        <v>1</v>
      </c>
      <c r="N200" s="6">
        <v>0.2</v>
      </c>
      <c r="O200" s="2" t="str">
        <f>IF(Append1[[#This Row],[weekday]]=0,"holiday",IF(AND(Append1[[#This Row],[weekday]]&gt;1,Append1[[#This Row],[weekday]]&lt;7),"working day","weekend"))</f>
        <v>holiday</v>
      </c>
      <c r="P200" s="4" t="str">
        <f>IF(Append1[[#This Row],[weathersit]]=0,"sunny",IF(Append1[[#This Row],[weathersit]]=1,"mist",IF(Append1[[#This Row],[weathersit]]=2,"lightrain","extremerain")))</f>
        <v>mist</v>
      </c>
    </row>
    <row r="201" spans="1:16" x14ac:dyDescent="0.25">
      <c r="A201" s="4">
        <v>200</v>
      </c>
      <c r="B201" s="4">
        <v>0.18179999999999999</v>
      </c>
      <c r="C201" s="4">
        <v>0.32</v>
      </c>
      <c r="D201" s="4">
        <v>0.4627</v>
      </c>
      <c r="E201" s="4">
        <v>8</v>
      </c>
      <c r="F201" s="4">
        <v>64</v>
      </c>
      <c r="G201" s="4">
        <v>72</v>
      </c>
      <c r="H201" s="5">
        <v>40552</v>
      </c>
      <c r="I201" s="4">
        <v>1</v>
      </c>
      <c r="J201" s="4">
        <v>14</v>
      </c>
      <c r="K201" s="4" t="b">
        <f>IF(Append1[[#This Row],[days]]="working day",FALSE,TRUE)</f>
        <v>1</v>
      </c>
      <c r="L201" s="4">
        <v>0</v>
      </c>
      <c r="M201" s="4">
        <v>1</v>
      </c>
      <c r="N201" s="6">
        <v>0.22</v>
      </c>
      <c r="O201" s="2" t="str">
        <f>IF(Append1[[#This Row],[weekday]]=0,"holiday",IF(AND(Append1[[#This Row],[weekday]]&gt;1,Append1[[#This Row],[weekday]]&lt;7),"working day","weekend"))</f>
        <v>holiday</v>
      </c>
      <c r="P201" s="4" t="str">
        <f>IF(Append1[[#This Row],[weathersit]]=0,"sunny",IF(Append1[[#This Row],[weathersit]]=1,"mist",IF(Append1[[#This Row],[weathersit]]=2,"lightrain","extremerain")))</f>
        <v>mist</v>
      </c>
    </row>
    <row r="202" spans="1:16" x14ac:dyDescent="0.25">
      <c r="A202" s="4">
        <v>201</v>
      </c>
      <c r="B202" s="4">
        <v>0.19700000000000001</v>
      </c>
      <c r="C202" s="4">
        <v>0.35</v>
      </c>
      <c r="D202" s="4">
        <v>0.35820000000000002</v>
      </c>
      <c r="E202" s="4">
        <v>5</v>
      </c>
      <c r="F202" s="4">
        <v>77</v>
      </c>
      <c r="G202" s="4">
        <v>82</v>
      </c>
      <c r="H202" s="5">
        <v>40552</v>
      </c>
      <c r="I202" s="4">
        <v>1</v>
      </c>
      <c r="J202" s="4">
        <v>15</v>
      </c>
      <c r="K202" s="4" t="b">
        <f>IF(Append1[[#This Row],[days]]="working day",FALSE,TRUE)</f>
        <v>1</v>
      </c>
      <c r="L202" s="4">
        <v>0</v>
      </c>
      <c r="M202" s="4">
        <v>1</v>
      </c>
      <c r="N202" s="6">
        <v>0.22</v>
      </c>
      <c r="O202" s="2" t="str">
        <f>IF(Append1[[#This Row],[weekday]]=0,"holiday",IF(AND(Append1[[#This Row],[weekday]]&gt;1,Append1[[#This Row],[weekday]]&lt;7),"working day","weekend"))</f>
        <v>holiday</v>
      </c>
      <c r="P202" s="4" t="str">
        <f>IF(Append1[[#This Row],[weathersit]]=0,"sunny",IF(Append1[[#This Row],[weathersit]]=1,"mist",IF(Append1[[#This Row],[weathersit]]=2,"lightrain","extremerain")))</f>
        <v>mist</v>
      </c>
    </row>
    <row r="203" spans="1:16" x14ac:dyDescent="0.25">
      <c r="A203" s="4">
        <v>202</v>
      </c>
      <c r="B203" s="4">
        <v>0.16669999999999999</v>
      </c>
      <c r="C203" s="4">
        <v>0.34</v>
      </c>
      <c r="D203" s="4">
        <v>0.44779999999999998</v>
      </c>
      <c r="E203" s="4">
        <v>13</v>
      </c>
      <c r="F203" s="4">
        <v>79</v>
      </c>
      <c r="G203" s="4">
        <v>92</v>
      </c>
      <c r="H203" s="5">
        <v>40552</v>
      </c>
      <c r="I203" s="4">
        <v>1</v>
      </c>
      <c r="J203" s="4">
        <v>16</v>
      </c>
      <c r="K203" s="4" t="b">
        <f>IF(Append1[[#This Row],[days]]="working day",FALSE,TRUE)</f>
        <v>1</v>
      </c>
      <c r="L203" s="4">
        <v>0</v>
      </c>
      <c r="M203" s="4">
        <v>1</v>
      </c>
      <c r="N203" s="6">
        <v>0.2</v>
      </c>
      <c r="O203" s="2" t="str">
        <f>IF(Append1[[#This Row],[weekday]]=0,"holiday",IF(AND(Append1[[#This Row],[weekday]]&gt;1,Append1[[#This Row],[weekday]]&lt;7),"working day","weekend"))</f>
        <v>holiday</v>
      </c>
      <c r="P203" s="4" t="str">
        <f>IF(Append1[[#This Row],[weathersit]]=0,"sunny",IF(Append1[[#This Row],[weathersit]]=1,"mist",IF(Append1[[#This Row],[weathersit]]=2,"lightrain","extremerain")))</f>
        <v>mist</v>
      </c>
    </row>
    <row r="204" spans="1:16" x14ac:dyDescent="0.25">
      <c r="A204" s="4">
        <v>203</v>
      </c>
      <c r="B204" s="4">
        <v>0.1515</v>
      </c>
      <c r="C204" s="4">
        <v>0.37</v>
      </c>
      <c r="D204" s="4">
        <v>0.3881</v>
      </c>
      <c r="E204" s="4">
        <v>3</v>
      </c>
      <c r="F204" s="4">
        <v>59</v>
      </c>
      <c r="G204" s="4">
        <v>62</v>
      </c>
      <c r="H204" s="5">
        <v>40552</v>
      </c>
      <c r="I204" s="4">
        <v>1</v>
      </c>
      <c r="J204" s="4">
        <v>17</v>
      </c>
      <c r="K204" s="4" t="b">
        <f>IF(Append1[[#This Row],[days]]="working day",FALSE,TRUE)</f>
        <v>1</v>
      </c>
      <c r="L204" s="4">
        <v>0</v>
      </c>
      <c r="M204" s="4">
        <v>1</v>
      </c>
      <c r="N204" s="6">
        <v>0.18</v>
      </c>
      <c r="O204" s="2" t="str">
        <f>IF(Append1[[#This Row],[weekday]]=0,"holiday",IF(AND(Append1[[#This Row],[weekday]]&gt;1,Append1[[#This Row],[weekday]]&lt;7),"working day","weekend"))</f>
        <v>holiday</v>
      </c>
      <c r="P204" s="4" t="str">
        <f>IF(Append1[[#This Row],[weathersit]]=0,"sunny",IF(Append1[[#This Row],[weathersit]]=1,"mist",IF(Append1[[#This Row],[weathersit]]=2,"lightrain","extremerain")))</f>
        <v>mist</v>
      </c>
    </row>
    <row r="205" spans="1:16" x14ac:dyDescent="0.25">
      <c r="A205" s="4">
        <v>204</v>
      </c>
      <c r="B205" s="4">
        <v>0.13639999999999999</v>
      </c>
      <c r="C205" s="4">
        <v>0.4</v>
      </c>
      <c r="D205" s="4">
        <v>0.32840000000000003</v>
      </c>
      <c r="E205" s="4">
        <v>4</v>
      </c>
      <c r="F205" s="4">
        <v>44</v>
      </c>
      <c r="G205" s="4">
        <v>48</v>
      </c>
      <c r="H205" s="5">
        <v>40552</v>
      </c>
      <c r="I205" s="4">
        <v>1</v>
      </c>
      <c r="J205" s="4">
        <v>18</v>
      </c>
      <c r="K205" s="4" t="b">
        <f>IF(Append1[[#This Row],[days]]="working day",FALSE,TRUE)</f>
        <v>1</v>
      </c>
      <c r="L205" s="4">
        <v>0</v>
      </c>
      <c r="M205" s="4">
        <v>1</v>
      </c>
      <c r="N205" s="6">
        <v>0.16</v>
      </c>
      <c r="O205" s="2" t="str">
        <f>IF(Append1[[#This Row],[weekday]]=0,"holiday",IF(AND(Append1[[#This Row],[weekday]]&gt;1,Append1[[#This Row],[weekday]]&lt;7),"working day","weekend"))</f>
        <v>holiday</v>
      </c>
      <c r="P205" s="4" t="str">
        <f>IF(Append1[[#This Row],[weathersit]]=0,"sunny",IF(Append1[[#This Row],[weathersit]]=1,"mist",IF(Append1[[#This Row],[weathersit]]=2,"lightrain","extremerain")))</f>
        <v>mist</v>
      </c>
    </row>
    <row r="206" spans="1:16" x14ac:dyDescent="0.25">
      <c r="A206" s="4">
        <v>205</v>
      </c>
      <c r="B206" s="4">
        <v>0.13639999999999999</v>
      </c>
      <c r="C206" s="4">
        <v>0.43</v>
      </c>
      <c r="D206" s="4">
        <v>0.32840000000000003</v>
      </c>
      <c r="E206" s="4">
        <v>1</v>
      </c>
      <c r="F206" s="4">
        <v>40</v>
      </c>
      <c r="G206" s="4">
        <v>41</v>
      </c>
      <c r="H206" s="5">
        <v>40552</v>
      </c>
      <c r="I206" s="4">
        <v>1</v>
      </c>
      <c r="J206" s="4">
        <v>19</v>
      </c>
      <c r="K206" s="4" t="b">
        <f>IF(Append1[[#This Row],[days]]="working day",FALSE,TRUE)</f>
        <v>1</v>
      </c>
      <c r="L206" s="4">
        <v>0</v>
      </c>
      <c r="M206" s="4">
        <v>1</v>
      </c>
      <c r="N206" s="6">
        <v>0.16</v>
      </c>
      <c r="O206" s="2" t="str">
        <f>IF(Append1[[#This Row],[weekday]]=0,"holiday",IF(AND(Append1[[#This Row],[weekday]]&gt;1,Append1[[#This Row],[weekday]]&lt;7),"working day","weekend"))</f>
        <v>holiday</v>
      </c>
      <c r="P206" s="4" t="str">
        <f>IF(Append1[[#This Row],[weathersit]]=0,"sunny",IF(Append1[[#This Row],[weathersit]]=1,"mist",IF(Append1[[#This Row],[weathersit]]=2,"lightrain","extremerain")))</f>
        <v>mist</v>
      </c>
    </row>
    <row r="207" spans="1:16" x14ac:dyDescent="0.25">
      <c r="A207" s="4">
        <v>206</v>
      </c>
      <c r="B207" s="4">
        <v>0.1212</v>
      </c>
      <c r="C207" s="4">
        <v>0.46</v>
      </c>
      <c r="D207" s="4">
        <v>0.25369999999999998</v>
      </c>
      <c r="E207" s="4">
        <v>0</v>
      </c>
      <c r="F207" s="4">
        <v>38</v>
      </c>
      <c r="G207" s="4">
        <v>38</v>
      </c>
      <c r="H207" s="5">
        <v>40552</v>
      </c>
      <c r="I207" s="4">
        <v>1</v>
      </c>
      <c r="J207" s="4">
        <v>20</v>
      </c>
      <c r="K207" s="4" t="b">
        <f>IF(Append1[[#This Row],[days]]="working day",FALSE,TRUE)</f>
        <v>1</v>
      </c>
      <c r="L207" s="4">
        <v>0</v>
      </c>
      <c r="M207" s="4">
        <v>1</v>
      </c>
      <c r="N207" s="6">
        <v>0.14000000000000001</v>
      </c>
      <c r="O207" s="2" t="str">
        <f>IF(Append1[[#This Row],[weekday]]=0,"holiday",IF(AND(Append1[[#This Row],[weekday]]&gt;1,Append1[[#This Row],[weekday]]&lt;7),"working day","weekend"))</f>
        <v>holiday</v>
      </c>
      <c r="P207" s="4" t="str">
        <f>IF(Append1[[#This Row],[weathersit]]=0,"sunny",IF(Append1[[#This Row],[weathersit]]=1,"mist",IF(Append1[[#This Row],[weathersit]]=2,"lightrain","extremerain")))</f>
        <v>mist</v>
      </c>
    </row>
    <row r="208" spans="1:16" x14ac:dyDescent="0.25">
      <c r="A208" s="4">
        <v>207</v>
      </c>
      <c r="B208" s="4">
        <v>0.1061</v>
      </c>
      <c r="C208" s="4">
        <v>0.46</v>
      </c>
      <c r="D208" s="4">
        <v>0.41789999999999999</v>
      </c>
      <c r="E208" s="4">
        <v>1</v>
      </c>
      <c r="F208" s="4">
        <v>19</v>
      </c>
      <c r="G208" s="4">
        <v>20</v>
      </c>
      <c r="H208" s="5">
        <v>40552</v>
      </c>
      <c r="I208" s="4">
        <v>1</v>
      </c>
      <c r="J208" s="4">
        <v>21</v>
      </c>
      <c r="K208" s="4" t="b">
        <f>IF(Append1[[#This Row],[days]]="working day",FALSE,TRUE)</f>
        <v>1</v>
      </c>
      <c r="L208" s="4">
        <v>0</v>
      </c>
      <c r="M208" s="4">
        <v>1</v>
      </c>
      <c r="N208" s="6">
        <v>0.14000000000000001</v>
      </c>
      <c r="O208" s="2" t="str">
        <f>IF(Append1[[#This Row],[weekday]]=0,"holiday",IF(AND(Append1[[#This Row],[weekday]]&gt;1,Append1[[#This Row],[weekday]]&lt;7),"working day","weekend"))</f>
        <v>holiday</v>
      </c>
      <c r="P208" s="4" t="str">
        <f>IF(Append1[[#This Row],[weathersit]]=0,"sunny",IF(Append1[[#This Row],[weathersit]]=1,"mist",IF(Append1[[#This Row],[weathersit]]=2,"lightrain","extremerain")))</f>
        <v>mist</v>
      </c>
    </row>
    <row r="209" spans="1:16" x14ac:dyDescent="0.25">
      <c r="A209" s="4">
        <v>208</v>
      </c>
      <c r="B209" s="4">
        <v>0.1212</v>
      </c>
      <c r="C209" s="4">
        <v>0.46</v>
      </c>
      <c r="D209" s="4">
        <v>0.29849999999999999</v>
      </c>
      <c r="E209" s="4">
        <v>5</v>
      </c>
      <c r="F209" s="4">
        <v>10</v>
      </c>
      <c r="G209" s="4">
        <v>15</v>
      </c>
      <c r="H209" s="5">
        <v>40552</v>
      </c>
      <c r="I209" s="4">
        <v>1</v>
      </c>
      <c r="J209" s="4">
        <v>22</v>
      </c>
      <c r="K209" s="4" t="b">
        <f>IF(Append1[[#This Row],[days]]="working day",FALSE,TRUE)</f>
        <v>1</v>
      </c>
      <c r="L209" s="4">
        <v>0</v>
      </c>
      <c r="M209" s="4">
        <v>1</v>
      </c>
      <c r="N209" s="6">
        <v>0.14000000000000001</v>
      </c>
      <c r="O209" s="2" t="str">
        <f>IF(Append1[[#This Row],[weekday]]=0,"holiday",IF(AND(Append1[[#This Row],[weekday]]&gt;1,Append1[[#This Row],[weekday]]&lt;7),"working day","weekend"))</f>
        <v>holiday</v>
      </c>
      <c r="P209" s="4" t="str">
        <f>IF(Append1[[#This Row],[weathersit]]=0,"sunny",IF(Append1[[#This Row],[weathersit]]=1,"mist",IF(Append1[[#This Row],[weathersit]]=2,"lightrain","extremerain")))</f>
        <v>mist</v>
      </c>
    </row>
    <row r="210" spans="1:16" x14ac:dyDescent="0.25">
      <c r="A210" s="4">
        <v>209</v>
      </c>
      <c r="B210" s="4">
        <v>0.13639999999999999</v>
      </c>
      <c r="C210" s="4">
        <v>0.5</v>
      </c>
      <c r="D210" s="4">
        <v>0.19400000000000001</v>
      </c>
      <c r="E210" s="4">
        <v>0</v>
      </c>
      <c r="F210" s="4">
        <v>6</v>
      </c>
      <c r="G210" s="4">
        <v>6</v>
      </c>
      <c r="H210" s="5">
        <v>40552</v>
      </c>
      <c r="I210" s="4">
        <v>1</v>
      </c>
      <c r="J210" s="4">
        <v>23</v>
      </c>
      <c r="K210" s="4" t="b">
        <f>IF(Append1[[#This Row],[days]]="working day",FALSE,TRUE)</f>
        <v>1</v>
      </c>
      <c r="L210" s="4">
        <v>0</v>
      </c>
      <c r="M210" s="4">
        <v>1</v>
      </c>
      <c r="N210" s="6">
        <v>0.12</v>
      </c>
      <c r="O210" s="2" t="str">
        <f>IF(Append1[[#This Row],[weekday]]=0,"holiday",IF(AND(Append1[[#This Row],[weekday]]&gt;1,Append1[[#This Row],[weekday]]&lt;7),"working day","weekend"))</f>
        <v>holiday</v>
      </c>
      <c r="P210" s="4" t="str">
        <f>IF(Append1[[#This Row],[weathersit]]=0,"sunny",IF(Append1[[#This Row],[weathersit]]=1,"mist",IF(Append1[[#This Row],[weathersit]]=2,"lightrain","extremerain")))</f>
        <v>mist</v>
      </c>
    </row>
    <row r="211" spans="1:16" x14ac:dyDescent="0.25">
      <c r="A211" s="4">
        <v>210</v>
      </c>
      <c r="B211" s="4">
        <v>0.1212</v>
      </c>
      <c r="C211" s="4">
        <v>0.5</v>
      </c>
      <c r="D211" s="4">
        <v>0.28360000000000002</v>
      </c>
      <c r="E211" s="4">
        <v>2</v>
      </c>
      <c r="F211" s="4">
        <v>3</v>
      </c>
      <c r="G211" s="4">
        <v>5</v>
      </c>
      <c r="H211" s="5">
        <v>40553</v>
      </c>
      <c r="I211" s="4">
        <v>1</v>
      </c>
      <c r="J211" s="4">
        <v>0</v>
      </c>
      <c r="K211" s="4" t="b">
        <f>IF(Append1[[#This Row],[days]]="working day",FALSE,TRUE)</f>
        <v>1</v>
      </c>
      <c r="L211" s="4">
        <v>1</v>
      </c>
      <c r="M211" s="4">
        <v>1</v>
      </c>
      <c r="N211" s="6">
        <v>0.12</v>
      </c>
      <c r="O211" s="2" t="str">
        <f>IF(Append1[[#This Row],[weekday]]=0,"holiday",IF(AND(Append1[[#This Row],[weekday]]&gt;1,Append1[[#This Row],[weekday]]&lt;7),"working day","weekend"))</f>
        <v>weekend</v>
      </c>
      <c r="P211" s="4" t="str">
        <f>IF(Append1[[#This Row],[weathersit]]=0,"sunny",IF(Append1[[#This Row],[weathersit]]=1,"mist",IF(Append1[[#This Row],[weathersit]]=2,"lightrain","extremerain")))</f>
        <v>mist</v>
      </c>
    </row>
    <row r="212" spans="1:16" x14ac:dyDescent="0.25">
      <c r="A212" s="4">
        <v>211</v>
      </c>
      <c r="B212" s="4">
        <v>0.1212</v>
      </c>
      <c r="C212" s="4">
        <v>0.5</v>
      </c>
      <c r="D212" s="4">
        <v>0.28360000000000002</v>
      </c>
      <c r="E212" s="4">
        <v>1</v>
      </c>
      <c r="F212" s="4">
        <v>0</v>
      </c>
      <c r="G212" s="4">
        <v>1</v>
      </c>
      <c r="H212" s="5">
        <v>40553</v>
      </c>
      <c r="I212" s="4">
        <v>1</v>
      </c>
      <c r="J212" s="4">
        <v>1</v>
      </c>
      <c r="K212" s="4" t="b">
        <f>IF(Append1[[#This Row],[days]]="working day",FALSE,TRUE)</f>
        <v>1</v>
      </c>
      <c r="L212" s="4">
        <v>1</v>
      </c>
      <c r="M212" s="4">
        <v>1</v>
      </c>
      <c r="N212" s="6">
        <v>0.12</v>
      </c>
      <c r="O212" s="2" t="str">
        <f>IF(Append1[[#This Row],[weekday]]=0,"holiday",IF(AND(Append1[[#This Row],[weekday]]&gt;1,Append1[[#This Row],[weekday]]&lt;7),"working day","weekend"))</f>
        <v>weekend</v>
      </c>
      <c r="P212" s="4" t="str">
        <f>IF(Append1[[#This Row],[weathersit]]=0,"sunny",IF(Append1[[#This Row],[weathersit]]=1,"mist",IF(Append1[[#This Row],[weathersit]]=2,"lightrain","extremerain")))</f>
        <v>mist</v>
      </c>
    </row>
    <row r="213" spans="1:16" x14ac:dyDescent="0.25">
      <c r="A213" s="4">
        <v>212</v>
      </c>
      <c r="B213" s="4">
        <v>0.1212</v>
      </c>
      <c r="C213" s="4">
        <v>0.5</v>
      </c>
      <c r="D213" s="4">
        <v>0.22389999999999999</v>
      </c>
      <c r="E213" s="4">
        <v>0</v>
      </c>
      <c r="F213" s="4">
        <v>3</v>
      </c>
      <c r="G213" s="4">
        <v>3</v>
      </c>
      <c r="H213" s="5">
        <v>40553</v>
      </c>
      <c r="I213" s="4">
        <v>1</v>
      </c>
      <c r="J213" s="4">
        <v>2</v>
      </c>
      <c r="K213" s="4" t="b">
        <f>IF(Append1[[#This Row],[days]]="working day",FALSE,TRUE)</f>
        <v>1</v>
      </c>
      <c r="L213" s="4">
        <v>1</v>
      </c>
      <c r="M213" s="4">
        <v>1</v>
      </c>
      <c r="N213" s="6">
        <v>0.12</v>
      </c>
      <c r="O213" s="2" t="str">
        <f>IF(Append1[[#This Row],[weekday]]=0,"holiday",IF(AND(Append1[[#This Row],[weekday]]&gt;1,Append1[[#This Row],[weekday]]&lt;7),"working day","weekend"))</f>
        <v>weekend</v>
      </c>
      <c r="P213" s="4" t="str">
        <f>IF(Append1[[#This Row],[weathersit]]=0,"sunny",IF(Append1[[#This Row],[weathersit]]=1,"mist",IF(Append1[[#This Row],[weathersit]]=2,"lightrain","extremerain")))</f>
        <v>mist</v>
      </c>
    </row>
    <row r="214" spans="1:16" x14ac:dyDescent="0.25">
      <c r="A214" s="4">
        <v>213</v>
      </c>
      <c r="B214" s="4">
        <v>0.1212</v>
      </c>
      <c r="C214" s="4">
        <v>0.5</v>
      </c>
      <c r="D214" s="4">
        <v>0.22389999999999999</v>
      </c>
      <c r="E214" s="4">
        <v>0</v>
      </c>
      <c r="F214" s="4">
        <v>1</v>
      </c>
      <c r="G214" s="4">
        <v>1</v>
      </c>
      <c r="H214" s="5">
        <v>40553</v>
      </c>
      <c r="I214" s="4">
        <v>1</v>
      </c>
      <c r="J214" s="4">
        <v>3</v>
      </c>
      <c r="K214" s="4" t="b">
        <f>IF(Append1[[#This Row],[days]]="working day",FALSE,TRUE)</f>
        <v>1</v>
      </c>
      <c r="L214" s="4">
        <v>1</v>
      </c>
      <c r="M214" s="4">
        <v>1</v>
      </c>
      <c r="N214" s="6">
        <v>0.12</v>
      </c>
      <c r="O214" s="2" t="str">
        <f>IF(Append1[[#This Row],[weekday]]=0,"holiday",IF(AND(Append1[[#This Row],[weekday]]&gt;1,Append1[[#This Row],[weekday]]&lt;7),"working day","weekend"))</f>
        <v>weekend</v>
      </c>
      <c r="P214" s="4" t="str">
        <f>IF(Append1[[#This Row],[weathersit]]=0,"sunny",IF(Append1[[#This Row],[weathersit]]=1,"mist",IF(Append1[[#This Row],[weathersit]]=2,"lightrain","extremerain")))</f>
        <v>mist</v>
      </c>
    </row>
    <row r="215" spans="1:16" x14ac:dyDescent="0.25">
      <c r="A215" s="4">
        <v>214</v>
      </c>
      <c r="B215" s="4">
        <v>0.1212</v>
      </c>
      <c r="C215" s="4">
        <v>0.54</v>
      </c>
      <c r="D215" s="4">
        <v>0.1343</v>
      </c>
      <c r="E215" s="4">
        <v>1</v>
      </c>
      <c r="F215" s="4">
        <v>2</v>
      </c>
      <c r="G215" s="4">
        <v>3</v>
      </c>
      <c r="H215" s="5">
        <v>40553</v>
      </c>
      <c r="I215" s="4">
        <v>1</v>
      </c>
      <c r="J215" s="4">
        <v>4</v>
      </c>
      <c r="K215" s="4" t="b">
        <f>IF(Append1[[#This Row],[days]]="working day",FALSE,TRUE)</f>
        <v>1</v>
      </c>
      <c r="L215" s="4">
        <v>1</v>
      </c>
      <c r="M215" s="4">
        <v>1</v>
      </c>
      <c r="N215" s="6">
        <v>0.1</v>
      </c>
      <c r="O215" s="2" t="str">
        <f>IF(Append1[[#This Row],[weekday]]=0,"holiday",IF(AND(Append1[[#This Row],[weekday]]&gt;1,Append1[[#This Row],[weekday]]&lt;7),"working day","weekend"))</f>
        <v>weekend</v>
      </c>
      <c r="P215" s="4" t="str">
        <f>IF(Append1[[#This Row],[weathersit]]=0,"sunny",IF(Append1[[#This Row],[weathersit]]=1,"mist",IF(Append1[[#This Row],[weathersit]]=2,"lightrain","extremerain")))</f>
        <v>mist</v>
      </c>
    </row>
    <row r="216" spans="1:16" x14ac:dyDescent="0.25">
      <c r="A216" s="4">
        <v>215</v>
      </c>
      <c r="B216" s="4">
        <v>0.1061</v>
      </c>
      <c r="C216" s="4">
        <v>0.54</v>
      </c>
      <c r="D216" s="4">
        <v>0.25369999999999998</v>
      </c>
      <c r="E216" s="4">
        <v>0</v>
      </c>
      <c r="F216" s="4">
        <v>3</v>
      </c>
      <c r="G216" s="4">
        <v>3</v>
      </c>
      <c r="H216" s="5">
        <v>40553</v>
      </c>
      <c r="I216" s="4">
        <v>1</v>
      </c>
      <c r="J216" s="4">
        <v>5</v>
      </c>
      <c r="K216" s="4" t="b">
        <f>IF(Append1[[#This Row],[days]]="working day",FALSE,TRUE)</f>
        <v>1</v>
      </c>
      <c r="L216" s="4">
        <v>1</v>
      </c>
      <c r="M216" s="4">
        <v>1</v>
      </c>
      <c r="N216" s="6">
        <v>0.1</v>
      </c>
      <c r="O216" s="2" t="str">
        <f>IF(Append1[[#This Row],[weekday]]=0,"holiday",IF(AND(Append1[[#This Row],[weekday]]&gt;1,Append1[[#This Row],[weekday]]&lt;7),"working day","weekend"))</f>
        <v>weekend</v>
      </c>
      <c r="P216" s="4" t="str">
        <f>IF(Append1[[#This Row],[weathersit]]=0,"sunny",IF(Append1[[#This Row],[weathersit]]=1,"mist",IF(Append1[[#This Row],[weathersit]]=2,"lightrain","extremerain")))</f>
        <v>mist</v>
      </c>
    </row>
    <row r="217" spans="1:16" x14ac:dyDescent="0.25">
      <c r="A217" s="4">
        <v>216</v>
      </c>
      <c r="B217" s="4">
        <v>0.1212</v>
      </c>
      <c r="C217" s="4">
        <v>0.5</v>
      </c>
      <c r="D217" s="4">
        <v>0.28360000000000002</v>
      </c>
      <c r="E217" s="4">
        <v>0</v>
      </c>
      <c r="F217" s="4">
        <v>31</v>
      </c>
      <c r="G217" s="4">
        <v>31</v>
      </c>
      <c r="H217" s="5">
        <v>40553</v>
      </c>
      <c r="I217" s="4">
        <v>1</v>
      </c>
      <c r="J217" s="4">
        <v>6</v>
      </c>
      <c r="K217" s="4" t="b">
        <f>IF(Append1[[#This Row],[days]]="working day",FALSE,TRUE)</f>
        <v>1</v>
      </c>
      <c r="L217" s="4">
        <v>1</v>
      </c>
      <c r="M217" s="4">
        <v>1</v>
      </c>
      <c r="N217" s="6">
        <v>0.12</v>
      </c>
      <c r="O217" s="2" t="str">
        <f>IF(Append1[[#This Row],[weekday]]=0,"holiday",IF(AND(Append1[[#This Row],[weekday]]&gt;1,Append1[[#This Row],[weekday]]&lt;7),"working day","weekend"))</f>
        <v>weekend</v>
      </c>
      <c r="P217" s="4" t="str">
        <f>IF(Append1[[#This Row],[weathersit]]=0,"sunny",IF(Append1[[#This Row],[weathersit]]=1,"mist",IF(Append1[[#This Row],[weathersit]]=2,"lightrain","extremerain")))</f>
        <v>mist</v>
      </c>
    </row>
    <row r="218" spans="1:16" x14ac:dyDescent="0.25">
      <c r="A218" s="4">
        <v>217</v>
      </c>
      <c r="B218" s="4">
        <v>0.1212</v>
      </c>
      <c r="C218" s="4">
        <v>0.5</v>
      </c>
      <c r="D218" s="4">
        <v>0.22389999999999999</v>
      </c>
      <c r="E218" s="4">
        <v>2</v>
      </c>
      <c r="F218" s="4">
        <v>75</v>
      </c>
      <c r="G218" s="4">
        <v>77</v>
      </c>
      <c r="H218" s="5">
        <v>40553</v>
      </c>
      <c r="I218" s="4">
        <v>1</v>
      </c>
      <c r="J218" s="4">
        <v>7</v>
      </c>
      <c r="K218" s="4" t="b">
        <f>IF(Append1[[#This Row],[days]]="working day",FALSE,TRUE)</f>
        <v>1</v>
      </c>
      <c r="L218" s="4">
        <v>1</v>
      </c>
      <c r="M218" s="4">
        <v>1</v>
      </c>
      <c r="N218" s="6">
        <v>0.12</v>
      </c>
      <c r="O218" s="2" t="str">
        <f>IF(Append1[[#This Row],[weekday]]=0,"holiday",IF(AND(Append1[[#This Row],[weekday]]&gt;1,Append1[[#This Row],[weekday]]&lt;7),"working day","weekend"))</f>
        <v>weekend</v>
      </c>
      <c r="P218" s="4" t="str">
        <f>IF(Append1[[#This Row],[weathersit]]=0,"sunny",IF(Append1[[#This Row],[weathersit]]=1,"mist",IF(Append1[[#This Row],[weathersit]]=2,"lightrain","extremerain")))</f>
        <v>mist</v>
      </c>
    </row>
    <row r="219" spans="1:16" x14ac:dyDescent="0.25">
      <c r="A219" s="4">
        <v>218</v>
      </c>
      <c r="B219" s="4">
        <v>0.1212</v>
      </c>
      <c r="C219" s="4">
        <v>0.5</v>
      </c>
      <c r="D219" s="4">
        <v>0.28360000000000002</v>
      </c>
      <c r="E219" s="4">
        <v>4</v>
      </c>
      <c r="F219" s="4">
        <v>184</v>
      </c>
      <c r="G219" s="4">
        <v>188</v>
      </c>
      <c r="H219" s="5">
        <v>40553</v>
      </c>
      <c r="I219" s="4">
        <v>1</v>
      </c>
      <c r="J219" s="4">
        <v>8</v>
      </c>
      <c r="K219" s="4" t="b">
        <f>IF(Append1[[#This Row],[days]]="working day",FALSE,TRUE)</f>
        <v>1</v>
      </c>
      <c r="L219" s="4">
        <v>1</v>
      </c>
      <c r="M219" s="4">
        <v>2</v>
      </c>
      <c r="N219" s="6">
        <v>0.12</v>
      </c>
      <c r="O219" s="2" t="str">
        <f>IF(Append1[[#This Row],[weekday]]=0,"holiday",IF(AND(Append1[[#This Row],[weekday]]&gt;1,Append1[[#This Row],[weekday]]&lt;7),"working day","weekend"))</f>
        <v>weekend</v>
      </c>
      <c r="P219" s="4" t="str">
        <f>IF(Append1[[#This Row],[weathersit]]=0,"sunny",IF(Append1[[#This Row],[weathersit]]=1,"mist",IF(Append1[[#This Row],[weathersit]]=2,"lightrain","extremerain")))</f>
        <v>lightrain</v>
      </c>
    </row>
    <row r="220" spans="1:16" x14ac:dyDescent="0.25">
      <c r="A220" s="4">
        <v>219</v>
      </c>
      <c r="B220" s="4">
        <v>0.1212</v>
      </c>
      <c r="C220" s="4">
        <v>0.5</v>
      </c>
      <c r="D220" s="4">
        <v>0.25369999999999998</v>
      </c>
      <c r="E220" s="4">
        <v>2</v>
      </c>
      <c r="F220" s="4">
        <v>92</v>
      </c>
      <c r="G220" s="4">
        <v>94</v>
      </c>
      <c r="H220" s="5">
        <v>40553</v>
      </c>
      <c r="I220" s="4">
        <v>1</v>
      </c>
      <c r="J220" s="4">
        <v>9</v>
      </c>
      <c r="K220" s="4" t="b">
        <f>IF(Append1[[#This Row],[days]]="working day",FALSE,TRUE)</f>
        <v>1</v>
      </c>
      <c r="L220" s="4">
        <v>1</v>
      </c>
      <c r="M220" s="4">
        <v>2</v>
      </c>
      <c r="N220" s="6">
        <v>0.14000000000000001</v>
      </c>
      <c r="O220" s="2" t="str">
        <f>IF(Append1[[#This Row],[weekday]]=0,"holiday",IF(AND(Append1[[#This Row],[weekday]]&gt;1,Append1[[#This Row],[weekday]]&lt;7),"working day","weekend"))</f>
        <v>weekend</v>
      </c>
      <c r="P220" s="4" t="str">
        <f>IF(Append1[[#This Row],[weathersit]]=0,"sunny",IF(Append1[[#This Row],[weathersit]]=1,"mist",IF(Append1[[#This Row],[weathersit]]=2,"lightrain","extremerain")))</f>
        <v>lightrain</v>
      </c>
    </row>
    <row r="221" spans="1:16" x14ac:dyDescent="0.25">
      <c r="A221" s="4">
        <v>220</v>
      </c>
      <c r="B221" s="4">
        <v>0.1212</v>
      </c>
      <c r="C221" s="4">
        <v>0.5</v>
      </c>
      <c r="D221" s="4">
        <v>0.29849999999999999</v>
      </c>
      <c r="E221" s="4">
        <v>0</v>
      </c>
      <c r="F221" s="4">
        <v>31</v>
      </c>
      <c r="G221" s="4">
        <v>31</v>
      </c>
      <c r="H221" s="5">
        <v>40553</v>
      </c>
      <c r="I221" s="4">
        <v>1</v>
      </c>
      <c r="J221" s="4">
        <v>10</v>
      </c>
      <c r="K221" s="4" t="b">
        <f>IF(Append1[[#This Row],[days]]="working day",FALSE,TRUE)</f>
        <v>1</v>
      </c>
      <c r="L221" s="4">
        <v>1</v>
      </c>
      <c r="M221" s="4">
        <v>2</v>
      </c>
      <c r="N221" s="6">
        <v>0.14000000000000001</v>
      </c>
      <c r="O221" s="2" t="str">
        <f>IF(Append1[[#This Row],[weekday]]=0,"holiday",IF(AND(Append1[[#This Row],[weekday]]&gt;1,Append1[[#This Row],[weekday]]&lt;7),"working day","weekend"))</f>
        <v>weekend</v>
      </c>
      <c r="P221" s="4" t="str">
        <f>IF(Append1[[#This Row],[weathersit]]=0,"sunny",IF(Append1[[#This Row],[weathersit]]=1,"mist",IF(Append1[[#This Row],[weathersit]]=2,"lightrain","extremerain")))</f>
        <v>lightrain</v>
      </c>
    </row>
    <row r="222" spans="1:16" x14ac:dyDescent="0.25">
      <c r="A222" s="4">
        <v>221</v>
      </c>
      <c r="B222" s="4">
        <v>0.13639999999999999</v>
      </c>
      <c r="C222" s="4">
        <v>0.47</v>
      </c>
      <c r="D222" s="4">
        <v>0.28360000000000002</v>
      </c>
      <c r="E222" s="4">
        <v>2</v>
      </c>
      <c r="F222" s="4">
        <v>28</v>
      </c>
      <c r="G222" s="4">
        <v>30</v>
      </c>
      <c r="H222" s="5">
        <v>40553</v>
      </c>
      <c r="I222" s="4">
        <v>1</v>
      </c>
      <c r="J222" s="4">
        <v>11</v>
      </c>
      <c r="K222" s="4" t="b">
        <f>IF(Append1[[#This Row],[days]]="working day",FALSE,TRUE)</f>
        <v>1</v>
      </c>
      <c r="L222" s="4">
        <v>1</v>
      </c>
      <c r="M222" s="4">
        <v>2</v>
      </c>
      <c r="N222" s="6">
        <v>0.16</v>
      </c>
      <c r="O222" s="2" t="str">
        <f>IF(Append1[[#This Row],[weekday]]=0,"holiday",IF(AND(Append1[[#This Row],[weekday]]&gt;1,Append1[[#This Row],[weekday]]&lt;7),"working day","weekend"))</f>
        <v>weekend</v>
      </c>
      <c r="P222" s="4" t="str">
        <f>IF(Append1[[#This Row],[weathersit]]=0,"sunny",IF(Append1[[#This Row],[weathersit]]=1,"mist",IF(Append1[[#This Row],[weathersit]]=2,"lightrain","extremerain")))</f>
        <v>lightrain</v>
      </c>
    </row>
    <row r="223" spans="1:16" x14ac:dyDescent="0.25">
      <c r="A223" s="4">
        <v>222</v>
      </c>
      <c r="B223" s="4">
        <v>0.18179999999999999</v>
      </c>
      <c r="C223" s="4">
        <v>0.4</v>
      </c>
      <c r="D223" s="4">
        <v>0.28360000000000002</v>
      </c>
      <c r="E223" s="4">
        <v>5</v>
      </c>
      <c r="F223" s="4">
        <v>47</v>
      </c>
      <c r="G223" s="4">
        <v>52</v>
      </c>
      <c r="H223" s="5">
        <v>40553</v>
      </c>
      <c r="I223" s="4">
        <v>1</v>
      </c>
      <c r="J223" s="4">
        <v>12</v>
      </c>
      <c r="K223" s="4" t="b">
        <f>IF(Append1[[#This Row],[days]]="working day",FALSE,TRUE)</f>
        <v>1</v>
      </c>
      <c r="L223" s="4">
        <v>1</v>
      </c>
      <c r="M223" s="4">
        <v>2</v>
      </c>
      <c r="N223" s="6">
        <v>0.2</v>
      </c>
      <c r="O223" s="2" t="str">
        <f>IF(Append1[[#This Row],[weekday]]=0,"holiday",IF(AND(Append1[[#This Row],[weekday]]&gt;1,Append1[[#This Row],[weekday]]&lt;7),"working day","weekend"))</f>
        <v>weekend</v>
      </c>
      <c r="P223" s="4" t="str">
        <f>IF(Append1[[#This Row],[weathersit]]=0,"sunny",IF(Append1[[#This Row],[weathersit]]=1,"mist",IF(Append1[[#This Row],[weathersit]]=2,"lightrain","extremerain")))</f>
        <v>lightrain</v>
      </c>
    </row>
    <row r="224" spans="1:16" x14ac:dyDescent="0.25">
      <c r="A224" s="4">
        <v>223</v>
      </c>
      <c r="B224" s="4">
        <v>0.18179999999999999</v>
      </c>
      <c r="C224" s="4">
        <v>0.4</v>
      </c>
      <c r="D224" s="4">
        <v>0.28360000000000002</v>
      </c>
      <c r="E224" s="4">
        <v>4</v>
      </c>
      <c r="F224" s="4">
        <v>50</v>
      </c>
      <c r="G224" s="4">
        <v>54</v>
      </c>
      <c r="H224" s="5">
        <v>40553</v>
      </c>
      <c r="I224" s="4">
        <v>1</v>
      </c>
      <c r="J224" s="4">
        <v>13</v>
      </c>
      <c r="K224" s="4" t="b">
        <f>IF(Append1[[#This Row],[days]]="working day",FALSE,TRUE)</f>
        <v>1</v>
      </c>
      <c r="L224" s="4">
        <v>1</v>
      </c>
      <c r="M224" s="4">
        <v>2</v>
      </c>
      <c r="N224" s="6">
        <v>0.2</v>
      </c>
      <c r="O224" s="2" t="str">
        <f>IF(Append1[[#This Row],[weekday]]=0,"holiday",IF(AND(Append1[[#This Row],[weekday]]&gt;1,Append1[[#This Row],[weekday]]&lt;7),"working day","weekend"))</f>
        <v>weekend</v>
      </c>
      <c r="P224" s="4" t="str">
        <f>IF(Append1[[#This Row],[weathersit]]=0,"sunny",IF(Append1[[#This Row],[weathersit]]=1,"mist",IF(Append1[[#This Row],[weathersit]]=2,"lightrain","extremerain")))</f>
        <v>lightrain</v>
      </c>
    </row>
    <row r="225" spans="1:16" x14ac:dyDescent="0.25">
      <c r="A225" s="4">
        <v>224</v>
      </c>
      <c r="B225" s="4">
        <v>0.19700000000000001</v>
      </c>
      <c r="C225" s="4">
        <v>0.4</v>
      </c>
      <c r="D225" s="4">
        <v>0.22389999999999999</v>
      </c>
      <c r="E225" s="4">
        <v>0</v>
      </c>
      <c r="F225" s="4">
        <v>47</v>
      </c>
      <c r="G225" s="4">
        <v>47</v>
      </c>
      <c r="H225" s="5">
        <v>40553</v>
      </c>
      <c r="I225" s="4">
        <v>1</v>
      </c>
      <c r="J225" s="4">
        <v>14</v>
      </c>
      <c r="K225" s="4" t="b">
        <f>IF(Append1[[#This Row],[days]]="working day",FALSE,TRUE)</f>
        <v>1</v>
      </c>
      <c r="L225" s="4">
        <v>1</v>
      </c>
      <c r="M225" s="4">
        <v>2</v>
      </c>
      <c r="N225" s="6">
        <v>0.2</v>
      </c>
      <c r="O225" s="2" t="str">
        <f>IF(Append1[[#This Row],[weekday]]=0,"holiday",IF(AND(Append1[[#This Row],[weekday]]&gt;1,Append1[[#This Row],[weekday]]&lt;7),"working day","weekend"))</f>
        <v>weekend</v>
      </c>
      <c r="P225" s="4" t="str">
        <f>IF(Append1[[#This Row],[weathersit]]=0,"sunny",IF(Append1[[#This Row],[weathersit]]=1,"mist",IF(Append1[[#This Row],[weathersit]]=2,"lightrain","extremerain")))</f>
        <v>lightrain</v>
      </c>
    </row>
    <row r="226" spans="1:16" x14ac:dyDescent="0.25">
      <c r="A226" s="4">
        <v>225</v>
      </c>
      <c r="B226" s="4">
        <v>0.19700000000000001</v>
      </c>
      <c r="C226" s="4">
        <v>0.4</v>
      </c>
      <c r="D226" s="4">
        <v>0.22389999999999999</v>
      </c>
      <c r="E226" s="4">
        <v>2</v>
      </c>
      <c r="F226" s="4">
        <v>43</v>
      </c>
      <c r="G226" s="4">
        <v>45</v>
      </c>
      <c r="H226" s="5">
        <v>40553</v>
      </c>
      <c r="I226" s="4">
        <v>1</v>
      </c>
      <c r="J226" s="4">
        <v>15</v>
      </c>
      <c r="K226" s="4" t="b">
        <f>IF(Append1[[#This Row],[days]]="working day",FALSE,TRUE)</f>
        <v>1</v>
      </c>
      <c r="L226" s="4">
        <v>1</v>
      </c>
      <c r="M226" s="4">
        <v>2</v>
      </c>
      <c r="N226" s="6">
        <v>0.2</v>
      </c>
      <c r="O226" s="2" t="str">
        <f>IF(Append1[[#This Row],[weekday]]=0,"holiday",IF(AND(Append1[[#This Row],[weekday]]&gt;1,Append1[[#This Row],[weekday]]&lt;7),"working day","weekend"))</f>
        <v>weekend</v>
      </c>
      <c r="P226" s="4" t="str">
        <f>IF(Append1[[#This Row],[weathersit]]=0,"sunny",IF(Append1[[#This Row],[weathersit]]=1,"mist",IF(Append1[[#This Row],[weathersit]]=2,"lightrain","extremerain")))</f>
        <v>lightrain</v>
      </c>
    </row>
    <row r="227" spans="1:16" x14ac:dyDescent="0.25">
      <c r="A227" s="4">
        <v>226</v>
      </c>
      <c r="B227" s="4">
        <v>0.21210000000000001</v>
      </c>
      <c r="C227" s="4">
        <v>0.4</v>
      </c>
      <c r="D227" s="4">
        <v>0.1343</v>
      </c>
      <c r="E227" s="4">
        <v>4</v>
      </c>
      <c r="F227" s="4">
        <v>70</v>
      </c>
      <c r="G227" s="4">
        <v>74</v>
      </c>
      <c r="H227" s="5">
        <v>40553</v>
      </c>
      <c r="I227" s="4">
        <v>1</v>
      </c>
      <c r="J227" s="4">
        <v>16</v>
      </c>
      <c r="K227" s="4" t="b">
        <f>IF(Append1[[#This Row],[days]]="working day",FALSE,TRUE)</f>
        <v>1</v>
      </c>
      <c r="L227" s="4">
        <v>1</v>
      </c>
      <c r="M227" s="4">
        <v>1</v>
      </c>
      <c r="N227" s="6">
        <v>0.2</v>
      </c>
      <c r="O227" s="2" t="str">
        <f>IF(Append1[[#This Row],[weekday]]=0,"holiday",IF(AND(Append1[[#This Row],[weekday]]&gt;1,Append1[[#This Row],[weekday]]&lt;7),"working day","weekend"))</f>
        <v>weekend</v>
      </c>
      <c r="P227" s="4" t="str">
        <f>IF(Append1[[#This Row],[weathersit]]=0,"sunny",IF(Append1[[#This Row],[weathersit]]=1,"mist",IF(Append1[[#This Row],[weathersit]]=2,"lightrain","extremerain")))</f>
        <v>mist</v>
      </c>
    </row>
    <row r="228" spans="1:16" x14ac:dyDescent="0.25">
      <c r="A228" s="4">
        <v>227</v>
      </c>
      <c r="B228" s="4">
        <v>0.2273</v>
      </c>
      <c r="C228" s="4">
        <v>0.4</v>
      </c>
      <c r="D228" s="4">
        <v>0.1045</v>
      </c>
      <c r="E228" s="4">
        <v>4</v>
      </c>
      <c r="F228" s="4">
        <v>174</v>
      </c>
      <c r="G228" s="4">
        <v>178</v>
      </c>
      <c r="H228" s="5">
        <v>40553</v>
      </c>
      <c r="I228" s="4">
        <v>1</v>
      </c>
      <c r="J228" s="4">
        <v>17</v>
      </c>
      <c r="K228" s="4" t="b">
        <f>IF(Append1[[#This Row],[days]]="working day",FALSE,TRUE)</f>
        <v>1</v>
      </c>
      <c r="L228" s="4">
        <v>1</v>
      </c>
      <c r="M228" s="4">
        <v>1</v>
      </c>
      <c r="N228" s="6">
        <v>0.2</v>
      </c>
      <c r="O228" s="2" t="str">
        <f>IF(Append1[[#This Row],[weekday]]=0,"holiday",IF(AND(Append1[[#This Row],[weekday]]&gt;1,Append1[[#This Row],[weekday]]&lt;7),"working day","weekend"))</f>
        <v>weekend</v>
      </c>
      <c r="P228" s="4" t="str">
        <f>IF(Append1[[#This Row],[weathersit]]=0,"sunny",IF(Append1[[#This Row],[weathersit]]=1,"mist",IF(Append1[[#This Row],[weathersit]]=2,"lightrain","extremerain")))</f>
        <v>mist</v>
      </c>
    </row>
    <row r="229" spans="1:16" x14ac:dyDescent="0.25">
      <c r="A229" s="4">
        <v>228</v>
      </c>
      <c r="B229" s="4">
        <v>0.19700000000000001</v>
      </c>
      <c r="C229" s="4">
        <v>0.4</v>
      </c>
      <c r="D229" s="4">
        <v>0.22389999999999999</v>
      </c>
      <c r="E229" s="4">
        <v>1</v>
      </c>
      <c r="F229" s="4">
        <v>154</v>
      </c>
      <c r="G229" s="4">
        <v>155</v>
      </c>
      <c r="H229" s="5">
        <v>40553</v>
      </c>
      <c r="I229" s="4">
        <v>1</v>
      </c>
      <c r="J229" s="4">
        <v>18</v>
      </c>
      <c r="K229" s="4" t="b">
        <f>IF(Append1[[#This Row],[days]]="working day",FALSE,TRUE)</f>
        <v>1</v>
      </c>
      <c r="L229" s="4">
        <v>1</v>
      </c>
      <c r="M229" s="4">
        <v>1</v>
      </c>
      <c r="N229" s="6">
        <v>0.2</v>
      </c>
      <c r="O229" s="2" t="str">
        <f>IF(Append1[[#This Row],[weekday]]=0,"holiday",IF(AND(Append1[[#This Row],[weekday]]&gt;1,Append1[[#This Row],[weekday]]&lt;7),"working day","weekend"))</f>
        <v>weekend</v>
      </c>
      <c r="P229" s="4" t="str">
        <f>IF(Append1[[#This Row],[weathersit]]=0,"sunny",IF(Append1[[#This Row],[weathersit]]=1,"mist",IF(Append1[[#This Row],[weathersit]]=2,"lightrain","extremerain")))</f>
        <v>mist</v>
      </c>
    </row>
    <row r="230" spans="1:16" x14ac:dyDescent="0.25">
      <c r="A230" s="4">
        <v>229</v>
      </c>
      <c r="B230" s="4">
        <v>0.16669999999999999</v>
      </c>
      <c r="C230" s="4">
        <v>0.47</v>
      </c>
      <c r="D230" s="4">
        <v>0.16420000000000001</v>
      </c>
      <c r="E230" s="4">
        <v>3</v>
      </c>
      <c r="F230" s="4">
        <v>92</v>
      </c>
      <c r="G230" s="4">
        <v>95</v>
      </c>
      <c r="H230" s="5">
        <v>40553</v>
      </c>
      <c r="I230" s="4">
        <v>1</v>
      </c>
      <c r="J230" s="4">
        <v>19</v>
      </c>
      <c r="K230" s="4" t="b">
        <f>IF(Append1[[#This Row],[days]]="working day",FALSE,TRUE)</f>
        <v>1</v>
      </c>
      <c r="L230" s="4">
        <v>1</v>
      </c>
      <c r="M230" s="4">
        <v>1</v>
      </c>
      <c r="N230" s="6">
        <v>0.16</v>
      </c>
      <c r="O230" s="2" t="str">
        <f>IF(Append1[[#This Row],[weekday]]=0,"holiday",IF(AND(Append1[[#This Row],[weekday]]&gt;1,Append1[[#This Row],[weekday]]&lt;7),"working day","weekend"))</f>
        <v>weekend</v>
      </c>
      <c r="P230" s="4" t="str">
        <f>IF(Append1[[#This Row],[weathersit]]=0,"sunny",IF(Append1[[#This Row],[weathersit]]=1,"mist",IF(Append1[[#This Row],[weathersit]]=2,"lightrain","extremerain")))</f>
        <v>mist</v>
      </c>
    </row>
    <row r="231" spans="1:16" x14ac:dyDescent="0.25">
      <c r="A231" s="4">
        <v>230</v>
      </c>
      <c r="B231" s="4">
        <v>0.16669999999999999</v>
      </c>
      <c r="C231" s="4">
        <v>0.5</v>
      </c>
      <c r="D231" s="4">
        <v>0.16420000000000001</v>
      </c>
      <c r="E231" s="4">
        <v>1</v>
      </c>
      <c r="F231" s="4">
        <v>73</v>
      </c>
      <c r="G231" s="4">
        <v>74</v>
      </c>
      <c r="H231" s="5">
        <v>40553</v>
      </c>
      <c r="I231" s="4">
        <v>1</v>
      </c>
      <c r="J231" s="4">
        <v>20</v>
      </c>
      <c r="K231" s="4" t="b">
        <f>IF(Append1[[#This Row],[days]]="working day",FALSE,TRUE)</f>
        <v>1</v>
      </c>
      <c r="L231" s="4">
        <v>1</v>
      </c>
      <c r="M231" s="4">
        <v>1</v>
      </c>
      <c r="N231" s="6">
        <v>0.16</v>
      </c>
      <c r="O231" s="2" t="str">
        <f>IF(Append1[[#This Row],[weekday]]=0,"holiday",IF(AND(Append1[[#This Row],[weekday]]&gt;1,Append1[[#This Row],[weekday]]&lt;7),"working day","weekend"))</f>
        <v>weekend</v>
      </c>
      <c r="P231" s="4" t="str">
        <f>IF(Append1[[#This Row],[weathersit]]=0,"sunny",IF(Append1[[#This Row],[weathersit]]=1,"mist",IF(Append1[[#This Row],[weathersit]]=2,"lightrain","extremerain")))</f>
        <v>mist</v>
      </c>
    </row>
    <row r="232" spans="1:16" x14ac:dyDescent="0.25">
      <c r="A232" s="4">
        <v>231</v>
      </c>
      <c r="B232" s="4">
        <v>0.13639999999999999</v>
      </c>
      <c r="C232" s="4">
        <v>0.59</v>
      </c>
      <c r="D232" s="4">
        <v>0.19400000000000001</v>
      </c>
      <c r="E232" s="4">
        <v>1</v>
      </c>
      <c r="F232" s="4">
        <v>37</v>
      </c>
      <c r="G232" s="4">
        <v>38</v>
      </c>
      <c r="H232" s="5">
        <v>40553</v>
      </c>
      <c r="I232" s="4">
        <v>1</v>
      </c>
      <c r="J232" s="4">
        <v>21</v>
      </c>
      <c r="K232" s="4" t="b">
        <f>IF(Append1[[#This Row],[days]]="working day",FALSE,TRUE)</f>
        <v>1</v>
      </c>
      <c r="L232" s="4">
        <v>1</v>
      </c>
      <c r="M232" s="4">
        <v>1</v>
      </c>
      <c r="N232" s="6">
        <v>0.14000000000000001</v>
      </c>
      <c r="O232" s="2" t="str">
        <f>IF(Append1[[#This Row],[weekday]]=0,"holiday",IF(AND(Append1[[#This Row],[weekday]]&gt;1,Append1[[#This Row],[weekday]]&lt;7),"working day","weekend"))</f>
        <v>weekend</v>
      </c>
      <c r="P232" s="4" t="str">
        <f>IF(Append1[[#This Row],[weathersit]]=0,"sunny",IF(Append1[[#This Row],[weathersit]]=1,"mist",IF(Append1[[#This Row],[weathersit]]=2,"lightrain","extremerain")))</f>
        <v>mist</v>
      </c>
    </row>
    <row r="233" spans="1:16" x14ac:dyDescent="0.25">
      <c r="A233" s="4">
        <v>232</v>
      </c>
      <c r="B233" s="4">
        <v>0.1515</v>
      </c>
      <c r="C233" s="4">
        <v>0.59</v>
      </c>
      <c r="D233" s="4">
        <v>0.16420000000000001</v>
      </c>
      <c r="E233" s="4">
        <v>2</v>
      </c>
      <c r="F233" s="4">
        <v>22</v>
      </c>
      <c r="G233" s="4">
        <v>24</v>
      </c>
      <c r="H233" s="5">
        <v>40553</v>
      </c>
      <c r="I233" s="4">
        <v>1</v>
      </c>
      <c r="J233" s="4">
        <v>22</v>
      </c>
      <c r="K233" s="4" t="b">
        <f>IF(Append1[[#This Row],[days]]="working day",FALSE,TRUE)</f>
        <v>1</v>
      </c>
      <c r="L233" s="4">
        <v>1</v>
      </c>
      <c r="M233" s="4">
        <v>1</v>
      </c>
      <c r="N233" s="6">
        <v>0.14000000000000001</v>
      </c>
      <c r="O233" s="2" t="str">
        <f>IF(Append1[[#This Row],[weekday]]=0,"holiday",IF(AND(Append1[[#This Row],[weekday]]&gt;1,Append1[[#This Row],[weekday]]&lt;7),"working day","weekend"))</f>
        <v>weekend</v>
      </c>
      <c r="P233" s="4" t="str">
        <f>IF(Append1[[#This Row],[weathersit]]=0,"sunny",IF(Append1[[#This Row],[weathersit]]=1,"mist",IF(Append1[[#This Row],[weathersit]]=2,"lightrain","extremerain")))</f>
        <v>mist</v>
      </c>
    </row>
    <row r="234" spans="1:16" x14ac:dyDescent="0.25">
      <c r="A234" s="4">
        <v>233</v>
      </c>
      <c r="B234" s="4">
        <v>0.1515</v>
      </c>
      <c r="C234" s="4">
        <v>0.59</v>
      </c>
      <c r="D234" s="4">
        <v>0.16420000000000001</v>
      </c>
      <c r="E234" s="4">
        <v>0</v>
      </c>
      <c r="F234" s="4">
        <v>18</v>
      </c>
      <c r="G234" s="4">
        <v>18</v>
      </c>
      <c r="H234" s="5">
        <v>40553</v>
      </c>
      <c r="I234" s="4">
        <v>1</v>
      </c>
      <c r="J234" s="4">
        <v>23</v>
      </c>
      <c r="K234" s="4" t="b">
        <f>IF(Append1[[#This Row],[days]]="working day",FALSE,TRUE)</f>
        <v>1</v>
      </c>
      <c r="L234" s="4">
        <v>1</v>
      </c>
      <c r="M234" s="4">
        <v>1</v>
      </c>
      <c r="N234" s="6">
        <v>0.14000000000000001</v>
      </c>
      <c r="O234" s="2" t="str">
        <f>IF(Append1[[#This Row],[weekday]]=0,"holiday",IF(AND(Append1[[#This Row],[weekday]]&gt;1,Append1[[#This Row],[weekday]]&lt;7),"working day","weekend"))</f>
        <v>weekend</v>
      </c>
      <c r="P234" s="4" t="str">
        <f>IF(Append1[[#This Row],[weathersit]]=0,"sunny",IF(Append1[[#This Row],[weathersit]]=1,"mist",IF(Append1[[#This Row],[weathersit]]=2,"lightrain","extremerain")))</f>
        <v>mist</v>
      </c>
    </row>
    <row r="235" spans="1:16" x14ac:dyDescent="0.25">
      <c r="A235" s="4">
        <v>234</v>
      </c>
      <c r="B235" s="4">
        <v>0.16669999999999999</v>
      </c>
      <c r="C235" s="4">
        <v>0.59</v>
      </c>
      <c r="D235" s="4">
        <v>0.1045</v>
      </c>
      <c r="E235" s="4">
        <v>2</v>
      </c>
      <c r="F235" s="4">
        <v>10</v>
      </c>
      <c r="G235" s="4">
        <v>12</v>
      </c>
      <c r="H235" s="5">
        <v>40554</v>
      </c>
      <c r="I235" s="4">
        <v>1</v>
      </c>
      <c r="J235" s="4">
        <v>0</v>
      </c>
      <c r="K235" s="4" t="b">
        <f>IF(Append1[[#This Row],[days]]="working day",FALSE,TRUE)</f>
        <v>0</v>
      </c>
      <c r="L235" s="4">
        <v>2</v>
      </c>
      <c r="M235" s="4">
        <v>1</v>
      </c>
      <c r="N235" s="6">
        <v>0.14000000000000001</v>
      </c>
      <c r="O235" s="2" t="str">
        <f>IF(Append1[[#This Row],[weekday]]=0,"holiday",IF(AND(Append1[[#This Row],[weekday]]&gt;1,Append1[[#This Row],[weekday]]&lt;7),"working day","weekend"))</f>
        <v>working day</v>
      </c>
      <c r="P235" s="4" t="str">
        <f>IF(Append1[[#This Row],[weathersit]]=0,"sunny",IF(Append1[[#This Row],[weathersit]]=1,"mist",IF(Append1[[#This Row],[weathersit]]=2,"lightrain","extremerain")))</f>
        <v>mist</v>
      </c>
    </row>
    <row r="236" spans="1:16" x14ac:dyDescent="0.25">
      <c r="A236" s="4">
        <v>235</v>
      </c>
      <c r="B236" s="4">
        <v>0.1515</v>
      </c>
      <c r="C236" s="4">
        <v>0.59</v>
      </c>
      <c r="D236" s="4">
        <v>0.16420000000000001</v>
      </c>
      <c r="E236" s="4">
        <v>0</v>
      </c>
      <c r="F236" s="4">
        <v>3</v>
      </c>
      <c r="G236" s="4">
        <v>3</v>
      </c>
      <c r="H236" s="5">
        <v>40554</v>
      </c>
      <c r="I236" s="4">
        <v>1</v>
      </c>
      <c r="J236" s="4">
        <v>1</v>
      </c>
      <c r="K236" s="4" t="b">
        <f>IF(Append1[[#This Row],[days]]="working day",FALSE,TRUE)</f>
        <v>0</v>
      </c>
      <c r="L236" s="4">
        <v>2</v>
      </c>
      <c r="M236" s="4">
        <v>1</v>
      </c>
      <c r="N236" s="6">
        <v>0.14000000000000001</v>
      </c>
      <c r="O236" s="2" t="str">
        <f>IF(Append1[[#This Row],[weekday]]=0,"holiday",IF(AND(Append1[[#This Row],[weekday]]&gt;1,Append1[[#This Row],[weekday]]&lt;7),"working day","weekend"))</f>
        <v>working day</v>
      </c>
      <c r="P236" s="4" t="str">
        <f>IF(Append1[[#This Row],[weathersit]]=0,"sunny",IF(Append1[[#This Row],[weathersit]]=1,"mist",IF(Append1[[#This Row],[weathersit]]=2,"lightrain","extremerain")))</f>
        <v>mist</v>
      </c>
    </row>
    <row r="237" spans="1:16" x14ac:dyDescent="0.25">
      <c r="A237" s="4">
        <v>236</v>
      </c>
      <c r="B237" s="4">
        <v>0.1515</v>
      </c>
      <c r="C237" s="4">
        <v>0.55000000000000004</v>
      </c>
      <c r="D237" s="4">
        <v>0.19400000000000001</v>
      </c>
      <c r="E237" s="4">
        <v>0</v>
      </c>
      <c r="F237" s="4">
        <v>3</v>
      </c>
      <c r="G237" s="4">
        <v>3</v>
      </c>
      <c r="H237" s="5">
        <v>40554</v>
      </c>
      <c r="I237" s="4">
        <v>1</v>
      </c>
      <c r="J237" s="4">
        <v>2</v>
      </c>
      <c r="K237" s="4" t="b">
        <f>IF(Append1[[#This Row],[days]]="working day",FALSE,TRUE)</f>
        <v>0</v>
      </c>
      <c r="L237" s="4">
        <v>2</v>
      </c>
      <c r="M237" s="4">
        <v>2</v>
      </c>
      <c r="N237" s="6">
        <v>0.16</v>
      </c>
      <c r="O237" s="2" t="str">
        <f>IF(Append1[[#This Row],[weekday]]=0,"holiday",IF(AND(Append1[[#This Row],[weekday]]&gt;1,Append1[[#This Row],[weekday]]&lt;7),"working day","weekend"))</f>
        <v>working day</v>
      </c>
      <c r="P237" s="4" t="str">
        <f>IF(Append1[[#This Row],[weathersit]]=0,"sunny",IF(Append1[[#This Row],[weathersit]]=1,"mist",IF(Append1[[#This Row],[weathersit]]=2,"lightrain","extremerain")))</f>
        <v>lightrain</v>
      </c>
    </row>
    <row r="238" spans="1:16" x14ac:dyDescent="0.25">
      <c r="A238" s="4">
        <v>237</v>
      </c>
      <c r="B238" s="4">
        <v>0.18179999999999999</v>
      </c>
      <c r="C238" s="4">
        <v>0.55000000000000004</v>
      </c>
      <c r="D238" s="4">
        <v>0.1343</v>
      </c>
      <c r="E238" s="4">
        <v>0</v>
      </c>
      <c r="F238" s="4">
        <v>6</v>
      </c>
      <c r="G238" s="4">
        <v>6</v>
      </c>
      <c r="H238" s="5">
        <v>40554</v>
      </c>
      <c r="I238" s="4">
        <v>1</v>
      </c>
      <c r="J238" s="4">
        <v>5</v>
      </c>
      <c r="K238" s="4" t="b">
        <f>IF(Append1[[#This Row],[days]]="working day",FALSE,TRUE)</f>
        <v>0</v>
      </c>
      <c r="L238" s="4">
        <v>2</v>
      </c>
      <c r="M238" s="4">
        <v>2</v>
      </c>
      <c r="N238" s="6">
        <v>0.16</v>
      </c>
      <c r="O238" s="2" t="str">
        <f>IF(Append1[[#This Row],[weekday]]=0,"holiday",IF(AND(Append1[[#This Row],[weekday]]&gt;1,Append1[[#This Row],[weekday]]&lt;7),"working day","weekend"))</f>
        <v>working day</v>
      </c>
      <c r="P238" s="4" t="str">
        <f>IF(Append1[[#This Row],[weathersit]]=0,"sunny",IF(Append1[[#This Row],[weathersit]]=1,"mist",IF(Append1[[#This Row],[weathersit]]=2,"lightrain","extremerain")))</f>
        <v>lightrain</v>
      </c>
    </row>
    <row r="239" spans="1:16" x14ac:dyDescent="0.25">
      <c r="A239" s="4">
        <v>238</v>
      </c>
      <c r="B239" s="4">
        <v>0.18179999999999999</v>
      </c>
      <c r="C239" s="4">
        <v>0.55000000000000004</v>
      </c>
      <c r="D239" s="4">
        <v>0.1343</v>
      </c>
      <c r="E239" s="4">
        <v>0</v>
      </c>
      <c r="F239" s="4">
        <v>27</v>
      </c>
      <c r="G239" s="4">
        <v>27</v>
      </c>
      <c r="H239" s="5">
        <v>40554</v>
      </c>
      <c r="I239" s="4">
        <v>1</v>
      </c>
      <c r="J239" s="4">
        <v>6</v>
      </c>
      <c r="K239" s="4" t="b">
        <f>IF(Append1[[#This Row],[days]]="working day",FALSE,TRUE)</f>
        <v>0</v>
      </c>
      <c r="L239" s="4">
        <v>2</v>
      </c>
      <c r="M239" s="4">
        <v>2</v>
      </c>
      <c r="N239" s="6">
        <v>0.16</v>
      </c>
      <c r="O239" s="2" t="str">
        <f>IF(Append1[[#This Row],[weekday]]=0,"holiday",IF(AND(Append1[[#This Row],[weekday]]&gt;1,Append1[[#This Row],[weekday]]&lt;7),"working day","weekend"))</f>
        <v>working day</v>
      </c>
      <c r="P239" s="4" t="str">
        <f>IF(Append1[[#This Row],[weathersit]]=0,"sunny",IF(Append1[[#This Row],[weathersit]]=1,"mist",IF(Append1[[#This Row],[weathersit]]=2,"lightrain","extremerain")))</f>
        <v>lightrain</v>
      </c>
    </row>
    <row r="240" spans="1:16" x14ac:dyDescent="0.25">
      <c r="A240" s="4">
        <v>239</v>
      </c>
      <c r="B240" s="4">
        <v>0.2273</v>
      </c>
      <c r="C240" s="4">
        <v>0.55000000000000004</v>
      </c>
      <c r="D240" s="4">
        <v>0</v>
      </c>
      <c r="E240" s="4">
        <v>2</v>
      </c>
      <c r="F240" s="4">
        <v>97</v>
      </c>
      <c r="G240" s="4">
        <v>99</v>
      </c>
      <c r="H240" s="5">
        <v>40554</v>
      </c>
      <c r="I240" s="4">
        <v>1</v>
      </c>
      <c r="J240" s="4">
        <v>7</v>
      </c>
      <c r="K240" s="4" t="b">
        <f>IF(Append1[[#This Row],[days]]="working day",FALSE,TRUE)</f>
        <v>0</v>
      </c>
      <c r="L240" s="4">
        <v>2</v>
      </c>
      <c r="M240" s="4">
        <v>2</v>
      </c>
      <c r="N240" s="6">
        <v>0.16</v>
      </c>
      <c r="O240" s="2" t="str">
        <f>IF(Append1[[#This Row],[weekday]]=0,"holiday",IF(AND(Append1[[#This Row],[weekday]]&gt;1,Append1[[#This Row],[weekday]]&lt;7),"working day","weekend"))</f>
        <v>working day</v>
      </c>
      <c r="P240" s="4" t="str">
        <f>IF(Append1[[#This Row],[weathersit]]=0,"sunny",IF(Append1[[#This Row],[weathersit]]=1,"mist",IF(Append1[[#This Row],[weathersit]]=2,"lightrain","extremerain")))</f>
        <v>lightrain</v>
      </c>
    </row>
    <row r="241" spans="1:16" x14ac:dyDescent="0.25">
      <c r="A241" s="4">
        <v>240</v>
      </c>
      <c r="B241" s="4">
        <v>0.21210000000000001</v>
      </c>
      <c r="C241" s="4">
        <v>0.51</v>
      </c>
      <c r="D241" s="4">
        <v>8.9599999999999999E-2</v>
      </c>
      <c r="E241" s="4">
        <v>3</v>
      </c>
      <c r="F241" s="4">
        <v>214</v>
      </c>
      <c r="G241" s="4">
        <v>217</v>
      </c>
      <c r="H241" s="5">
        <v>40554</v>
      </c>
      <c r="I241" s="4">
        <v>1</v>
      </c>
      <c r="J241" s="4">
        <v>8</v>
      </c>
      <c r="K241" s="4" t="b">
        <f>IF(Append1[[#This Row],[days]]="working day",FALSE,TRUE)</f>
        <v>0</v>
      </c>
      <c r="L241" s="4">
        <v>2</v>
      </c>
      <c r="M241" s="4">
        <v>2</v>
      </c>
      <c r="N241" s="6">
        <v>0.18</v>
      </c>
      <c r="O241" s="2" t="str">
        <f>IF(Append1[[#This Row],[weekday]]=0,"holiday",IF(AND(Append1[[#This Row],[weekday]]&gt;1,Append1[[#This Row],[weekday]]&lt;7),"working day","weekend"))</f>
        <v>working day</v>
      </c>
      <c r="P241" s="4" t="str">
        <f>IF(Append1[[#This Row],[weathersit]]=0,"sunny",IF(Append1[[#This Row],[weathersit]]=1,"mist",IF(Append1[[#This Row],[weathersit]]=2,"lightrain","extremerain")))</f>
        <v>lightrain</v>
      </c>
    </row>
    <row r="242" spans="1:16" x14ac:dyDescent="0.25">
      <c r="A242" s="4">
        <v>241</v>
      </c>
      <c r="B242" s="4">
        <v>0.19700000000000001</v>
      </c>
      <c r="C242" s="4">
        <v>0.51</v>
      </c>
      <c r="D242" s="4">
        <v>0.16420000000000001</v>
      </c>
      <c r="E242" s="4">
        <v>3</v>
      </c>
      <c r="F242" s="4">
        <v>127</v>
      </c>
      <c r="G242" s="4">
        <v>130</v>
      </c>
      <c r="H242" s="5">
        <v>40554</v>
      </c>
      <c r="I242" s="4">
        <v>1</v>
      </c>
      <c r="J242" s="4">
        <v>9</v>
      </c>
      <c r="K242" s="4" t="b">
        <f>IF(Append1[[#This Row],[days]]="working day",FALSE,TRUE)</f>
        <v>0</v>
      </c>
      <c r="L242" s="4">
        <v>2</v>
      </c>
      <c r="M242" s="4">
        <v>2</v>
      </c>
      <c r="N242" s="6">
        <v>0.18</v>
      </c>
      <c r="O242" s="2" t="str">
        <f>IF(Append1[[#This Row],[weekday]]=0,"holiday",IF(AND(Append1[[#This Row],[weekday]]&gt;1,Append1[[#This Row],[weekday]]&lt;7),"working day","weekend"))</f>
        <v>working day</v>
      </c>
      <c r="P242" s="4" t="str">
        <f>IF(Append1[[#This Row],[weathersit]]=0,"sunny",IF(Append1[[#This Row],[weathersit]]=1,"mist",IF(Append1[[#This Row],[weathersit]]=2,"lightrain","extremerain")))</f>
        <v>lightrain</v>
      </c>
    </row>
    <row r="243" spans="1:16" x14ac:dyDescent="0.25">
      <c r="A243" s="4">
        <v>242</v>
      </c>
      <c r="B243" s="4">
        <v>0.21210000000000001</v>
      </c>
      <c r="C243" s="4">
        <v>0.51</v>
      </c>
      <c r="D243" s="4">
        <v>0.16420000000000001</v>
      </c>
      <c r="E243" s="4">
        <v>3</v>
      </c>
      <c r="F243" s="4">
        <v>51</v>
      </c>
      <c r="G243" s="4">
        <v>54</v>
      </c>
      <c r="H243" s="5">
        <v>40554</v>
      </c>
      <c r="I243" s="4">
        <v>1</v>
      </c>
      <c r="J243" s="4">
        <v>10</v>
      </c>
      <c r="K243" s="4" t="b">
        <f>IF(Append1[[#This Row],[days]]="working day",FALSE,TRUE)</f>
        <v>0</v>
      </c>
      <c r="L243" s="4">
        <v>2</v>
      </c>
      <c r="M243" s="4">
        <v>2</v>
      </c>
      <c r="N243" s="6">
        <v>0.2</v>
      </c>
      <c r="O243" s="2" t="str">
        <f>IF(Append1[[#This Row],[weekday]]=0,"holiday",IF(AND(Append1[[#This Row],[weekday]]&gt;1,Append1[[#This Row],[weekday]]&lt;7),"working day","weekend"))</f>
        <v>working day</v>
      </c>
      <c r="P243" s="4" t="str">
        <f>IF(Append1[[#This Row],[weathersit]]=0,"sunny",IF(Append1[[#This Row],[weathersit]]=1,"mist",IF(Append1[[#This Row],[weathersit]]=2,"lightrain","extremerain")))</f>
        <v>lightrain</v>
      </c>
    </row>
    <row r="244" spans="1:16" x14ac:dyDescent="0.25">
      <c r="A244" s="4">
        <v>243</v>
      </c>
      <c r="B244" s="4">
        <v>0.21210000000000001</v>
      </c>
      <c r="C244" s="4">
        <v>0.47</v>
      </c>
      <c r="D244" s="4">
        <v>0.1343</v>
      </c>
      <c r="E244" s="4">
        <v>4</v>
      </c>
      <c r="F244" s="4">
        <v>31</v>
      </c>
      <c r="G244" s="4">
        <v>35</v>
      </c>
      <c r="H244" s="5">
        <v>40554</v>
      </c>
      <c r="I244" s="4">
        <v>1</v>
      </c>
      <c r="J244" s="4">
        <v>11</v>
      </c>
      <c r="K244" s="4" t="b">
        <f>IF(Append1[[#This Row],[days]]="working day",FALSE,TRUE)</f>
        <v>0</v>
      </c>
      <c r="L244" s="4">
        <v>2</v>
      </c>
      <c r="M244" s="4">
        <v>2</v>
      </c>
      <c r="N244" s="6">
        <v>0.2</v>
      </c>
      <c r="O244" s="2" t="str">
        <f>IF(Append1[[#This Row],[weekday]]=0,"holiday",IF(AND(Append1[[#This Row],[weekday]]&gt;1,Append1[[#This Row],[weekday]]&lt;7),"working day","weekend"))</f>
        <v>working day</v>
      </c>
      <c r="P244" s="4" t="str">
        <f>IF(Append1[[#This Row],[weathersit]]=0,"sunny",IF(Append1[[#This Row],[weathersit]]=1,"mist",IF(Append1[[#This Row],[weathersit]]=2,"lightrain","extremerain")))</f>
        <v>lightrain</v>
      </c>
    </row>
    <row r="245" spans="1:16" x14ac:dyDescent="0.25">
      <c r="A245" s="4">
        <v>244</v>
      </c>
      <c r="B245" s="4">
        <v>0.2273</v>
      </c>
      <c r="C245" s="4">
        <v>0.51</v>
      </c>
      <c r="D245" s="4">
        <v>0.1045</v>
      </c>
      <c r="E245" s="4">
        <v>2</v>
      </c>
      <c r="F245" s="4">
        <v>55</v>
      </c>
      <c r="G245" s="4">
        <v>57</v>
      </c>
      <c r="H245" s="5">
        <v>40554</v>
      </c>
      <c r="I245" s="4">
        <v>1</v>
      </c>
      <c r="J245" s="4">
        <v>12</v>
      </c>
      <c r="K245" s="4" t="b">
        <f>IF(Append1[[#This Row],[days]]="working day",FALSE,TRUE)</f>
        <v>0</v>
      </c>
      <c r="L245" s="4">
        <v>2</v>
      </c>
      <c r="M245" s="4">
        <v>2</v>
      </c>
      <c r="N245" s="6">
        <v>0.2</v>
      </c>
      <c r="O245" s="2" t="str">
        <f>IF(Append1[[#This Row],[weekday]]=0,"holiday",IF(AND(Append1[[#This Row],[weekday]]&gt;1,Append1[[#This Row],[weekday]]&lt;7),"working day","weekend"))</f>
        <v>working day</v>
      </c>
      <c r="P245" s="4" t="str">
        <f>IF(Append1[[#This Row],[weathersit]]=0,"sunny",IF(Append1[[#This Row],[weathersit]]=1,"mist",IF(Append1[[#This Row],[weathersit]]=2,"lightrain","extremerain")))</f>
        <v>lightrain</v>
      </c>
    </row>
    <row r="246" spans="1:16" x14ac:dyDescent="0.25">
      <c r="A246" s="4">
        <v>245</v>
      </c>
      <c r="B246" s="4">
        <v>0.2273</v>
      </c>
      <c r="C246" s="4">
        <v>0.59</v>
      </c>
      <c r="D246" s="4">
        <v>8.9599999999999999E-2</v>
      </c>
      <c r="E246" s="4">
        <v>6</v>
      </c>
      <c r="F246" s="4">
        <v>46</v>
      </c>
      <c r="G246" s="4">
        <v>52</v>
      </c>
      <c r="H246" s="5">
        <v>40554</v>
      </c>
      <c r="I246" s="4">
        <v>1</v>
      </c>
      <c r="J246" s="4">
        <v>13</v>
      </c>
      <c r="K246" s="4" t="b">
        <f>IF(Append1[[#This Row],[days]]="working day",FALSE,TRUE)</f>
        <v>0</v>
      </c>
      <c r="L246" s="4">
        <v>2</v>
      </c>
      <c r="M246" s="4">
        <v>2</v>
      </c>
      <c r="N246" s="6">
        <v>0.2</v>
      </c>
      <c r="O246" s="2" t="str">
        <f>IF(Append1[[#This Row],[weekday]]=0,"holiday",IF(AND(Append1[[#This Row],[weekday]]&gt;1,Append1[[#This Row],[weekday]]&lt;7),"working day","weekend"))</f>
        <v>working day</v>
      </c>
      <c r="P246" s="4" t="str">
        <f>IF(Append1[[#This Row],[weathersit]]=0,"sunny",IF(Append1[[#This Row],[weathersit]]=1,"mist",IF(Append1[[#This Row],[weathersit]]=2,"lightrain","extremerain")))</f>
        <v>lightrain</v>
      </c>
    </row>
    <row r="247" spans="1:16" x14ac:dyDescent="0.25">
      <c r="A247" s="4">
        <v>246</v>
      </c>
      <c r="B247" s="4">
        <v>0.2273</v>
      </c>
      <c r="C247" s="4">
        <v>0.59</v>
      </c>
      <c r="D247" s="4">
        <v>8.9599999999999999E-2</v>
      </c>
      <c r="E247" s="4">
        <v>3</v>
      </c>
      <c r="F247" s="4">
        <v>60</v>
      </c>
      <c r="G247" s="4">
        <v>63</v>
      </c>
      <c r="H247" s="5">
        <v>40554</v>
      </c>
      <c r="I247" s="4">
        <v>1</v>
      </c>
      <c r="J247" s="4">
        <v>14</v>
      </c>
      <c r="K247" s="4" t="b">
        <f>IF(Append1[[#This Row],[days]]="working day",FALSE,TRUE)</f>
        <v>0</v>
      </c>
      <c r="L247" s="4">
        <v>2</v>
      </c>
      <c r="M247" s="4">
        <v>2</v>
      </c>
      <c r="N247" s="6">
        <v>0.2</v>
      </c>
      <c r="O247" s="2" t="str">
        <f>IF(Append1[[#This Row],[weekday]]=0,"holiday",IF(AND(Append1[[#This Row],[weekday]]&gt;1,Append1[[#This Row],[weekday]]&lt;7),"working day","weekend"))</f>
        <v>working day</v>
      </c>
      <c r="P247" s="4" t="str">
        <f>IF(Append1[[#This Row],[weathersit]]=0,"sunny",IF(Append1[[#This Row],[weathersit]]=1,"mist",IF(Append1[[#This Row],[weathersit]]=2,"lightrain","extremerain")))</f>
        <v>lightrain</v>
      </c>
    </row>
    <row r="248" spans="1:16" x14ac:dyDescent="0.25">
      <c r="A248" s="4">
        <v>247</v>
      </c>
      <c r="B248" s="4">
        <v>0.19700000000000001</v>
      </c>
      <c r="C248" s="4">
        <v>0.8</v>
      </c>
      <c r="D248" s="4">
        <v>8.9599999999999999E-2</v>
      </c>
      <c r="E248" s="4">
        <v>2</v>
      </c>
      <c r="F248" s="4">
        <v>45</v>
      </c>
      <c r="G248" s="4">
        <v>47</v>
      </c>
      <c r="H248" s="5">
        <v>40554</v>
      </c>
      <c r="I248" s="4">
        <v>1</v>
      </c>
      <c r="J248" s="4">
        <v>15</v>
      </c>
      <c r="K248" s="4" t="b">
        <f>IF(Append1[[#This Row],[days]]="working day",FALSE,TRUE)</f>
        <v>0</v>
      </c>
      <c r="L248" s="4">
        <v>2</v>
      </c>
      <c r="M248" s="4">
        <v>2</v>
      </c>
      <c r="N248" s="6">
        <v>0.16</v>
      </c>
      <c r="O248" s="2" t="str">
        <f>IF(Append1[[#This Row],[weekday]]=0,"holiday",IF(AND(Append1[[#This Row],[weekday]]&gt;1,Append1[[#This Row],[weekday]]&lt;7),"working day","weekend"))</f>
        <v>working day</v>
      </c>
      <c r="P248" s="4" t="str">
        <f>IF(Append1[[#This Row],[weathersit]]=0,"sunny",IF(Append1[[#This Row],[weathersit]]=1,"mist",IF(Append1[[#This Row],[weathersit]]=2,"lightrain","extremerain")))</f>
        <v>lightrain</v>
      </c>
    </row>
    <row r="249" spans="1:16" x14ac:dyDescent="0.25">
      <c r="A249" s="4">
        <v>248</v>
      </c>
      <c r="B249" s="4">
        <v>0.1515</v>
      </c>
      <c r="C249" s="4">
        <v>0.86</v>
      </c>
      <c r="D249" s="4">
        <v>0.22389999999999999</v>
      </c>
      <c r="E249" s="4">
        <v>4</v>
      </c>
      <c r="F249" s="4">
        <v>72</v>
      </c>
      <c r="G249" s="4">
        <v>76</v>
      </c>
      <c r="H249" s="5">
        <v>40554</v>
      </c>
      <c r="I249" s="4">
        <v>1</v>
      </c>
      <c r="J249" s="4">
        <v>16</v>
      </c>
      <c r="K249" s="4" t="b">
        <f>IF(Append1[[#This Row],[days]]="working day",FALSE,TRUE)</f>
        <v>0</v>
      </c>
      <c r="L249" s="4">
        <v>2</v>
      </c>
      <c r="M249" s="4">
        <v>2</v>
      </c>
      <c r="N249" s="6">
        <v>0.16</v>
      </c>
      <c r="O249" s="2" t="str">
        <f>IF(Append1[[#This Row],[weekday]]=0,"holiday",IF(AND(Append1[[#This Row],[weekday]]&gt;1,Append1[[#This Row],[weekday]]&lt;7),"working day","weekend"))</f>
        <v>working day</v>
      </c>
      <c r="P249" s="4" t="str">
        <f>IF(Append1[[#This Row],[weathersit]]=0,"sunny",IF(Append1[[#This Row],[weathersit]]=1,"mist",IF(Append1[[#This Row],[weathersit]]=2,"lightrain","extremerain")))</f>
        <v>lightrain</v>
      </c>
    </row>
    <row r="250" spans="1:16" x14ac:dyDescent="0.25">
      <c r="A250" s="4">
        <v>249</v>
      </c>
      <c r="B250" s="4">
        <v>0.1515</v>
      </c>
      <c r="C250" s="4">
        <v>0.86</v>
      </c>
      <c r="D250" s="4">
        <v>0.22389999999999999</v>
      </c>
      <c r="E250" s="4">
        <v>6</v>
      </c>
      <c r="F250" s="4">
        <v>130</v>
      </c>
      <c r="G250" s="4">
        <v>136</v>
      </c>
      <c r="H250" s="5">
        <v>40554</v>
      </c>
      <c r="I250" s="4">
        <v>1</v>
      </c>
      <c r="J250" s="4">
        <v>17</v>
      </c>
      <c r="K250" s="4" t="b">
        <f>IF(Append1[[#This Row],[days]]="working day",FALSE,TRUE)</f>
        <v>0</v>
      </c>
      <c r="L250" s="4">
        <v>2</v>
      </c>
      <c r="M250" s="4">
        <v>2</v>
      </c>
      <c r="N250" s="6">
        <v>0.16</v>
      </c>
      <c r="O250" s="2" t="str">
        <f>IF(Append1[[#This Row],[weekday]]=0,"holiday",IF(AND(Append1[[#This Row],[weekday]]&gt;1,Append1[[#This Row],[weekday]]&lt;7),"working day","weekend"))</f>
        <v>working day</v>
      </c>
      <c r="P250" s="4" t="str">
        <f>IF(Append1[[#This Row],[weathersit]]=0,"sunny",IF(Append1[[#This Row],[weathersit]]=1,"mist",IF(Append1[[#This Row],[weathersit]]=2,"lightrain","extremerain")))</f>
        <v>lightrain</v>
      </c>
    </row>
    <row r="251" spans="1:16" x14ac:dyDescent="0.25">
      <c r="A251" s="4">
        <v>250</v>
      </c>
      <c r="B251" s="4">
        <v>0.18179999999999999</v>
      </c>
      <c r="C251" s="4">
        <v>0.93</v>
      </c>
      <c r="D251" s="4">
        <v>0.1045</v>
      </c>
      <c r="E251" s="4">
        <v>1</v>
      </c>
      <c r="F251" s="4">
        <v>94</v>
      </c>
      <c r="G251" s="4">
        <v>95</v>
      </c>
      <c r="H251" s="5">
        <v>40554</v>
      </c>
      <c r="I251" s="4">
        <v>1</v>
      </c>
      <c r="J251" s="4">
        <v>18</v>
      </c>
      <c r="K251" s="4" t="b">
        <f>IF(Append1[[#This Row],[days]]="working day",FALSE,TRUE)</f>
        <v>0</v>
      </c>
      <c r="L251" s="4">
        <v>2</v>
      </c>
      <c r="M251" s="4">
        <v>3</v>
      </c>
      <c r="N251" s="6">
        <v>0.16</v>
      </c>
      <c r="O251" s="2" t="str">
        <f>IF(Append1[[#This Row],[weekday]]=0,"holiday",IF(AND(Append1[[#This Row],[weekday]]&gt;1,Append1[[#This Row],[weekday]]&lt;7),"working day","weekend"))</f>
        <v>working day</v>
      </c>
      <c r="P251" s="4" t="str">
        <f>IF(Append1[[#This Row],[weathersit]]=0,"sunny",IF(Append1[[#This Row],[weathersit]]=1,"mist",IF(Append1[[#This Row],[weathersit]]=2,"lightrain","extremerain")))</f>
        <v>extremerain</v>
      </c>
    </row>
    <row r="252" spans="1:16" x14ac:dyDescent="0.25">
      <c r="A252" s="4">
        <v>251</v>
      </c>
      <c r="B252" s="4">
        <v>0.2273</v>
      </c>
      <c r="C252" s="4">
        <v>0.93</v>
      </c>
      <c r="D252" s="4">
        <v>0</v>
      </c>
      <c r="E252" s="4">
        <v>0</v>
      </c>
      <c r="F252" s="4">
        <v>51</v>
      </c>
      <c r="G252" s="4">
        <v>51</v>
      </c>
      <c r="H252" s="5">
        <v>40554</v>
      </c>
      <c r="I252" s="4">
        <v>1</v>
      </c>
      <c r="J252" s="4">
        <v>19</v>
      </c>
      <c r="K252" s="4" t="b">
        <f>IF(Append1[[#This Row],[days]]="working day",FALSE,TRUE)</f>
        <v>0</v>
      </c>
      <c r="L252" s="4">
        <v>2</v>
      </c>
      <c r="M252" s="4">
        <v>3</v>
      </c>
      <c r="N252" s="6">
        <v>0.16</v>
      </c>
      <c r="O252" s="2" t="str">
        <f>IF(Append1[[#This Row],[weekday]]=0,"holiday",IF(AND(Append1[[#This Row],[weekday]]&gt;1,Append1[[#This Row],[weekday]]&lt;7),"working day","weekend"))</f>
        <v>working day</v>
      </c>
      <c r="P252" s="4" t="str">
        <f>IF(Append1[[#This Row],[weathersit]]=0,"sunny",IF(Append1[[#This Row],[weathersit]]=1,"mist",IF(Append1[[#This Row],[weathersit]]=2,"lightrain","extremerain")))</f>
        <v>extremerain</v>
      </c>
    </row>
    <row r="253" spans="1:16" x14ac:dyDescent="0.25">
      <c r="A253" s="4">
        <v>252</v>
      </c>
      <c r="B253" s="4">
        <v>0.1515</v>
      </c>
      <c r="C253" s="4">
        <v>0.93</v>
      </c>
      <c r="D253" s="4">
        <v>0.19400000000000001</v>
      </c>
      <c r="E253" s="4">
        <v>0</v>
      </c>
      <c r="F253" s="4">
        <v>32</v>
      </c>
      <c r="G253" s="4">
        <v>32</v>
      </c>
      <c r="H253" s="5">
        <v>40554</v>
      </c>
      <c r="I253" s="4">
        <v>1</v>
      </c>
      <c r="J253" s="4">
        <v>20</v>
      </c>
      <c r="K253" s="4" t="b">
        <f>IF(Append1[[#This Row],[days]]="working day",FALSE,TRUE)</f>
        <v>0</v>
      </c>
      <c r="L253" s="4">
        <v>2</v>
      </c>
      <c r="M253" s="4">
        <v>3</v>
      </c>
      <c r="N253" s="6">
        <v>0.16</v>
      </c>
      <c r="O253" s="2" t="str">
        <f>IF(Append1[[#This Row],[weekday]]=0,"holiday",IF(AND(Append1[[#This Row],[weekday]]&gt;1,Append1[[#This Row],[weekday]]&lt;7),"working day","weekend"))</f>
        <v>working day</v>
      </c>
      <c r="P253" s="4" t="str">
        <f>IF(Append1[[#This Row],[weathersit]]=0,"sunny",IF(Append1[[#This Row],[weathersit]]=1,"mist",IF(Append1[[#This Row],[weathersit]]=2,"lightrain","extremerain")))</f>
        <v>extremerain</v>
      </c>
    </row>
    <row r="254" spans="1:16" x14ac:dyDescent="0.25">
      <c r="A254" s="4">
        <v>253</v>
      </c>
      <c r="B254" s="4">
        <v>0.19700000000000001</v>
      </c>
      <c r="C254" s="4">
        <v>0.86</v>
      </c>
      <c r="D254" s="4">
        <v>8.9599999999999999E-2</v>
      </c>
      <c r="E254" s="4">
        <v>0</v>
      </c>
      <c r="F254" s="4">
        <v>20</v>
      </c>
      <c r="G254" s="4">
        <v>20</v>
      </c>
      <c r="H254" s="5">
        <v>40554</v>
      </c>
      <c r="I254" s="4">
        <v>1</v>
      </c>
      <c r="J254" s="4">
        <v>21</v>
      </c>
      <c r="K254" s="4" t="b">
        <f>IF(Append1[[#This Row],[days]]="working day",FALSE,TRUE)</f>
        <v>0</v>
      </c>
      <c r="L254" s="4">
        <v>2</v>
      </c>
      <c r="M254" s="4">
        <v>3</v>
      </c>
      <c r="N254" s="6">
        <v>0.16</v>
      </c>
      <c r="O254" s="2" t="str">
        <f>IF(Append1[[#This Row],[weekday]]=0,"holiday",IF(AND(Append1[[#This Row],[weekday]]&gt;1,Append1[[#This Row],[weekday]]&lt;7),"working day","weekend"))</f>
        <v>working day</v>
      </c>
      <c r="P254" s="4" t="str">
        <f>IF(Append1[[#This Row],[weathersit]]=0,"sunny",IF(Append1[[#This Row],[weathersit]]=1,"mist",IF(Append1[[#This Row],[weathersit]]=2,"lightrain","extremerain")))</f>
        <v>extremerain</v>
      </c>
    </row>
    <row r="255" spans="1:16" x14ac:dyDescent="0.25">
      <c r="A255" s="4">
        <v>254</v>
      </c>
      <c r="B255" s="4">
        <v>0.18179999999999999</v>
      </c>
      <c r="C255" s="4">
        <v>0.93</v>
      </c>
      <c r="D255" s="4">
        <v>0.1045</v>
      </c>
      <c r="E255" s="4">
        <v>1</v>
      </c>
      <c r="F255" s="4">
        <v>28</v>
      </c>
      <c r="G255" s="4">
        <v>29</v>
      </c>
      <c r="H255" s="5">
        <v>40554</v>
      </c>
      <c r="I255" s="4">
        <v>1</v>
      </c>
      <c r="J255" s="4">
        <v>22</v>
      </c>
      <c r="K255" s="4" t="b">
        <f>IF(Append1[[#This Row],[days]]="working day",FALSE,TRUE)</f>
        <v>0</v>
      </c>
      <c r="L255" s="4">
        <v>2</v>
      </c>
      <c r="M255" s="4">
        <v>3</v>
      </c>
      <c r="N255" s="6">
        <v>0.16</v>
      </c>
      <c r="O255" s="2" t="str">
        <f>IF(Append1[[#This Row],[weekday]]=0,"holiday",IF(AND(Append1[[#This Row],[weekday]]&gt;1,Append1[[#This Row],[weekday]]&lt;7),"working day","weekend"))</f>
        <v>working day</v>
      </c>
      <c r="P255" s="4" t="str">
        <f>IF(Append1[[#This Row],[weathersit]]=0,"sunny",IF(Append1[[#This Row],[weathersit]]=1,"mist",IF(Append1[[#This Row],[weathersit]]=2,"lightrain","extremerain")))</f>
        <v>extremerain</v>
      </c>
    </row>
    <row r="256" spans="1:16" x14ac:dyDescent="0.25">
      <c r="A256" s="4">
        <v>255</v>
      </c>
      <c r="B256" s="4">
        <v>0.19700000000000001</v>
      </c>
      <c r="C256" s="4">
        <v>0.93</v>
      </c>
      <c r="D256" s="4">
        <v>8.9599999999999999E-2</v>
      </c>
      <c r="E256" s="4">
        <v>1</v>
      </c>
      <c r="F256" s="4">
        <v>18</v>
      </c>
      <c r="G256" s="4">
        <v>19</v>
      </c>
      <c r="H256" s="5">
        <v>40554</v>
      </c>
      <c r="I256" s="4">
        <v>1</v>
      </c>
      <c r="J256" s="4">
        <v>23</v>
      </c>
      <c r="K256" s="4" t="b">
        <f>IF(Append1[[#This Row],[days]]="working day",FALSE,TRUE)</f>
        <v>0</v>
      </c>
      <c r="L256" s="4">
        <v>2</v>
      </c>
      <c r="M256" s="4">
        <v>3</v>
      </c>
      <c r="N256" s="6">
        <v>0.16</v>
      </c>
      <c r="O256" s="2" t="str">
        <f>IF(Append1[[#This Row],[weekday]]=0,"holiday",IF(AND(Append1[[#This Row],[weekday]]&gt;1,Append1[[#This Row],[weekday]]&lt;7),"working day","weekend"))</f>
        <v>working day</v>
      </c>
      <c r="P256" s="4" t="str">
        <f>IF(Append1[[#This Row],[weathersit]]=0,"sunny",IF(Append1[[#This Row],[weathersit]]=1,"mist",IF(Append1[[#This Row],[weathersit]]=2,"lightrain","extremerain")))</f>
        <v>extremerain</v>
      </c>
    </row>
    <row r="257" spans="1:16" x14ac:dyDescent="0.25">
      <c r="A257" s="4">
        <v>256</v>
      </c>
      <c r="B257" s="4">
        <v>0.19700000000000001</v>
      </c>
      <c r="C257" s="4">
        <v>0.86</v>
      </c>
      <c r="D257" s="4">
        <v>8.9599999999999999E-2</v>
      </c>
      <c r="E257" s="4">
        <v>0</v>
      </c>
      <c r="F257" s="4">
        <v>7</v>
      </c>
      <c r="G257" s="4">
        <v>7</v>
      </c>
      <c r="H257" s="5">
        <v>40555</v>
      </c>
      <c r="I257" s="4">
        <v>1</v>
      </c>
      <c r="J257" s="4">
        <v>0</v>
      </c>
      <c r="K257" s="4" t="b">
        <f>IF(Append1[[#This Row],[days]]="working day",FALSE,TRUE)</f>
        <v>0</v>
      </c>
      <c r="L257" s="4">
        <v>3</v>
      </c>
      <c r="M257" s="4">
        <v>2</v>
      </c>
      <c r="N257" s="6">
        <v>0.16</v>
      </c>
      <c r="O257" s="2" t="str">
        <f>IF(Append1[[#This Row],[weekday]]=0,"holiday",IF(AND(Append1[[#This Row],[weekday]]&gt;1,Append1[[#This Row],[weekday]]&lt;7),"working day","weekend"))</f>
        <v>working day</v>
      </c>
      <c r="P257" s="4" t="str">
        <f>IF(Append1[[#This Row],[weathersit]]=0,"sunny",IF(Append1[[#This Row],[weathersit]]=1,"mist",IF(Append1[[#This Row],[weathersit]]=2,"lightrain","extremerain")))</f>
        <v>lightrain</v>
      </c>
    </row>
    <row r="258" spans="1:16" x14ac:dyDescent="0.25">
      <c r="A258" s="4">
        <v>257</v>
      </c>
      <c r="B258" s="4">
        <v>0.18179999999999999</v>
      </c>
      <c r="C258" s="4">
        <v>0.86</v>
      </c>
      <c r="D258" s="4">
        <v>0.1045</v>
      </c>
      <c r="E258" s="4">
        <v>0</v>
      </c>
      <c r="F258" s="4">
        <v>6</v>
      </c>
      <c r="G258" s="4">
        <v>6</v>
      </c>
      <c r="H258" s="5">
        <v>40555</v>
      </c>
      <c r="I258" s="4">
        <v>1</v>
      </c>
      <c r="J258" s="4">
        <v>1</v>
      </c>
      <c r="K258" s="4" t="b">
        <f>IF(Append1[[#This Row],[days]]="working day",FALSE,TRUE)</f>
        <v>0</v>
      </c>
      <c r="L258" s="4">
        <v>3</v>
      </c>
      <c r="M258" s="4">
        <v>2</v>
      </c>
      <c r="N258" s="6">
        <v>0.16</v>
      </c>
      <c r="O258" s="2" t="str">
        <f>IF(Append1[[#This Row],[weekday]]=0,"holiday",IF(AND(Append1[[#This Row],[weekday]]&gt;1,Append1[[#This Row],[weekday]]&lt;7),"working day","weekend"))</f>
        <v>working day</v>
      </c>
      <c r="P258" s="4" t="str">
        <f>IF(Append1[[#This Row],[weathersit]]=0,"sunny",IF(Append1[[#This Row],[weathersit]]=1,"mist",IF(Append1[[#This Row],[weathersit]]=2,"lightrain","extremerain")))</f>
        <v>lightrain</v>
      </c>
    </row>
    <row r="259" spans="1:16" x14ac:dyDescent="0.25">
      <c r="A259" s="4">
        <v>258</v>
      </c>
      <c r="B259" s="4">
        <v>0.1515</v>
      </c>
      <c r="C259" s="4">
        <v>0.86</v>
      </c>
      <c r="D259" s="4">
        <v>0.1343</v>
      </c>
      <c r="E259" s="4">
        <v>0</v>
      </c>
      <c r="F259" s="4">
        <v>1</v>
      </c>
      <c r="G259" s="4">
        <v>1</v>
      </c>
      <c r="H259" s="5">
        <v>40555</v>
      </c>
      <c r="I259" s="4">
        <v>1</v>
      </c>
      <c r="J259" s="4">
        <v>2</v>
      </c>
      <c r="K259" s="4" t="b">
        <f>IF(Append1[[#This Row],[days]]="working day",FALSE,TRUE)</f>
        <v>0</v>
      </c>
      <c r="L259" s="4">
        <v>3</v>
      </c>
      <c r="M259" s="4">
        <v>1</v>
      </c>
      <c r="N259" s="6">
        <v>0.14000000000000001</v>
      </c>
      <c r="O259" s="2" t="str">
        <f>IF(Append1[[#This Row],[weekday]]=0,"holiday",IF(AND(Append1[[#This Row],[weekday]]&gt;1,Append1[[#This Row],[weekday]]&lt;7),"working day","weekend"))</f>
        <v>working day</v>
      </c>
      <c r="P259" s="4" t="str">
        <f>IF(Append1[[#This Row],[weathersit]]=0,"sunny",IF(Append1[[#This Row],[weathersit]]=1,"mist",IF(Append1[[#This Row],[weathersit]]=2,"lightrain","extremerain")))</f>
        <v>mist</v>
      </c>
    </row>
    <row r="260" spans="1:16" x14ac:dyDescent="0.25">
      <c r="A260" s="4">
        <v>259</v>
      </c>
      <c r="B260" s="4">
        <v>0.1515</v>
      </c>
      <c r="C260" s="4">
        <v>0.86</v>
      </c>
      <c r="D260" s="4">
        <v>0.16420000000000001</v>
      </c>
      <c r="E260" s="4">
        <v>0</v>
      </c>
      <c r="F260" s="4">
        <v>5</v>
      </c>
      <c r="G260" s="4">
        <v>5</v>
      </c>
      <c r="H260" s="5">
        <v>40555</v>
      </c>
      <c r="I260" s="4">
        <v>1</v>
      </c>
      <c r="J260" s="4">
        <v>5</v>
      </c>
      <c r="K260" s="4" t="b">
        <f>IF(Append1[[#This Row],[days]]="working day",FALSE,TRUE)</f>
        <v>0</v>
      </c>
      <c r="L260" s="4">
        <v>3</v>
      </c>
      <c r="M260" s="4">
        <v>1</v>
      </c>
      <c r="N260" s="6">
        <v>0.14000000000000001</v>
      </c>
      <c r="O260" s="2" t="str">
        <f>IF(Append1[[#This Row],[weekday]]=0,"holiday",IF(AND(Append1[[#This Row],[weekday]]&gt;1,Append1[[#This Row],[weekday]]&lt;7),"working day","weekend"))</f>
        <v>working day</v>
      </c>
      <c r="P260" s="4" t="str">
        <f>IF(Append1[[#This Row],[weathersit]]=0,"sunny",IF(Append1[[#This Row],[weathersit]]=1,"mist",IF(Append1[[#This Row],[weathersit]]=2,"lightrain","extremerain")))</f>
        <v>mist</v>
      </c>
    </row>
    <row r="261" spans="1:16" x14ac:dyDescent="0.25">
      <c r="A261" s="4">
        <v>260</v>
      </c>
      <c r="B261" s="4">
        <v>0.1515</v>
      </c>
      <c r="C261" s="4">
        <v>0.93</v>
      </c>
      <c r="D261" s="4">
        <v>0.1343</v>
      </c>
      <c r="E261" s="4">
        <v>0</v>
      </c>
      <c r="F261" s="4">
        <v>16</v>
      </c>
      <c r="G261" s="4">
        <v>16</v>
      </c>
      <c r="H261" s="5">
        <v>40555</v>
      </c>
      <c r="I261" s="4">
        <v>1</v>
      </c>
      <c r="J261" s="4">
        <v>6</v>
      </c>
      <c r="K261" s="4" t="b">
        <f>IF(Append1[[#This Row],[days]]="working day",FALSE,TRUE)</f>
        <v>0</v>
      </c>
      <c r="L261" s="4">
        <v>3</v>
      </c>
      <c r="M261" s="4">
        <v>1</v>
      </c>
      <c r="N261" s="6">
        <v>0.12</v>
      </c>
      <c r="O261" s="2" t="str">
        <f>IF(Append1[[#This Row],[weekday]]=0,"holiday",IF(AND(Append1[[#This Row],[weekday]]&gt;1,Append1[[#This Row],[weekday]]&lt;7),"working day","weekend"))</f>
        <v>working day</v>
      </c>
      <c r="P261" s="4" t="str">
        <f>IF(Append1[[#This Row],[weathersit]]=0,"sunny",IF(Append1[[#This Row],[weathersit]]=1,"mist",IF(Append1[[#This Row],[weathersit]]=2,"lightrain","extremerain")))</f>
        <v>mist</v>
      </c>
    </row>
    <row r="262" spans="1:16" x14ac:dyDescent="0.25">
      <c r="A262" s="4">
        <v>261</v>
      </c>
      <c r="B262" s="4">
        <v>0.1515</v>
      </c>
      <c r="C262" s="4">
        <v>0.69</v>
      </c>
      <c r="D262" s="4">
        <v>0.1343</v>
      </c>
      <c r="E262" s="4">
        <v>0</v>
      </c>
      <c r="F262" s="4">
        <v>54</v>
      </c>
      <c r="G262" s="4">
        <v>54</v>
      </c>
      <c r="H262" s="5">
        <v>40555</v>
      </c>
      <c r="I262" s="4">
        <v>1</v>
      </c>
      <c r="J262" s="4">
        <v>7</v>
      </c>
      <c r="K262" s="4" t="b">
        <f>IF(Append1[[#This Row],[days]]="working day",FALSE,TRUE)</f>
        <v>0</v>
      </c>
      <c r="L262" s="4">
        <v>3</v>
      </c>
      <c r="M262" s="4">
        <v>1</v>
      </c>
      <c r="N262" s="6">
        <v>0.14000000000000001</v>
      </c>
      <c r="O262" s="2" t="str">
        <f>IF(Append1[[#This Row],[weekday]]=0,"holiday",IF(AND(Append1[[#This Row],[weekday]]&gt;1,Append1[[#This Row],[weekday]]&lt;7),"working day","weekend"))</f>
        <v>working day</v>
      </c>
      <c r="P262" s="4" t="str">
        <f>IF(Append1[[#This Row],[weathersit]]=0,"sunny",IF(Append1[[#This Row],[weathersit]]=1,"mist",IF(Append1[[#This Row],[weathersit]]=2,"lightrain","extremerain")))</f>
        <v>mist</v>
      </c>
    </row>
    <row r="263" spans="1:16" x14ac:dyDescent="0.25">
      <c r="A263" s="4">
        <v>262</v>
      </c>
      <c r="B263" s="4">
        <v>0.16669999999999999</v>
      </c>
      <c r="C263" s="4">
        <v>0.59</v>
      </c>
      <c r="D263" s="4">
        <v>0.16420000000000001</v>
      </c>
      <c r="E263" s="4">
        <v>3</v>
      </c>
      <c r="F263" s="4">
        <v>125</v>
      </c>
      <c r="G263" s="4">
        <v>128</v>
      </c>
      <c r="H263" s="5">
        <v>40555</v>
      </c>
      <c r="I263" s="4">
        <v>1</v>
      </c>
      <c r="J263" s="4">
        <v>8</v>
      </c>
      <c r="K263" s="4" t="b">
        <f>IF(Append1[[#This Row],[days]]="working day",FALSE,TRUE)</f>
        <v>0</v>
      </c>
      <c r="L263" s="4">
        <v>3</v>
      </c>
      <c r="M263" s="4">
        <v>1</v>
      </c>
      <c r="N263" s="6">
        <v>0.16</v>
      </c>
      <c r="O263" s="2" t="str">
        <f>IF(Append1[[#This Row],[weekday]]=0,"holiday",IF(AND(Append1[[#This Row],[weekday]]&gt;1,Append1[[#This Row],[weekday]]&lt;7),"working day","weekend"))</f>
        <v>working day</v>
      </c>
      <c r="P263" s="4" t="str">
        <f>IF(Append1[[#This Row],[weathersit]]=0,"sunny",IF(Append1[[#This Row],[weathersit]]=1,"mist",IF(Append1[[#This Row],[weathersit]]=2,"lightrain","extremerain")))</f>
        <v>mist</v>
      </c>
    </row>
    <row r="264" spans="1:16" x14ac:dyDescent="0.25">
      <c r="A264" s="4">
        <v>263</v>
      </c>
      <c r="B264" s="4">
        <v>0.13639999999999999</v>
      </c>
      <c r="C264" s="4">
        <v>0.59</v>
      </c>
      <c r="D264" s="4">
        <v>0.32840000000000003</v>
      </c>
      <c r="E264" s="4">
        <v>3</v>
      </c>
      <c r="F264" s="4">
        <v>78</v>
      </c>
      <c r="G264" s="4">
        <v>81</v>
      </c>
      <c r="H264" s="5">
        <v>40555</v>
      </c>
      <c r="I264" s="4">
        <v>1</v>
      </c>
      <c r="J264" s="4">
        <v>9</v>
      </c>
      <c r="K264" s="4" t="b">
        <f>IF(Append1[[#This Row],[days]]="working day",FALSE,TRUE)</f>
        <v>0</v>
      </c>
      <c r="L264" s="4">
        <v>3</v>
      </c>
      <c r="M264" s="4">
        <v>1</v>
      </c>
      <c r="N264" s="6">
        <v>0.16</v>
      </c>
      <c r="O264" s="2" t="str">
        <f>IF(Append1[[#This Row],[weekday]]=0,"holiday",IF(AND(Append1[[#This Row],[weekday]]&gt;1,Append1[[#This Row],[weekday]]&lt;7),"working day","weekend"))</f>
        <v>working day</v>
      </c>
      <c r="P264" s="4" t="str">
        <f>IF(Append1[[#This Row],[weathersit]]=0,"sunny",IF(Append1[[#This Row],[weathersit]]=1,"mist",IF(Append1[[#This Row],[weathersit]]=2,"lightrain","extremerain")))</f>
        <v>mist</v>
      </c>
    </row>
    <row r="265" spans="1:16" x14ac:dyDescent="0.25">
      <c r="A265" s="4">
        <v>264</v>
      </c>
      <c r="B265" s="4">
        <v>0.18179999999999999</v>
      </c>
      <c r="C265" s="4">
        <v>0.55000000000000004</v>
      </c>
      <c r="D265" s="4">
        <v>0.22389999999999999</v>
      </c>
      <c r="E265" s="4">
        <v>0</v>
      </c>
      <c r="F265" s="4">
        <v>39</v>
      </c>
      <c r="G265" s="4">
        <v>39</v>
      </c>
      <c r="H265" s="5">
        <v>40555</v>
      </c>
      <c r="I265" s="4">
        <v>1</v>
      </c>
      <c r="J265" s="4">
        <v>10</v>
      </c>
      <c r="K265" s="4" t="b">
        <f>IF(Append1[[#This Row],[days]]="working day",FALSE,TRUE)</f>
        <v>0</v>
      </c>
      <c r="L265" s="4">
        <v>3</v>
      </c>
      <c r="M265" s="4">
        <v>1</v>
      </c>
      <c r="N265" s="6">
        <v>0.18</v>
      </c>
      <c r="O265" s="2" t="str">
        <f>IF(Append1[[#This Row],[weekday]]=0,"holiday",IF(AND(Append1[[#This Row],[weekday]]&gt;1,Append1[[#This Row],[weekday]]&lt;7),"working day","weekend"))</f>
        <v>working day</v>
      </c>
      <c r="P265" s="4" t="str">
        <f>IF(Append1[[#This Row],[weathersit]]=0,"sunny",IF(Append1[[#This Row],[weathersit]]=1,"mist",IF(Append1[[#This Row],[weathersit]]=2,"lightrain","extremerain")))</f>
        <v>mist</v>
      </c>
    </row>
    <row r="266" spans="1:16" x14ac:dyDescent="0.25">
      <c r="A266" s="4">
        <v>265</v>
      </c>
      <c r="B266" s="4">
        <v>0.18179999999999999</v>
      </c>
      <c r="C266" s="4">
        <v>0.51</v>
      </c>
      <c r="D266" s="4">
        <v>0.3881</v>
      </c>
      <c r="E266" s="4">
        <v>3</v>
      </c>
      <c r="F266" s="4">
        <v>32</v>
      </c>
      <c r="G266" s="4">
        <v>35</v>
      </c>
      <c r="H266" s="5">
        <v>40555</v>
      </c>
      <c r="I266" s="4">
        <v>1</v>
      </c>
      <c r="J266" s="4">
        <v>11</v>
      </c>
      <c r="K266" s="4" t="b">
        <f>IF(Append1[[#This Row],[days]]="working day",FALSE,TRUE)</f>
        <v>0</v>
      </c>
      <c r="L266" s="4">
        <v>3</v>
      </c>
      <c r="M266" s="4">
        <v>1</v>
      </c>
      <c r="N266" s="6">
        <v>0.2</v>
      </c>
      <c r="O266" s="2" t="str">
        <f>IF(Append1[[#This Row],[weekday]]=0,"holiday",IF(AND(Append1[[#This Row],[weekday]]&gt;1,Append1[[#This Row],[weekday]]&lt;7),"working day","weekend"))</f>
        <v>working day</v>
      </c>
      <c r="P266" s="4" t="str">
        <f>IF(Append1[[#This Row],[weathersit]]=0,"sunny",IF(Append1[[#This Row],[weathersit]]=1,"mist",IF(Append1[[#This Row],[weathersit]]=2,"lightrain","extremerain")))</f>
        <v>mist</v>
      </c>
    </row>
    <row r="267" spans="1:16" x14ac:dyDescent="0.25">
      <c r="A267" s="4">
        <v>266</v>
      </c>
      <c r="B267" s="4">
        <v>0.1515</v>
      </c>
      <c r="C267" s="4">
        <v>0.47</v>
      </c>
      <c r="D267" s="4">
        <v>0.58209999999999995</v>
      </c>
      <c r="E267" s="4">
        <v>3</v>
      </c>
      <c r="F267" s="4">
        <v>52</v>
      </c>
      <c r="G267" s="4">
        <v>55</v>
      </c>
      <c r="H267" s="5">
        <v>40555</v>
      </c>
      <c r="I267" s="4">
        <v>1</v>
      </c>
      <c r="J267" s="4">
        <v>12</v>
      </c>
      <c r="K267" s="4" t="b">
        <f>IF(Append1[[#This Row],[days]]="working day",FALSE,TRUE)</f>
        <v>0</v>
      </c>
      <c r="L267" s="4">
        <v>3</v>
      </c>
      <c r="M267" s="4">
        <v>1</v>
      </c>
      <c r="N267" s="6">
        <v>0.2</v>
      </c>
      <c r="O267" s="2" t="str">
        <f>IF(Append1[[#This Row],[weekday]]=0,"holiday",IF(AND(Append1[[#This Row],[weekday]]&gt;1,Append1[[#This Row],[weekday]]&lt;7),"working day","weekend"))</f>
        <v>working day</v>
      </c>
      <c r="P267" s="4" t="str">
        <f>IF(Append1[[#This Row],[weathersit]]=0,"sunny",IF(Append1[[#This Row],[weathersit]]=1,"mist",IF(Append1[[#This Row],[weathersit]]=2,"lightrain","extremerain")))</f>
        <v>mist</v>
      </c>
    </row>
    <row r="268" spans="1:16" x14ac:dyDescent="0.25">
      <c r="A268" s="4">
        <v>267</v>
      </c>
      <c r="B268" s="4">
        <v>0.19700000000000001</v>
      </c>
      <c r="C268" s="4">
        <v>0.44</v>
      </c>
      <c r="D268" s="4">
        <v>0.35820000000000002</v>
      </c>
      <c r="E268" s="4">
        <v>0</v>
      </c>
      <c r="F268" s="4">
        <v>49</v>
      </c>
      <c r="G268" s="4">
        <v>49</v>
      </c>
      <c r="H268" s="5">
        <v>40555</v>
      </c>
      <c r="I268" s="4">
        <v>1</v>
      </c>
      <c r="J268" s="4">
        <v>13</v>
      </c>
      <c r="K268" s="4" t="b">
        <f>IF(Append1[[#This Row],[days]]="working day",FALSE,TRUE)</f>
        <v>0</v>
      </c>
      <c r="L268" s="4">
        <v>3</v>
      </c>
      <c r="M268" s="4">
        <v>1</v>
      </c>
      <c r="N268" s="6">
        <v>0.22</v>
      </c>
      <c r="O268" s="2" t="str">
        <f>IF(Append1[[#This Row],[weekday]]=0,"holiday",IF(AND(Append1[[#This Row],[weekday]]&gt;1,Append1[[#This Row],[weekday]]&lt;7),"working day","weekend"))</f>
        <v>working day</v>
      </c>
      <c r="P268" s="4" t="str">
        <f>IF(Append1[[#This Row],[weathersit]]=0,"sunny",IF(Append1[[#This Row],[weathersit]]=1,"mist",IF(Append1[[#This Row],[weathersit]]=2,"lightrain","extremerain")))</f>
        <v>mist</v>
      </c>
    </row>
    <row r="269" spans="1:16" x14ac:dyDescent="0.25">
      <c r="A269" s="4">
        <v>268</v>
      </c>
      <c r="B269" s="4">
        <v>0.18179999999999999</v>
      </c>
      <c r="C269" s="4">
        <v>0.47</v>
      </c>
      <c r="D269" s="4">
        <v>0.32840000000000003</v>
      </c>
      <c r="E269" s="4">
        <v>0</v>
      </c>
      <c r="F269" s="4">
        <v>44</v>
      </c>
      <c r="G269" s="4">
        <v>44</v>
      </c>
      <c r="H269" s="5">
        <v>40555</v>
      </c>
      <c r="I269" s="4">
        <v>1</v>
      </c>
      <c r="J269" s="4">
        <v>14</v>
      </c>
      <c r="K269" s="4" t="b">
        <f>IF(Append1[[#This Row],[days]]="working day",FALSE,TRUE)</f>
        <v>0</v>
      </c>
      <c r="L269" s="4">
        <v>3</v>
      </c>
      <c r="M269" s="4">
        <v>1</v>
      </c>
      <c r="N269" s="6">
        <v>0.2</v>
      </c>
      <c r="O269" s="2" t="str">
        <f>IF(Append1[[#This Row],[weekday]]=0,"holiday",IF(AND(Append1[[#This Row],[weekday]]&gt;1,Append1[[#This Row],[weekday]]&lt;7),"working day","weekend"))</f>
        <v>working day</v>
      </c>
      <c r="P269" s="4" t="str">
        <f>IF(Append1[[#This Row],[weathersit]]=0,"sunny",IF(Append1[[#This Row],[weathersit]]=1,"mist",IF(Append1[[#This Row],[weathersit]]=2,"lightrain","extremerain")))</f>
        <v>mist</v>
      </c>
    </row>
    <row r="270" spans="1:16" x14ac:dyDescent="0.25">
      <c r="A270" s="4">
        <v>269</v>
      </c>
      <c r="B270" s="4">
        <v>0.16669999999999999</v>
      </c>
      <c r="C270" s="4">
        <v>0.47</v>
      </c>
      <c r="D270" s="4">
        <v>0.41789999999999999</v>
      </c>
      <c r="E270" s="4">
        <v>1</v>
      </c>
      <c r="F270" s="4">
        <v>48</v>
      </c>
      <c r="G270" s="4">
        <v>49</v>
      </c>
      <c r="H270" s="5">
        <v>40555</v>
      </c>
      <c r="I270" s="4">
        <v>1</v>
      </c>
      <c r="J270" s="4">
        <v>15</v>
      </c>
      <c r="K270" s="4" t="b">
        <f>IF(Append1[[#This Row],[days]]="working day",FALSE,TRUE)</f>
        <v>0</v>
      </c>
      <c r="L270" s="4">
        <v>3</v>
      </c>
      <c r="M270" s="4">
        <v>1</v>
      </c>
      <c r="N270" s="6">
        <v>0.2</v>
      </c>
      <c r="O270" s="2" t="str">
        <f>IF(Append1[[#This Row],[weekday]]=0,"holiday",IF(AND(Append1[[#This Row],[weekday]]&gt;1,Append1[[#This Row],[weekday]]&lt;7),"working day","weekend"))</f>
        <v>working day</v>
      </c>
      <c r="P270" s="4" t="str">
        <f>IF(Append1[[#This Row],[weathersit]]=0,"sunny",IF(Append1[[#This Row],[weathersit]]=1,"mist",IF(Append1[[#This Row],[weathersit]]=2,"lightrain","extremerain")))</f>
        <v>mist</v>
      </c>
    </row>
    <row r="271" spans="1:16" x14ac:dyDescent="0.25">
      <c r="A271" s="4">
        <v>270</v>
      </c>
      <c r="B271" s="4">
        <v>0.19700000000000001</v>
      </c>
      <c r="C271" s="4">
        <v>0.44</v>
      </c>
      <c r="D271" s="4">
        <v>0.32840000000000003</v>
      </c>
      <c r="E271" s="4">
        <v>5</v>
      </c>
      <c r="F271" s="4">
        <v>63</v>
      </c>
      <c r="G271" s="4">
        <v>68</v>
      </c>
      <c r="H271" s="5">
        <v>40555</v>
      </c>
      <c r="I271" s="4">
        <v>1</v>
      </c>
      <c r="J271" s="4">
        <v>16</v>
      </c>
      <c r="K271" s="4" t="b">
        <f>IF(Append1[[#This Row],[days]]="working day",FALSE,TRUE)</f>
        <v>0</v>
      </c>
      <c r="L271" s="4">
        <v>3</v>
      </c>
      <c r="M271" s="4">
        <v>1</v>
      </c>
      <c r="N271" s="6">
        <v>0.22</v>
      </c>
      <c r="O271" s="2" t="str">
        <f>IF(Append1[[#This Row],[weekday]]=0,"holiday",IF(AND(Append1[[#This Row],[weekday]]&gt;1,Append1[[#This Row],[weekday]]&lt;7),"working day","weekend"))</f>
        <v>working day</v>
      </c>
      <c r="P271" s="4" t="str">
        <f>IF(Append1[[#This Row],[weathersit]]=0,"sunny",IF(Append1[[#This Row],[weathersit]]=1,"mist",IF(Append1[[#This Row],[weathersit]]=2,"lightrain","extremerain")))</f>
        <v>mist</v>
      </c>
    </row>
    <row r="272" spans="1:16" x14ac:dyDescent="0.25">
      <c r="A272" s="4">
        <v>271</v>
      </c>
      <c r="B272" s="4">
        <v>0.18179999999999999</v>
      </c>
      <c r="C272" s="4">
        <v>0.47</v>
      </c>
      <c r="D272" s="4">
        <v>0.35820000000000002</v>
      </c>
      <c r="E272" s="4">
        <v>0</v>
      </c>
      <c r="F272" s="4">
        <v>139</v>
      </c>
      <c r="G272" s="4">
        <v>139</v>
      </c>
      <c r="H272" s="5">
        <v>40555</v>
      </c>
      <c r="I272" s="4">
        <v>1</v>
      </c>
      <c r="J272" s="4">
        <v>17</v>
      </c>
      <c r="K272" s="4" t="b">
        <f>IF(Append1[[#This Row],[days]]="working day",FALSE,TRUE)</f>
        <v>0</v>
      </c>
      <c r="L272" s="4">
        <v>3</v>
      </c>
      <c r="M272" s="4">
        <v>1</v>
      </c>
      <c r="N272" s="6">
        <v>0.2</v>
      </c>
      <c r="O272" s="2" t="str">
        <f>IF(Append1[[#This Row],[weekday]]=0,"holiday",IF(AND(Append1[[#This Row],[weekday]]&gt;1,Append1[[#This Row],[weekday]]&lt;7),"working day","weekend"))</f>
        <v>working day</v>
      </c>
      <c r="P272" s="4" t="str">
        <f>IF(Append1[[#This Row],[weathersit]]=0,"sunny",IF(Append1[[#This Row],[weathersit]]=1,"mist",IF(Append1[[#This Row],[weathersit]]=2,"lightrain","extremerain")))</f>
        <v>mist</v>
      </c>
    </row>
    <row r="273" spans="1:16" x14ac:dyDescent="0.25">
      <c r="A273" s="4">
        <v>272</v>
      </c>
      <c r="B273" s="4">
        <v>0.1515</v>
      </c>
      <c r="C273" s="4">
        <v>0.47</v>
      </c>
      <c r="D273" s="4">
        <v>0.52239999999999998</v>
      </c>
      <c r="E273" s="4">
        <v>2</v>
      </c>
      <c r="F273" s="4">
        <v>135</v>
      </c>
      <c r="G273" s="4">
        <v>137</v>
      </c>
      <c r="H273" s="5">
        <v>40555</v>
      </c>
      <c r="I273" s="4">
        <v>1</v>
      </c>
      <c r="J273" s="4">
        <v>18</v>
      </c>
      <c r="K273" s="4" t="b">
        <f>IF(Append1[[#This Row],[days]]="working day",FALSE,TRUE)</f>
        <v>0</v>
      </c>
      <c r="L273" s="4">
        <v>3</v>
      </c>
      <c r="M273" s="4">
        <v>1</v>
      </c>
      <c r="N273" s="6">
        <v>0.2</v>
      </c>
      <c r="O273" s="2" t="str">
        <f>IF(Append1[[#This Row],[weekday]]=0,"holiday",IF(AND(Append1[[#This Row],[weekday]]&gt;1,Append1[[#This Row],[weekday]]&lt;7),"working day","weekend"))</f>
        <v>working day</v>
      </c>
      <c r="P273" s="4" t="str">
        <f>IF(Append1[[#This Row],[weathersit]]=0,"sunny",IF(Append1[[#This Row],[weathersit]]=1,"mist",IF(Append1[[#This Row],[weathersit]]=2,"lightrain","extremerain")))</f>
        <v>mist</v>
      </c>
    </row>
    <row r="274" spans="1:16" x14ac:dyDescent="0.25">
      <c r="A274" s="4">
        <v>273</v>
      </c>
      <c r="B274" s="4">
        <v>0.1515</v>
      </c>
      <c r="C274" s="4">
        <v>0.47</v>
      </c>
      <c r="D274" s="4">
        <v>0.41789999999999999</v>
      </c>
      <c r="E274" s="4">
        <v>1</v>
      </c>
      <c r="F274" s="4">
        <v>82</v>
      </c>
      <c r="G274" s="4">
        <v>83</v>
      </c>
      <c r="H274" s="5">
        <v>40555</v>
      </c>
      <c r="I274" s="4">
        <v>1</v>
      </c>
      <c r="J274" s="4">
        <v>19</v>
      </c>
      <c r="K274" s="4" t="b">
        <f>IF(Append1[[#This Row],[days]]="working day",FALSE,TRUE)</f>
        <v>0</v>
      </c>
      <c r="L274" s="4">
        <v>3</v>
      </c>
      <c r="M274" s="4">
        <v>1</v>
      </c>
      <c r="N274" s="6">
        <v>0.18</v>
      </c>
      <c r="O274" s="2" t="str">
        <f>IF(Append1[[#This Row],[weekday]]=0,"holiday",IF(AND(Append1[[#This Row],[weekday]]&gt;1,Append1[[#This Row],[weekday]]&lt;7),"working day","weekend"))</f>
        <v>working day</v>
      </c>
      <c r="P274" s="4" t="str">
        <f>IF(Append1[[#This Row],[weathersit]]=0,"sunny",IF(Append1[[#This Row],[weathersit]]=1,"mist",IF(Append1[[#This Row],[weathersit]]=2,"lightrain","extremerain")))</f>
        <v>mist</v>
      </c>
    </row>
    <row r="275" spans="1:16" x14ac:dyDescent="0.25">
      <c r="A275" s="4">
        <v>274</v>
      </c>
      <c r="B275" s="4">
        <v>0.13639999999999999</v>
      </c>
      <c r="C275" s="4">
        <v>0.5</v>
      </c>
      <c r="D275" s="4">
        <v>0.32840000000000003</v>
      </c>
      <c r="E275" s="4">
        <v>2</v>
      </c>
      <c r="F275" s="4">
        <v>54</v>
      </c>
      <c r="G275" s="4">
        <v>56</v>
      </c>
      <c r="H275" s="5">
        <v>40555</v>
      </c>
      <c r="I275" s="4">
        <v>1</v>
      </c>
      <c r="J275" s="4">
        <v>20</v>
      </c>
      <c r="K275" s="4" t="b">
        <f>IF(Append1[[#This Row],[days]]="working day",FALSE,TRUE)</f>
        <v>0</v>
      </c>
      <c r="L275" s="4">
        <v>3</v>
      </c>
      <c r="M275" s="4">
        <v>1</v>
      </c>
      <c r="N275" s="6">
        <v>0.16</v>
      </c>
      <c r="O275" s="2" t="str">
        <f>IF(Append1[[#This Row],[weekday]]=0,"holiday",IF(AND(Append1[[#This Row],[weekday]]&gt;1,Append1[[#This Row],[weekday]]&lt;7),"working day","weekend"))</f>
        <v>working day</v>
      </c>
      <c r="P275" s="4" t="str">
        <f>IF(Append1[[#This Row],[weathersit]]=0,"sunny",IF(Append1[[#This Row],[weathersit]]=1,"mist",IF(Append1[[#This Row],[weathersit]]=2,"lightrain","extremerain")))</f>
        <v>mist</v>
      </c>
    </row>
    <row r="276" spans="1:16" x14ac:dyDescent="0.25">
      <c r="A276" s="4">
        <v>275</v>
      </c>
      <c r="B276" s="4">
        <v>0.13639999999999999</v>
      </c>
      <c r="C276" s="4">
        <v>0.55000000000000004</v>
      </c>
      <c r="D276" s="4">
        <v>0.32840000000000003</v>
      </c>
      <c r="E276" s="4">
        <v>0</v>
      </c>
      <c r="F276" s="4">
        <v>57</v>
      </c>
      <c r="G276" s="4">
        <v>57</v>
      </c>
      <c r="H276" s="5">
        <v>40555</v>
      </c>
      <c r="I276" s="4">
        <v>1</v>
      </c>
      <c r="J276" s="4">
        <v>21</v>
      </c>
      <c r="K276" s="4" t="b">
        <f>IF(Append1[[#This Row],[days]]="working day",FALSE,TRUE)</f>
        <v>0</v>
      </c>
      <c r="L276" s="4">
        <v>3</v>
      </c>
      <c r="M276" s="4">
        <v>1</v>
      </c>
      <c r="N276" s="6">
        <v>0.16</v>
      </c>
      <c r="O276" s="2" t="str">
        <f>IF(Append1[[#This Row],[weekday]]=0,"holiday",IF(AND(Append1[[#This Row],[weekday]]&gt;1,Append1[[#This Row],[weekday]]&lt;7),"working day","weekend"))</f>
        <v>working day</v>
      </c>
      <c r="P276" s="4" t="str">
        <f>IF(Append1[[#This Row],[weathersit]]=0,"sunny",IF(Append1[[#This Row],[weathersit]]=1,"mist",IF(Append1[[#This Row],[weathersit]]=2,"lightrain","extremerain")))</f>
        <v>mist</v>
      </c>
    </row>
    <row r="277" spans="1:16" x14ac:dyDescent="0.25">
      <c r="A277" s="4">
        <v>276</v>
      </c>
      <c r="B277" s="4">
        <v>0.1212</v>
      </c>
      <c r="C277" s="4">
        <v>0.55000000000000004</v>
      </c>
      <c r="D277" s="4">
        <v>0.44779999999999998</v>
      </c>
      <c r="E277" s="4">
        <v>1</v>
      </c>
      <c r="F277" s="4">
        <v>32</v>
      </c>
      <c r="G277" s="4">
        <v>33</v>
      </c>
      <c r="H277" s="5">
        <v>40555</v>
      </c>
      <c r="I277" s="4">
        <v>1</v>
      </c>
      <c r="J277" s="4">
        <v>22</v>
      </c>
      <c r="K277" s="4" t="b">
        <f>IF(Append1[[#This Row],[days]]="working day",FALSE,TRUE)</f>
        <v>0</v>
      </c>
      <c r="L277" s="4">
        <v>3</v>
      </c>
      <c r="M277" s="4">
        <v>1</v>
      </c>
      <c r="N277" s="6">
        <v>0.16</v>
      </c>
      <c r="O277" s="2" t="str">
        <f>IF(Append1[[#This Row],[weekday]]=0,"holiday",IF(AND(Append1[[#This Row],[weekday]]&gt;1,Append1[[#This Row],[weekday]]&lt;7),"working day","weekend"))</f>
        <v>working day</v>
      </c>
      <c r="P277" s="4" t="str">
        <f>IF(Append1[[#This Row],[weathersit]]=0,"sunny",IF(Append1[[#This Row],[weathersit]]=1,"mist",IF(Append1[[#This Row],[weathersit]]=2,"lightrain","extremerain")))</f>
        <v>mist</v>
      </c>
    </row>
    <row r="278" spans="1:16" x14ac:dyDescent="0.25">
      <c r="A278" s="4">
        <v>277</v>
      </c>
      <c r="B278" s="4">
        <v>0.1061</v>
      </c>
      <c r="C278" s="4">
        <v>0.59</v>
      </c>
      <c r="D278" s="4">
        <v>0.41789999999999999</v>
      </c>
      <c r="E278" s="4">
        <v>1</v>
      </c>
      <c r="F278" s="4">
        <v>19</v>
      </c>
      <c r="G278" s="4">
        <v>20</v>
      </c>
      <c r="H278" s="5">
        <v>40555</v>
      </c>
      <c r="I278" s="4">
        <v>1</v>
      </c>
      <c r="J278" s="4">
        <v>23</v>
      </c>
      <c r="K278" s="4" t="b">
        <f>IF(Append1[[#This Row],[days]]="working day",FALSE,TRUE)</f>
        <v>0</v>
      </c>
      <c r="L278" s="4">
        <v>3</v>
      </c>
      <c r="M278" s="4">
        <v>1</v>
      </c>
      <c r="N278" s="6">
        <v>0.14000000000000001</v>
      </c>
      <c r="O278" s="2" t="str">
        <f>IF(Append1[[#This Row],[weekday]]=0,"holiday",IF(AND(Append1[[#This Row],[weekday]]&gt;1,Append1[[#This Row],[weekday]]&lt;7),"working day","weekend"))</f>
        <v>working day</v>
      </c>
      <c r="P278" s="4" t="str">
        <f>IF(Append1[[#This Row],[weathersit]]=0,"sunny",IF(Append1[[#This Row],[weathersit]]=1,"mist",IF(Append1[[#This Row],[weathersit]]=2,"lightrain","extremerain")))</f>
        <v>mist</v>
      </c>
    </row>
    <row r="279" spans="1:16" x14ac:dyDescent="0.25">
      <c r="A279" s="4">
        <v>278</v>
      </c>
      <c r="B279" s="4">
        <v>0.1212</v>
      </c>
      <c r="C279" s="4">
        <v>0.59</v>
      </c>
      <c r="D279" s="4">
        <v>0.28360000000000002</v>
      </c>
      <c r="E279" s="4">
        <v>1</v>
      </c>
      <c r="F279" s="4">
        <v>6</v>
      </c>
      <c r="G279" s="4">
        <v>7</v>
      </c>
      <c r="H279" s="5">
        <v>40556</v>
      </c>
      <c r="I279" s="4">
        <v>1</v>
      </c>
      <c r="J279" s="4">
        <v>0</v>
      </c>
      <c r="K279" s="4" t="b">
        <f>IF(Append1[[#This Row],[days]]="working day",FALSE,TRUE)</f>
        <v>0</v>
      </c>
      <c r="L279" s="4">
        <v>4</v>
      </c>
      <c r="M279" s="4">
        <v>1</v>
      </c>
      <c r="N279" s="6">
        <v>0.14000000000000001</v>
      </c>
      <c r="O279" s="2" t="str">
        <f>IF(Append1[[#This Row],[weekday]]=0,"holiday",IF(AND(Append1[[#This Row],[weekday]]&gt;1,Append1[[#This Row],[weekday]]&lt;7),"working day","weekend"))</f>
        <v>working day</v>
      </c>
      <c r="P279" s="4" t="str">
        <f>IF(Append1[[#This Row],[weathersit]]=0,"sunny",IF(Append1[[#This Row],[weathersit]]=1,"mist",IF(Append1[[#This Row],[weathersit]]=2,"lightrain","extremerain")))</f>
        <v>mist</v>
      </c>
    </row>
    <row r="280" spans="1:16" x14ac:dyDescent="0.25">
      <c r="A280" s="4">
        <v>279</v>
      </c>
      <c r="B280" s="4">
        <v>0.1212</v>
      </c>
      <c r="C280" s="4">
        <v>0.5</v>
      </c>
      <c r="D280" s="4">
        <v>0.28360000000000002</v>
      </c>
      <c r="E280" s="4">
        <v>0</v>
      </c>
      <c r="F280" s="4">
        <v>2</v>
      </c>
      <c r="G280" s="4">
        <v>2</v>
      </c>
      <c r="H280" s="5">
        <v>40556</v>
      </c>
      <c r="I280" s="4">
        <v>1</v>
      </c>
      <c r="J280" s="4">
        <v>1</v>
      </c>
      <c r="K280" s="4" t="b">
        <f>IF(Append1[[#This Row],[days]]="working day",FALSE,TRUE)</f>
        <v>0</v>
      </c>
      <c r="L280" s="4">
        <v>4</v>
      </c>
      <c r="M280" s="4">
        <v>1</v>
      </c>
      <c r="N280" s="6">
        <v>0.14000000000000001</v>
      </c>
      <c r="O280" s="2" t="str">
        <f>IF(Append1[[#This Row],[weekday]]=0,"holiday",IF(AND(Append1[[#This Row],[weekday]]&gt;1,Append1[[#This Row],[weekday]]&lt;7),"working day","weekend"))</f>
        <v>working day</v>
      </c>
      <c r="P280" s="4" t="str">
        <f>IF(Append1[[#This Row],[weathersit]]=0,"sunny",IF(Append1[[#This Row],[weathersit]]=1,"mist",IF(Append1[[#This Row],[weathersit]]=2,"lightrain","extremerain")))</f>
        <v>mist</v>
      </c>
    </row>
    <row r="281" spans="1:16" x14ac:dyDescent="0.25">
      <c r="A281" s="4">
        <v>280</v>
      </c>
      <c r="B281" s="4">
        <v>0.1212</v>
      </c>
      <c r="C281" s="4">
        <v>0.5</v>
      </c>
      <c r="D281" s="4">
        <v>0.35820000000000002</v>
      </c>
      <c r="E281" s="4">
        <v>0</v>
      </c>
      <c r="F281" s="4">
        <v>2</v>
      </c>
      <c r="G281" s="4">
        <v>2</v>
      </c>
      <c r="H281" s="5">
        <v>40556</v>
      </c>
      <c r="I281" s="4">
        <v>1</v>
      </c>
      <c r="J281" s="4">
        <v>2</v>
      </c>
      <c r="K281" s="4" t="b">
        <f>IF(Append1[[#This Row],[days]]="working day",FALSE,TRUE)</f>
        <v>0</v>
      </c>
      <c r="L281" s="4">
        <v>4</v>
      </c>
      <c r="M281" s="4">
        <v>1</v>
      </c>
      <c r="N281" s="6">
        <v>0.14000000000000001</v>
      </c>
      <c r="O281" s="2" t="str">
        <f>IF(Append1[[#This Row],[weekday]]=0,"holiday",IF(AND(Append1[[#This Row],[weekday]]&gt;1,Append1[[#This Row],[weekday]]&lt;7),"working day","weekend"))</f>
        <v>working day</v>
      </c>
      <c r="P281" s="4" t="str">
        <f>IF(Append1[[#This Row],[weathersit]]=0,"sunny",IF(Append1[[#This Row],[weathersit]]=1,"mist",IF(Append1[[#This Row],[weathersit]]=2,"lightrain","extremerain")))</f>
        <v>mist</v>
      </c>
    </row>
    <row r="282" spans="1:16" x14ac:dyDescent="0.25">
      <c r="A282" s="4">
        <v>281</v>
      </c>
      <c r="B282" s="4">
        <v>0.1212</v>
      </c>
      <c r="C282" s="4">
        <v>0.5</v>
      </c>
      <c r="D282" s="4">
        <v>0.32840000000000003</v>
      </c>
      <c r="E282" s="4">
        <v>0</v>
      </c>
      <c r="F282" s="4">
        <v>3</v>
      </c>
      <c r="G282" s="4">
        <v>3</v>
      </c>
      <c r="H282" s="5">
        <v>40556</v>
      </c>
      <c r="I282" s="4">
        <v>1</v>
      </c>
      <c r="J282" s="4">
        <v>3</v>
      </c>
      <c r="K282" s="4" t="b">
        <f>IF(Append1[[#This Row],[days]]="working day",FALSE,TRUE)</f>
        <v>0</v>
      </c>
      <c r="L282" s="4">
        <v>4</v>
      </c>
      <c r="M282" s="4">
        <v>1</v>
      </c>
      <c r="N282" s="6">
        <v>0.14000000000000001</v>
      </c>
      <c r="O282" s="2" t="str">
        <f>IF(Append1[[#This Row],[weekday]]=0,"holiday",IF(AND(Append1[[#This Row],[weekday]]&gt;1,Append1[[#This Row],[weekday]]&lt;7),"working day","weekend"))</f>
        <v>working day</v>
      </c>
      <c r="P282" s="4" t="str">
        <f>IF(Append1[[#This Row],[weathersit]]=0,"sunny",IF(Append1[[#This Row],[weathersit]]=1,"mist",IF(Append1[[#This Row],[weathersit]]=2,"lightrain","extremerain")))</f>
        <v>mist</v>
      </c>
    </row>
    <row r="283" spans="1:16" x14ac:dyDescent="0.25">
      <c r="A283" s="4">
        <v>282</v>
      </c>
      <c r="B283" s="4">
        <v>0.1212</v>
      </c>
      <c r="C283" s="4">
        <v>0.5</v>
      </c>
      <c r="D283" s="4">
        <v>0.25369999999999998</v>
      </c>
      <c r="E283" s="4">
        <v>0</v>
      </c>
      <c r="F283" s="4">
        <v>4</v>
      </c>
      <c r="G283" s="4">
        <v>4</v>
      </c>
      <c r="H283" s="5">
        <v>40556</v>
      </c>
      <c r="I283" s="4">
        <v>1</v>
      </c>
      <c r="J283" s="4">
        <v>4</v>
      </c>
      <c r="K283" s="4" t="b">
        <f>IF(Append1[[#This Row],[days]]="working day",FALSE,TRUE)</f>
        <v>0</v>
      </c>
      <c r="L283" s="4">
        <v>4</v>
      </c>
      <c r="M283" s="4">
        <v>1</v>
      </c>
      <c r="N283" s="6">
        <v>0.14000000000000001</v>
      </c>
      <c r="O283" s="2" t="str">
        <f>IF(Append1[[#This Row],[weekday]]=0,"holiday",IF(AND(Append1[[#This Row],[weekday]]&gt;1,Append1[[#This Row],[weekday]]&lt;7),"working day","weekend"))</f>
        <v>working day</v>
      </c>
      <c r="P283" s="4" t="str">
        <f>IF(Append1[[#This Row],[weathersit]]=0,"sunny",IF(Append1[[#This Row],[weathersit]]=1,"mist",IF(Append1[[#This Row],[weathersit]]=2,"lightrain","extremerain")))</f>
        <v>mist</v>
      </c>
    </row>
    <row r="284" spans="1:16" x14ac:dyDescent="0.25">
      <c r="A284" s="4">
        <v>283</v>
      </c>
      <c r="B284" s="4">
        <v>0.1212</v>
      </c>
      <c r="C284" s="4">
        <v>0.5</v>
      </c>
      <c r="D284" s="4">
        <v>0.29849999999999999</v>
      </c>
      <c r="E284" s="4">
        <v>0</v>
      </c>
      <c r="F284" s="4">
        <v>3</v>
      </c>
      <c r="G284" s="4">
        <v>3</v>
      </c>
      <c r="H284" s="5">
        <v>40556</v>
      </c>
      <c r="I284" s="4">
        <v>1</v>
      </c>
      <c r="J284" s="4">
        <v>5</v>
      </c>
      <c r="K284" s="4" t="b">
        <f>IF(Append1[[#This Row],[days]]="working day",FALSE,TRUE)</f>
        <v>0</v>
      </c>
      <c r="L284" s="4">
        <v>4</v>
      </c>
      <c r="M284" s="4">
        <v>1</v>
      </c>
      <c r="N284" s="6">
        <v>0.14000000000000001</v>
      </c>
      <c r="O284" s="2" t="str">
        <f>IF(Append1[[#This Row],[weekday]]=0,"holiday",IF(AND(Append1[[#This Row],[weekday]]&gt;1,Append1[[#This Row],[weekday]]&lt;7),"working day","weekend"))</f>
        <v>working day</v>
      </c>
      <c r="P284" s="4" t="str">
        <f>IF(Append1[[#This Row],[weathersit]]=0,"sunny",IF(Append1[[#This Row],[weathersit]]=1,"mist",IF(Append1[[#This Row],[weathersit]]=2,"lightrain","extremerain")))</f>
        <v>mist</v>
      </c>
    </row>
    <row r="285" spans="1:16" x14ac:dyDescent="0.25">
      <c r="A285" s="4">
        <v>284</v>
      </c>
      <c r="B285" s="4">
        <v>0.1515</v>
      </c>
      <c r="C285" s="4">
        <v>0.54</v>
      </c>
      <c r="D285" s="4">
        <v>0.1343</v>
      </c>
      <c r="E285" s="4">
        <v>0</v>
      </c>
      <c r="F285" s="4">
        <v>28</v>
      </c>
      <c r="G285" s="4">
        <v>28</v>
      </c>
      <c r="H285" s="5">
        <v>40556</v>
      </c>
      <c r="I285" s="4">
        <v>1</v>
      </c>
      <c r="J285" s="4">
        <v>6</v>
      </c>
      <c r="K285" s="4" t="b">
        <f>IF(Append1[[#This Row],[days]]="working day",FALSE,TRUE)</f>
        <v>0</v>
      </c>
      <c r="L285" s="4">
        <v>4</v>
      </c>
      <c r="M285" s="4">
        <v>1</v>
      </c>
      <c r="N285" s="6">
        <v>0.12</v>
      </c>
      <c r="O285" s="2" t="str">
        <f>IF(Append1[[#This Row],[weekday]]=0,"holiday",IF(AND(Append1[[#This Row],[weekday]]&gt;1,Append1[[#This Row],[weekday]]&lt;7),"working day","weekend"))</f>
        <v>working day</v>
      </c>
      <c r="P285" s="4" t="str">
        <f>IF(Append1[[#This Row],[weathersit]]=0,"sunny",IF(Append1[[#This Row],[weathersit]]=1,"mist",IF(Append1[[#This Row],[weathersit]]=2,"lightrain","extremerain")))</f>
        <v>mist</v>
      </c>
    </row>
    <row r="286" spans="1:16" x14ac:dyDescent="0.25">
      <c r="A286" s="4">
        <v>285</v>
      </c>
      <c r="B286" s="4">
        <v>0.1515</v>
      </c>
      <c r="C286" s="4">
        <v>0.54</v>
      </c>
      <c r="D286" s="4">
        <v>0.1343</v>
      </c>
      <c r="E286" s="4">
        <v>0</v>
      </c>
      <c r="F286" s="4">
        <v>72</v>
      </c>
      <c r="G286" s="4">
        <v>72</v>
      </c>
      <c r="H286" s="5">
        <v>40556</v>
      </c>
      <c r="I286" s="4">
        <v>1</v>
      </c>
      <c r="J286" s="4">
        <v>7</v>
      </c>
      <c r="K286" s="4" t="b">
        <f>IF(Append1[[#This Row],[days]]="working day",FALSE,TRUE)</f>
        <v>0</v>
      </c>
      <c r="L286" s="4">
        <v>4</v>
      </c>
      <c r="M286" s="4">
        <v>1</v>
      </c>
      <c r="N286" s="6">
        <v>0.12</v>
      </c>
      <c r="O286" s="2" t="str">
        <f>IF(Append1[[#This Row],[weekday]]=0,"holiday",IF(AND(Append1[[#This Row],[weekday]]&gt;1,Append1[[#This Row],[weekday]]&lt;7),"working day","weekend"))</f>
        <v>working day</v>
      </c>
      <c r="P286" s="4" t="str">
        <f>IF(Append1[[#This Row],[weathersit]]=0,"sunny",IF(Append1[[#This Row],[weathersit]]=1,"mist",IF(Append1[[#This Row],[weathersit]]=2,"lightrain","extremerain")))</f>
        <v>mist</v>
      </c>
    </row>
    <row r="287" spans="1:16" x14ac:dyDescent="0.25">
      <c r="A287" s="4">
        <v>286</v>
      </c>
      <c r="B287" s="4">
        <v>0.13639999999999999</v>
      </c>
      <c r="C287" s="4">
        <v>0.5</v>
      </c>
      <c r="D287" s="4">
        <v>0.19400000000000001</v>
      </c>
      <c r="E287" s="4">
        <v>5</v>
      </c>
      <c r="F287" s="4">
        <v>197</v>
      </c>
      <c r="G287" s="4">
        <v>202</v>
      </c>
      <c r="H287" s="5">
        <v>40556</v>
      </c>
      <c r="I287" s="4">
        <v>1</v>
      </c>
      <c r="J287" s="4">
        <v>8</v>
      </c>
      <c r="K287" s="4" t="b">
        <f>IF(Append1[[#This Row],[days]]="working day",FALSE,TRUE)</f>
        <v>0</v>
      </c>
      <c r="L287" s="4">
        <v>4</v>
      </c>
      <c r="M287" s="4">
        <v>1</v>
      </c>
      <c r="N287" s="6">
        <v>0.14000000000000001</v>
      </c>
      <c r="O287" s="2" t="str">
        <f>IF(Append1[[#This Row],[weekday]]=0,"holiday",IF(AND(Append1[[#This Row],[weekday]]&gt;1,Append1[[#This Row],[weekday]]&lt;7),"working day","weekend"))</f>
        <v>working day</v>
      </c>
      <c r="P287" s="4" t="str">
        <f>IF(Append1[[#This Row],[weathersit]]=0,"sunny",IF(Append1[[#This Row],[weathersit]]=1,"mist",IF(Append1[[#This Row],[weathersit]]=2,"lightrain","extremerain")))</f>
        <v>mist</v>
      </c>
    </row>
    <row r="288" spans="1:16" x14ac:dyDescent="0.25">
      <c r="A288" s="4">
        <v>287</v>
      </c>
      <c r="B288" s="4">
        <v>0.1212</v>
      </c>
      <c r="C288" s="4">
        <v>0.5</v>
      </c>
      <c r="D288" s="4">
        <v>0.32840000000000003</v>
      </c>
      <c r="E288" s="4">
        <v>2</v>
      </c>
      <c r="F288" s="4">
        <v>137</v>
      </c>
      <c r="G288" s="4">
        <v>139</v>
      </c>
      <c r="H288" s="5">
        <v>40556</v>
      </c>
      <c r="I288" s="4">
        <v>1</v>
      </c>
      <c r="J288" s="4">
        <v>9</v>
      </c>
      <c r="K288" s="4" t="b">
        <f>IF(Append1[[#This Row],[days]]="working day",FALSE,TRUE)</f>
        <v>0</v>
      </c>
      <c r="L288" s="4">
        <v>4</v>
      </c>
      <c r="M288" s="4">
        <v>1</v>
      </c>
      <c r="N288" s="6">
        <v>0.14000000000000001</v>
      </c>
      <c r="O288" s="2" t="str">
        <f>IF(Append1[[#This Row],[weekday]]=0,"holiday",IF(AND(Append1[[#This Row],[weekday]]&gt;1,Append1[[#This Row],[weekday]]&lt;7),"working day","weekend"))</f>
        <v>working day</v>
      </c>
      <c r="P288" s="4" t="str">
        <f>IF(Append1[[#This Row],[weathersit]]=0,"sunny",IF(Append1[[#This Row],[weathersit]]=1,"mist",IF(Append1[[#This Row],[weathersit]]=2,"lightrain","extremerain")))</f>
        <v>mist</v>
      </c>
    </row>
    <row r="289" spans="1:16" x14ac:dyDescent="0.25">
      <c r="A289" s="4">
        <v>288</v>
      </c>
      <c r="B289" s="4">
        <v>0.13639999999999999</v>
      </c>
      <c r="C289" s="4">
        <v>0.5</v>
      </c>
      <c r="D289" s="4">
        <v>0.35820000000000002</v>
      </c>
      <c r="E289" s="4">
        <v>2</v>
      </c>
      <c r="F289" s="4">
        <v>36</v>
      </c>
      <c r="G289" s="4">
        <v>38</v>
      </c>
      <c r="H289" s="5">
        <v>40556</v>
      </c>
      <c r="I289" s="4">
        <v>1</v>
      </c>
      <c r="J289" s="4">
        <v>10</v>
      </c>
      <c r="K289" s="4" t="b">
        <f>IF(Append1[[#This Row],[days]]="working day",FALSE,TRUE)</f>
        <v>0</v>
      </c>
      <c r="L289" s="4">
        <v>4</v>
      </c>
      <c r="M289" s="4">
        <v>2</v>
      </c>
      <c r="N289" s="6">
        <v>0.16</v>
      </c>
      <c r="O289" s="2" t="str">
        <f>IF(Append1[[#This Row],[weekday]]=0,"holiday",IF(AND(Append1[[#This Row],[weekday]]&gt;1,Append1[[#This Row],[weekday]]&lt;7),"working day","weekend"))</f>
        <v>working day</v>
      </c>
      <c r="P289" s="4" t="str">
        <f>IF(Append1[[#This Row],[weathersit]]=0,"sunny",IF(Append1[[#This Row],[weathersit]]=1,"mist",IF(Append1[[#This Row],[weathersit]]=2,"lightrain","extremerain")))</f>
        <v>lightrain</v>
      </c>
    </row>
    <row r="290" spans="1:16" x14ac:dyDescent="0.25">
      <c r="A290" s="4">
        <v>289</v>
      </c>
      <c r="B290" s="4">
        <v>0.16669999999999999</v>
      </c>
      <c r="C290" s="4">
        <v>0.44</v>
      </c>
      <c r="D290" s="4">
        <v>0.44779999999999998</v>
      </c>
      <c r="E290" s="4">
        <v>4</v>
      </c>
      <c r="F290" s="4">
        <v>33</v>
      </c>
      <c r="G290" s="4">
        <v>37</v>
      </c>
      <c r="H290" s="5">
        <v>40556</v>
      </c>
      <c r="I290" s="4">
        <v>1</v>
      </c>
      <c r="J290" s="4">
        <v>11</v>
      </c>
      <c r="K290" s="4" t="b">
        <f>IF(Append1[[#This Row],[days]]="working day",FALSE,TRUE)</f>
        <v>0</v>
      </c>
      <c r="L290" s="4">
        <v>4</v>
      </c>
      <c r="M290" s="4">
        <v>2</v>
      </c>
      <c r="N290" s="6">
        <v>0.2</v>
      </c>
      <c r="O290" s="2" t="str">
        <f>IF(Append1[[#This Row],[weekday]]=0,"holiday",IF(AND(Append1[[#This Row],[weekday]]&gt;1,Append1[[#This Row],[weekday]]&lt;7),"working day","weekend"))</f>
        <v>working day</v>
      </c>
      <c r="P290" s="4" t="str">
        <f>IF(Append1[[#This Row],[weathersit]]=0,"sunny",IF(Append1[[#This Row],[weathersit]]=1,"mist",IF(Append1[[#This Row],[weathersit]]=2,"lightrain","extremerain")))</f>
        <v>lightrain</v>
      </c>
    </row>
    <row r="291" spans="1:16" x14ac:dyDescent="0.25">
      <c r="A291" s="4">
        <v>290</v>
      </c>
      <c r="B291" s="4">
        <v>0.16669999999999999</v>
      </c>
      <c r="C291" s="4">
        <v>0.44</v>
      </c>
      <c r="D291" s="4">
        <v>0.41789999999999999</v>
      </c>
      <c r="E291" s="4">
        <v>3</v>
      </c>
      <c r="F291" s="4">
        <v>49</v>
      </c>
      <c r="G291" s="4">
        <v>52</v>
      </c>
      <c r="H291" s="5">
        <v>40556</v>
      </c>
      <c r="I291" s="4">
        <v>1</v>
      </c>
      <c r="J291" s="4">
        <v>12</v>
      </c>
      <c r="K291" s="4" t="b">
        <f>IF(Append1[[#This Row],[days]]="working day",FALSE,TRUE)</f>
        <v>0</v>
      </c>
      <c r="L291" s="4">
        <v>4</v>
      </c>
      <c r="M291" s="4">
        <v>1</v>
      </c>
      <c r="N291" s="6">
        <v>0.2</v>
      </c>
      <c r="O291" s="2" t="str">
        <f>IF(Append1[[#This Row],[weekday]]=0,"holiday",IF(AND(Append1[[#This Row],[weekday]]&gt;1,Append1[[#This Row],[weekday]]&lt;7),"working day","weekend"))</f>
        <v>working day</v>
      </c>
      <c r="P291" s="4" t="str">
        <f>IF(Append1[[#This Row],[weathersit]]=0,"sunny",IF(Append1[[#This Row],[weathersit]]=1,"mist",IF(Append1[[#This Row],[weathersit]]=2,"lightrain","extremerain")))</f>
        <v>mist</v>
      </c>
    </row>
    <row r="292" spans="1:16" x14ac:dyDescent="0.25">
      <c r="A292" s="4">
        <v>291</v>
      </c>
      <c r="B292" s="4">
        <v>0.19700000000000001</v>
      </c>
      <c r="C292" s="4">
        <v>0.41</v>
      </c>
      <c r="D292" s="4">
        <v>0.44779999999999998</v>
      </c>
      <c r="E292" s="4">
        <v>2</v>
      </c>
      <c r="F292" s="4">
        <v>81</v>
      </c>
      <c r="G292" s="4">
        <v>83</v>
      </c>
      <c r="H292" s="5">
        <v>40556</v>
      </c>
      <c r="I292" s="4">
        <v>1</v>
      </c>
      <c r="J292" s="4">
        <v>13</v>
      </c>
      <c r="K292" s="4" t="b">
        <f>IF(Append1[[#This Row],[days]]="working day",FALSE,TRUE)</f>
        <v>0</v>
      </c>
      <c r="L292" s="4">
        <v>4</v>
      </c>
      <c r="M292" s="4">
        <v>1</v>
      </c>
      <c r="N292" s="6">
        <v>0.22</v>
      </c>
      <c r="O292" s="2" t="str">
        <f>IF(Append1[[#This Row],[weekday]]=0,"holiday",IF(AND(Append1[[#This Row],[weekday]]&gt;1,Append1[[#This Row],[weekday]]&lt;7),"working day","weekend"))</f>
        <v>working day</v>
      </c>
      <c r="P292" s="4" t="str">
        <f>IF(Append1[[#This Row],[weathersit]]=0,"sunny",IF(Append1[[#This Row],[weathersit]]=1,"mist",IF(Append1[[#This Row],[weathersit]]=2,"lightrain","extremerain")))</f>
        <v>mist</v>
      </c>
    </row>
    <row r="293" spans="1:16" x14ac:dyDescent="0.25">
      <c r="A293" s="4">
        <v>292</v>
      </c>
      <c r="B293" s="4">
        <v>0.19700000000000001</v>
      </c>
      <c r="C293" s="4">
        <v>0.41</v>
      </c>
      <c r="D293" s="4">
        <v>0.3881</v>
      </c>
      <c r="E293" s="4">
        <v>3</v>
      </c>
      <c r="F293" s="4">
        <v>39</v>
      </c>
      <c r="G293" s="4">
        <v>42</v>
      </c>
      <c r="H293" s="5">
        <v>40556</v>
      </c>
      <c r="I293" s="4">
        <v>1</v>
      </c>
      <c r="J293" s="4">
        <v>14</v>
      </c>
      <c r="K293" s="4" t="b">
        <f>IF(Append1[[#This Row],[days]]="working day",FALSE,TRUE)</f>
        <v>0</v>
      </c>
      <c r="L293" s="4">
        <v>4</v>
      </c>
      <c r="M293" s="4">
        <v>1</v>
      </c>
      <c r="N293" s="6">
        <v>0.22</v>
      </c>
      <c r="O293" s="2" t="str">
        <f>IF(Append1[[#This Row],[weekday]]=0,"holiday",IF(AND(Append1[[#This Row],[weekday]]&gt;1,Append1[[#This Row],[weekday]]&lt;7),"working day","weekend"))</f>
        <v>working day</v>
      </c>
      <c r="P293" s="4" t="str">
        <f>IF(Append1[[#This Row],[weathersit]]=0,"sunny",IF(Append1[[#This Row],[weathersit]]=1,"mist",IF(Append1[[#This Row],[weathersit]]=2,"lightrain","extremerain")))</f>
        <v>mist</v>
      </c>
    </row>
    <row r="294" spans="1:16" x14ac:dyDescent="0.25">
      <c r="A294" s="4">
        <v>293</v>
      </c>
      <c r="B294" s="4">
        <v>0.21210000000000001</v>
      </c>
      <c r="C294" s="4">
        <v>0.38</v>
      </c>
      <c r="D294" s="4">
        <v>0.29849999999999999</v>
      </c>
      <c r="E294" s="4">
        <v>5</v>
      </c>
      <c r="F294" s="4">
        <v>55</v>
      </c>
      <c r="G294" s="4">
        <v>60</v>
      </c>
      <c r="H294" s="5">
        <v>40556</v>
      </c>
      <c r="I294" s="4">
        <v>1</v>
      </c>
      <c r="J294" s="4">
        <v>15</v>
      </c>
      <c r="K294" s="4" t="b">
        <f>IF(Append1[[#This Row],[days]]="working day",FALSE,TRUE)</f>
        <v>0</v>
      </c>
      <c r="L294" s="4">
        <v>4</v>
      </c>
      <c r="M294" s="4">
        <v>1</v>
      </c>
      <c r="N294" s="6">
        <v>0.24</v>
      </c>
      <c r="O294" s="2" t="str">
        <f>IF(Append1[[#This Row],[weekday]]=0,"holiday",IF(AND(Append1[[#This Row],[weekday]]&gt;1,Append1[[#This Row],[weekday]]&lt;7),"working day","weekend"))</f>
        <v>working day</v>
      </c>
      <c r="P294" s="4" t="str">
        <f>IF(Append1[[#This Row],[weathersit]]=0,"sunny",IF(Append1[[#This Row],[weathersit]]=1,"mist",IF(Append1[[#This Row],[weathersit]]=2,"lightrain","extremerain")))</f>
        <v>mist</v>
      </c>
    </row>
    <row r="295" spans="1:16" x14ac:dyDescent="0.25">
      <c r="A295" s="4">
        <v>294</v>
      </c>
      <c r="B295" s="4">
        <v>0.21210000000000001</v>
      </c>
      <c r="C295" s="4">
        <v>0.38</v>
      </c>
      <c r="D295" s="4">
        <v>0.35820000000000002</v>
      </c>
      <c r="E295" s="4">
        <v>2</v>
      </c>
      <c r="F295" s="4">
        <v>76</v>
      </c>
      <c r="G295" s="4">
        <v>78</v>
      </c>
      <c r="H295" s="5">
        <v>40556</v>
      </c>
      <c r="I295" s="4">
        <v>1</v>
      </c>
      <c r="J295" s="4">
        <v>16</v>
      </c>
      <c r="K295" s="4" t="b">
        <f>IF(Append1[[#This Row],[days]]="working day",FALSE,TRUE)</f>
        <v>0</v>
      </c>
      <c r="L295" s="4">
        <v>4</v>
      </c>
      <c r="M295" s="4">
        <v>1</v>
      </c>
      <c r="N295" s="6">
        <v>0.24</v>
      </c>
      <c r="O295" s="2" t="str">
        <f>IF(Append1[[#This Row],[weekday]]=0,"holiday",IF(AND(Append1[[#This Row],[weekday]]&gt;1,Append1[[#This Row],[weekday]]&lt;7),"working day","weekend"))</f>
        <v>working day</v>
      </c>
      <c r="P295" s="4" t="str">
        <f>IF(Append1[[#This Row],[weathersit]]=0,"sunny",IF(Append1[[#This Row],[weathersit]]=1,"mist",IF(Append1[[#This Row],[weathersit]]=2,"lightrain","extremerain")))</f>
        <v>mist</v>
      </c>
    </row>
    <row r="296" spans="1:16" x14ac:dyDescent="0.25">
      <c r="A296" s="4">
        <v>295</v>
      </c>
      <c r="B296" s="4">
        <v>0.18179999999999999</v>
      </c>
      <c r="C296" s="4">
        <v>0.4</v>
      </c>
      <c r="D296" s="4">
        <v>0.28360000000000002</v>
      </c>
      <c r="E296" s="4">
        <v>4</v>
      </c>
      <c r="F296" s="4">
        <v>158</v>
      </c>
      <c r="G296" s="4">
        <v>162</v>
      </c>
      <c r="H296" s="5">
        <v>40556</v>
      </c>
      <c r="I296" s="4">
        <v>1</v>
      </c>
      <c r="J296" s="4">
        <v>17</v>
      </c>
      <c r="K296" s="4" t="b">
        <f>IF(Append1[[#This Row],[days]]="working day",FALSE,TRUE)</f>
        <v>0</v>
      </c>
      <c r="L296" s="4">
        <v>4</v>
      </c>
      <c r="M296" s="4">
        <v>1</v>
      </c>
      <c r="N296" s="6">
        <v>0.2</v>
      </c>
      <c r="O296" s="2" t="str">
        <f>IF(Append1[[#This Row],[weekday]]=0,"holiday",IF(AND(Append1[[#This Row],[weekday]]&gt;1,Append1[[#This Row],[weekday]]&lt;7),"working day","weekend"))</f>
        <v>working day</v>
      </c>
      <c r="P296" s="4" t="str">
        <f>IF(Append1[[#This Row],[weathersit]]=0,"sunny",IF(Append1[[#This Row],[weathersit]]=1,"mist",IF(Append1[[#This Row],[weathersit]]=2,"lightrain","extremerain")))</f>
        <v>mist</v>
      </c>
    </row>
    <row r="297" spans="1:16" x14ac:dyDescent="0.25">
      <c r="A297" s="4">
        <v>296</v>
      </c>
      <c r="B297" s="4">
        <v>0.18179999999999999</v>
      </c>
      <c r="C297" s="4">
        <v>0.4</v>
      </c>
      <c r="D297" s="4">
        <v>0.32840000000000003</v>
      </c>
      <c r="E297" s="4">
        <v>3</v>
      </c>
      <c r="F297" s="4">
        <v>141</v>
      </c>
      <c r="G297" s="4">
        <v>144</v>
      </c>
      <c r="H297" s="5">
        <v>40556</v>
      </c>
      <c r="I297" s="4">
        <v>1</v>
      </c>
      <c r="J297" s="4">
        <v>18</v>
      </c>
      <c r="K297" s="4" t="b">
        <f>IF(Append1[[#This Row],[days]]="working day",FALSE,TRUE)</f>
        <v>0</v>
      </c>
      <c r="L297" s="4">
        <v>4</v>
      </c>
      <c r="M297" s="4">
        <v>1</v>
      </c>
      <c r="N297" s="6">
        <v>0.2</v>
      </c>
      <c r="O297" s="2" t="str">
        <f>IF(Append1[[#This Row],[weekday]]=0,"holiday",IF(AND(Append1[[#This Row],[weekday]]&gt;1,Append1[[#This Row],[weekday]]&lt;7),"working day","weekend"))</f>
        <v>working day</v>
      </c>
      <c r="P297" s="4" t="str">
        <f>IF(Append1[[#This Row],[weathersit]]=0,"sunny",IF(Append1[[#This Row],[weathersit]]=1,"mist",IF(Append1[[#This Row],[weathersit]]=2,"lightrain","extremerain")))</f>
        <v>mist</v>
      </c>
    </row>
    <row r="298" spans="1:16" x14ac:dyDescent="0.25">
      <c r="A298" s="4">
        <v>297</v>
      </c>
      <c r="B298" s="4">
        <v>0.1515</v>
      </c>
      <c r="C298" s="4">
        <v>0.47</v>
      </c>
      <c r="D298" s="4">
        <v>0.25369999999999998</v>
      </c>
      <c r="E298" s="4">
        <v>1</v>
      </c>
      <c r="F298" s="4">
        <v>98</v>
      </c>
      <c r="G298" s="4">
        <v>99</v>
      </c>
      <c r="H298" s="5">
        <v>40556</v>
      </c>
      <c r="I298" s="4">
        <v>1</v>
      </c>
      <c r="J298" s="4">
        <v>19</v>
      </c>
      <c r="K298" s="4" t="b">
        <f>IF(Append1[[#This Row],[days]]="working day",FALSE,TRUE)</f>
        <v>0</v>
      </c>
      <c r="L298" s="4">
        <v>4</v>
      </c>
      <c r="M298" s="4">
        <v>1</v>
      </c>
      <c r="N298" s="6">
        <v>0.16</v>
      </c>
      <c r="O298" s="2" t="str">
        <f>IF(Append1[[#This Row],[weekday]]=0,"holiday",IF(AND(Append1[[#This Row],[weekday]]&gt;1,Append1[[#This Row],[weekday]]&lt;7),"working day","weekend"))</f>
        <v>working day</v>
      </c>
      <c r="P298" s="4" t="str">
        <f>IF(Append1[[#This Row],[weathersit]]=0,"sunny",IF(Append1[[#This Row],[weathersit]]=1,"mist",IF(Append1[[#This Row],[weathersit]]=2,"lightrain","extremerain")))</f>
        <v>mist</v>
      </c>
    </row>
    <row r="299" spans="1:16" x14ac:dyDescent="0.25">
      <c r="A299" s="4">
        <v>298</v>
      </c>
      <c r="B299" s="4">
        <v>0.1515</v>
      </c>
      <c r="C299" s="4">
        <v>0.47</v>
      </c>
      <c r="D299" s="4">
        <v>0.22389999999999999</v>
      </c>
      <c r="E299" s="4">
        <v>0</v>
      </c>
      <c r="F299" s="4">
        <v>64</v>
      </c>
      <c r="G299" s="4">
        <v>64</v>
      </c>
      <c r="H299" s="5">
        <v>40556</v>
      </c>
      <c r="I299" s="4">
        <v>1</v>
      </c>
      <c r="J299" s="4">
        <v>20</v>
      </c>
      <c r="K299" s="4" t="b">
        <f>IF(Append1[[#This Row],[days]]="working day",FALSE,TRUE)</f>
        <v>0</v>
      </c>
      <c r="L299" s="4">
        <v>4</v>
      </c>
      <c r="M299" s="4">
        <v>1</v>
      </c>
      <c r="N299" s="6">
        <v>0.16</v>
      </c>
      <c r="O299" s="2" t="str">
        <f>IF(Append1[[#This Row],[weekday]]=0,"holiday",IF(AND(Append1[[#This Row],[weekday]]&gt;1,Append1[[#This Row],[weekday]]&lt;7),"working day","weekend"))</f>
        <v>working day</v>
      </c>
      <c r="P299" s="4" t="str">
        <f>IF(Append1[[#This Row],[weathersit]]=0,"sunny",IF(Append1[[#This Row],[weathersit]]=1,"mist",IF(Append1[[#This Row],[weathersit]]=2,"lightrain","extremerain")))</f>
        <v>mist</v>
      </c>
    </row>
    <row r="300" spans="1:16" x14ac:dyDescent="0.25">
      <c r="A300" s="4">
        <v>299</v>
      </c>
      <c r="B300" s="4">
        <v>0.1212</v>
      </c>
      <c r="C300" s="4">
        <v>0.46</v>
      </c>
      <c r="D300" s="4">
        <v>0.29849999999999999</v>
      </c>
      <c r="E300" s="4">
        <v>0</v>
      </c>
      <c r="F300" s="4">
        <v>40</v>
      </c>
      <c r="G300" s="4">
        <v>40</v>
      </c>
      <c r="H300" s="5">
        <v>40556</v>
      </c>
      <c r="I300" s="4">
        <v>1</v>
      </c>
      <c r="J300" s="4">
        <v>21</v>
      </c>
      <c r="K300" s="4" t="b">
        <f>IF(Append1[[#This Row],[days]]="working day",FALSE,TRUE)</f>
        <v>0</v>
      </c>
      <c r="L300" s="4">
        <v>4</v>
      </c>
      <c r="M300" s="4">
        <v>1</v>
      </c>
      <c r="N300" s="6">
        <v>0.14000000000000001</v>
      </c>
      <c r="O300" s="2" t="str">
        <f>IF(Append1[[#This Row],[weekday]]=0,"holiday",IF(AND(Append1[[#This Row],[weekday]]&gt;1,Append1[[#This Row],[weekday]]&lt;7),"working day","weekend"))</f>
        <v>working day</v>
      </c>
      <c r="P300" s="4" t="str">
        <f>IF(Append1[[#This Row],[weathersit]]=0,"sunny",IF(Append1[[#This Row],[weathersit]]=1,"mist",IF(Append1[[#This Row],[weathersit]]=2,"lightrain","extremerain")))</f>
        <v>mist</v>
      </c>
    </row>
    <row r="301" spans="1:16" x14ac:dyDescent="0.25">
      <c r="A301" s="4">
        <v>300</v>
      </c>
      <c r="B301" s="4">
        <v>0.1212</v>
      </c>
      <c r="C301" s="4">
        <v>0.46</v>
      </c>
      <c r="D301" s="4">
        <v>0.32840000000000003</v>
      </c>
      <c r="E301" s="4">
        <v>0</v>
      </c>
      <c r="F301" s="4">
        <v>30</v>
      </c>
      <c r="G301" s="4">
        <v>30</v>
      </c>
      <c r="H301" s="5">
        <v>40556</v>
      </c>
      <c r="I301" s="4">
        <v>1</v>
      </c>
      <c r="J301" s="4">
        <v>22</v>
      </c>
      <c r="K301" s="4" t="b">
        <f>IF(Append1[[#This Row],[days]]="working day",FALSE,TRUE)</f>
        <v>0</v>
      </c>
      <c r="L301" s="4">
        <v>4</v>
      </c>
      <c r="M301" s="4">
        <v>1</v>
      </c>
      <c r="N301" s="6">
        <v>0.14000000000000001</v>
      </c>
      <c r="O301" s="2" t="str">
        <f>IF(Append1[[#This Row],[weekday]]=0,"holiday",IF(AND(Append1[[#This Row],[weekday]]&gt;1,Append1[[#This Row],[weekday]]&lt;7),"working day","weekend"))</f>
        <v>working day</v>
      </c>
      <c r="P301" s="4" t="str">
        <f>IF(Append1[[#This Row],[weathersit]]=0,"sunny",IF(Append1[[#This Row],[weathersit]]=1,"mist",IF(Append1[[#This Row],[weathersit]]=2,"lightrain","extremerain")))</f>
        <v>mist</v>
      </c>
    </row>
    <row r="302" spans="1:16" x14ac:dyDescent="0.25">
      <c r="A302" s="4">
        <v>301</v>
      </c>
      <c r="B302" s="4">
        <v>0.13639999999999999</v>
      </c>
      <c r="C302" s="4">
        <v>0.5</v>
      </c>
      <c r="D302" s="4">
        <v>0.19400000000000001</v>
      </c>
      <c r="E302" s="4">
        <v>1</v>
      </c>
      <c r="F302" s="4">
        <v>14</v>
      </c>
      <c r="G302" s="4">
        <v>15</v>
      </c>
      <c r="H302" s="5">
        <v>40556</v>
      </c>
      <c r="I302" s="4">
        <v>1</v>
      </c>
      <c r="J302" s="4">
        <v>23</v>
      </c>
      <c r="K302" s="4" t="b">
        <f>IF(Append1[[#This Row],[days]]="working day",FALSE,TRUE)</f>
        <v>0</v>
      </c>
      <c r="L302" s="4">
        <v>4</v>
      </c>
      <c r="M302" s="4">
        <v>1</v>
      </c>
      <c r="N302" s="6">
        <v>0.12</v>
      </c>
      <c r="O302" s="2" t="str">
        <f>IF(Append1[[#This Row],[weekday]]=0,"holiday",IF(AND(Append1[[#This Row],[weekday]]&gt;1,Append1[[#This Row],[weekday]]&lt;7),"working day","weekend"))</f>
        <v>working day</v>
      </c>
      <c r="P302" s="4" t="str">
        <f>IF(Append1[[#This Row],[weathersit]]=0,"sunny",IF(Append1[[#This Row],[weathersit]]=1,"mist",IF(Append1[[#This Row],[weathersit]]=2,"lightrain","extremerain")))</f>
        <v>mist</v>
      </c>
    </row>
    <row r="303" spans="1:16" x14ac:dyDescent="0.25">
      <c r="A303" s="4">
        <v>302</v>
      </c>
      <c r="B303" s="4">
        <v>0.13639999999999999</v>
      </c>
      <c r="C303" s="4">
        <v>0.5</v>
      </c>
      <c r="D303" s="4">
        <v>0.19400000000000001</v>
      </c>
      <c r="E303" s="4">
        <v>0</v>
      </c>
      <c r="F303" s="4">
        <v>14</v>
      </c>
      <c r="G303" s="4">
        <v>14</v>
      </c>
      <c r="H303" s="5">
        <v>40557</v>
      </c>
      <c r="I303" s="4">
        <v>1</v>
      </c>
      <c r="J303" s="4">
        <v>0</v>
      </c>
      <c r="K303" s="4" t="b">
        <f>IF(Append1[[#This Row],[days]]="working day",FALSE,TRUE)</f>
        <v>0</v>
      </c>
      <c r="L303" s="4">
        <v>5</v>
      </c>
      <c r="M303" s="4">
        <v>1</v>
      </c>
      <c r="N303" s="6">
        <v>0.12</v>
      </c>
      <c r="O303" s="2" t="str">
        <f>IF(Append1[[#This Row],[weekday]]=0,"holiday",IF(AND(Append1[[#This Row],[weekday]]&gt;1,Append1[[#This Row],[weekday]]&lt;7),"working day","weekend"))</f>
        <v>working day</v>
      </c>
      <c r="P303" s="4" t="str">
        <f>IF(Append1[[#This Row],[weathersit]]=0,"sunny",IF(Append1[[#This Row],[weathersit]]=1,"mist",IF(Append1[[#This Row],[weathersit]]=2,"lightrain","extremerain")))</f>
        <v>mist</v>
      </c>
    </row>
    <row r="304" spans="1:16" x14ac:dyDescent="0.25">
      <c r="A304" s="4">
        <v>303</v>
      </c>
      <c r="B304" s="4">
        <v>0.1212</v>
      </c>
      <c r="C304" s="4">
        <v>0.54</v>
      </c>
      <c r="D304" s="4">
        <v>0.16420000000000001</v>
      </c>
      <c r="E304" s="4">
        <v>0</v>
      </c>
      <c r="F304" s="4">
        <v>5</v>
      </c>
      <c r="G304" s="4">
        <v>5</v>
      </c>
      <c r="H304" s="5">
        <v>40557</v>
      </c>
      <c r="I304" s="4">
        <v>1</v>
      </c>
      <c r="J304" s="4">
        <v>1</v>
      </c>
      <c r="K304" s="4" t="b">
        <f>IF(Append1[[#This Row],[days]]="working day",FALSE,TRUE)</f>
        <v>0</v>
      </c>
      <c r="L304" s="4">
        <v>5</v>
      </c>
      <c r="M304" s="4">
        <v>1</v>
      </c>
      <c r="N304" s="6">
        <v>0.1</v>
      </c>
      <c r="O304" s="2" t="str">
        <f>IF(Append1[[#This Row],[weekday]]=0,"holiday",IF(AND(Append1[[#This Row],[weekday]]&gt;1,Append1[[#This Row],[weekday]]&lt;7),"working day","weekend"))</f>
        <v>working day</v>
      </c>
      <c r="P304" s="4" t="str">
        <f>IF(Append1[[#This Row],[weathersit]]=0,"sunny",IF(Append1[[#This Row],[weathersit]]=1,"mist",IF(Append1[[#This Row],[weathersit]]=2,"lightrain","extremerain")))</f>
        <v>mist</v>
      </c>
    </row>
    <row r="305" spans="1:16" x14ac:dyDescent="0.25">
      <c r="A305" s="4">
        <v>304</v>
      </c>
      <c r="B305" s="4">
        <v>0.1212</v>
      </c>
      <c r="C305" s="4">
        <v>0.54</v>
      </c>
      <c r="D305" s="4">
        <v>0.1343</v>
      </c>
      <c r="E305" s="4">
        <v>0</v>
      </c>
      <c r="F305" s="4">
        <v>1</v>
      </c>
      <c r="G305" s="4">
        <v>1</v>
      </c>
      <c r="H305" s="5">
        <v>40557</v>
      </c>
      <c r="I305" s="4">
        <v>1</v>
      </c>
      <c r="J305" s="4">
        <v>2</v>
      </c>
      <c r="K305" s="4" t="b">
        <f>IF(Append1[[#This Row],[days]]="working day",FALSE,TRUE)</f>
        <v>0</v>
      </c>
      <c r="L305" s="4">
        <v>5</v>
      </c>
      <c r="M305" s="4">
        <v>1</v>
      </c>
      <c r="N305" s="6">
        <v>0.1</v>
      </c>
      <c r="O305" s="2" t="str">
        <f>IF(Append1[[#This Row],[weekday]]=0,"holiday",IF(AND(Append1[[#This Row],[weekday]]&gt;1,Append1[[#This Row],[weekday]]&lt;7),"working day","weekend"))</f>
        <v>working day</v>
      </c>
      <c r="P305" s="4" t="str">
        <f>IF(Append1[[#This Row],[weathersit]]=0,"sunny",IF(Append1[[#This Row],[weathersit]]=1,"mist",IF(Append1[[#This Row],[weathersit]]=2,"lightrain","extremerain")))</f>
        <v>mist</v>
      </c>
    </row>
    <row r="306" spans="1:16" x14ac:dyDescent="0.25">
      <c r="A306" s="4">
        <v>305</v>
      </c>
      <c r="B306" s="4">
        <v>0.13639999999999999</v>
      </c>
      <c r="C306" s="4">
        <v>0.54</v>
      </c>
      <c r="D306" s="4">
        <v>0.1045</v>
      </c>
      <c r="E306" s="4">
        <v>0</v>
      </c>
      <c r="F306" s="4">
        <v>1</v>
      </c>
      <c r="G306" s="4">
        <v>1</v>
      </c>
      <c r="H306" s="5">
        <v>40557</v>
      </c>
      <c r="I306" s="4">
        <v>1</v>
      </c>
      <c r="J306" s="4">
        <v>3</v>
      </c>
      <c r="K306" s="4" t="b">
        <f>IF(Append1[[#This Row],[days]]="working day",FALSE,TRUE)</f>
        <v>0</v>
      </c>
      <c r="L306" s="4">
        <v>5</v>
      </c>
      <c r="M306" s="4">
        <v>1</v>
      </c>
      <c r="N306" s="6">
        <v>0.1</v>
      </c>
      <c r="O306" s="2" t="str">
        <f>IF(Append1[[#This Row],[weekday]]=0,"holiday",IF(AND(Append1[[#This Row],[weekday]]&gt;1,Append1[[#This Row],[weekday]]&lt;7),"working day","weekend"))</f>
        <v>working day</v>
      </c>
      <c r="P306" s="4" t="str">
        <f>IF(Append1[[#This Row],[weathersit]]=0,"sunny",IF(Append1[[#This Row],[weathersit]]=1,"mist",IF(Append1[[#This Row],[weathersit]]=2,"lightrain","extremerain")))</f>
        <v>mist</v>
      </c>
    </row>
    <row r="307" spans="1:16" x14ac:dyDescent="0.25">
      <c r="A307" s="4">
        <v>306</v>
      </c>
      <c r="B307" s="4">
        <v>0.13639999999999999</v>
      </c>
      <c r="C307" s="4">
        <v>0.54</v>
      </c>
      <c r="D307" s="4">
        <v>8.9599999999999999E-2</v>
      </c>
      <c r="E307" s="4">
        <v>0</v>
      </c>
      <c r="F307" s="4">
        <v>8</v>
      </c>
      <c r="G307" s="4">
        <v>8</v>
      </c>
      <c r="H307" s="5">
        <v>40557</v>
      </c>
      <c r="I307" s="4">
        <v>1</v>
      </c>
      <c r="J307" s="4">
        <v>5</v>
      </c>
      <c r="K307" s="4" t="b">
        <f>IF(Append1[[#This Row],[days]]="working day",FALSE,TRUE)</f>
        <v>0</v>
      </c>
      <c r="L307" s="4">
        <v>5</v>
      </c>
      <c r="M307" s="4">
        <v>1</v>
      </c>
      <c r="N307" s="6">
        <v>0.1</v>
      </c>
      <c r="O307" s="2" t="str">
        <f>IF(Append1[[#This Row],[weekday]]=0,"holiday",IF(AND(Append1[[#This Row],[weekday]]&gt;1,Append1[[#This Row],[weekday]]&lt;7),"working day","weekend"))</f>
        <v>working day</v>
      </c>
      <c r="P307" s="4" t="str">
        <f>IF(Append1[[#This Row],[weathersit]]=0,"sunny",IF(Append1[[#This Row],[weathersit]]=1,"mist",IF(Append1[[#This Row],[weathersit]]=2,"lightrain","extremerain")))</f>
        <v>mist</v>
      </c>
    </row>
    <row r="308" spans="1:16" x14ac:dyDescent="0.25">
      <c r="A308" s="4">
        <v>307</v>
      </c>
      <c r="B308" s="4">
        <v>0.18179999999999999</v>
      </c>
      <c r="C308" s="4">
        <v>0.54</v>
      </c>
      <c r="D308" s="4">
        <v>0</v>
      </c>
      <c r="E308" s="4">
        <v>0</v>
      </c>
      <c r="F308" s="4">
        <v>17</v>
      </c>
      <c r="G308" s="4">
        <v>17</v>
      </c>
      <c r="H308" s="5">
        <v>40557</v>
      </c>
      <c r="I308" s="4">
        <v>1</v>
      </c>
      <c r="J308" s="4">
        <v>6</v>
      </c>
      <c r="K308" s="4" t="b">
        <f>IF(Append1[[#This Row],[days]]="working day",FALSE,TRUE)</f>
        <v>0</v>
      </c>
      <c r="L308" s="4">
        <v>5</v>
      </c>
      <c r="M308" s="4">
        <v>1</v>
      </c>
      <c r="N308" s="6">
        <v>0.1</v>
      </c>
      <c r="O308" s="2" t="str">
        <f>IF(Append1[[#This Row],[weekday]]=0,"holiday",IF(AND(Append1[[#This Row],[weekday]]&gt;1,Append1[[#This Row],[weekday]]&lt;7),"working day","weekend"))</f>
        <v>working day</v>
      </c>
      <c r="P308" s="4" t="str">
        <f>IF(Append1[[#This Row],[weathersit]]=0,"sunny",IF(Append1[[#This Row],[weathersit]]=1,"mist",IF(Append1[[#This Row],[weathersit]]=2,"lightrain","extremerain")))</f>
        <v>mist</v>
      </c>
    </row>
    <row r="309" spans="1:16" x14ac:dyDescent="0.25">
      <c r="A309" s="4">
        <v>308</v>
      </c>
      <c r="B309" s="4">
        <v>0.1212</v>
      </c>
      <c r="C309" s="4">
        <v>0.74</v>
      </c>
      <c r="D309" s="4">
        <v>0.16420000000000001</v>
      </c>
      <c r="E309" s="4">
        <v>0</v>
      </c>
      <c r="F309" s="4">
        <v>70</v>
      </c>
      <c r="G309" s="4">
        <v>70</v>
      </c>
      <c r="H309" s="5">
        <v>40557</v>
      </c>
      <c r="I309" s="4">
        <v>1</v>
      </c>
      <c r="J309" s="4">
        <v>7</v>
      </c>
      <c r="K309" s="4" t="b">
        <f>IF(Append1[[#This Row],[days]]="working day",FALSE,TRUE)</f>
        <v>0</v>
      </c>
      <c r="L309" s="4">
        <v>5</v>
      </c>
      <c r="M309" s="4">
        <v>1</v>
      </c>
      <c r="N309" s="6">
        <v>0.1</v>
      </c>
      <c r="O309" s="2" t="str">
        <f>IF(Append1[[#This Row],[weekday]]=0,"holiday",IF(AND(Append1[[#This Row],[weekday]]&gt;1,Append1[[#This Row],[weekday]]&lt;7),"working day","weekend"))</f>
        <v>working day</v>
      </c>
      <c r="P309" s="4" t="str">
        <f>IF(Append1[[#This Row],[weathersit]]=0,"sunny",IF(Append1[[#This Row],[weathersit]]=1,"mist",IF(Append1[[#This Row],[weathersit]]=2,"lightrain","extremerain")))</f>
        <v>mist</v>
      </c>
    </row>
    <row r="310" spans="1:16" x14ac:dyDescent="0.25">
      <c r="A310" s="4">
        <v>309</v>
      </c>
      <c r="B310" s="4">
        <v>0.16669999999999999</v>
      </c>
      <c r="C310" s="4">
        <v>0.68</v>
      </c>
      <c r="D310" s="4">
        <v>0</v>
      </c>
      <c r="E310" s="4">
        <v>2</v>
      </c>
      <c r="F310" s="4">
        <v>156</v>
      </c>
      <c r="G310" s="4">
        <v>158</v>
      </c>
      <c r="H310" s="5">
        <v>40557</v>
      </c>
      <c r="I310" s="4">
        <v>1</v>
      </c>
      <c r="J310" s="4">
        <v>8</v>
      </c>
      <c r="K310" s="4" t="b">
        <f>IF(Append1[[#This Row],[days]]="working day",FALSE,TRUE)</f>
        <v>0</v>
      </c>
      <c r="L310" s="4">
        <v>5</v>
      </c>
      <c r="M310" s="4">
        <v>1</v>
      </c>
      <c r="N310" s="6">
        <v>0.12</v>
      </c>
      <c r="O310" s="2" t="str">
        <f>IF(Append1[[#This Row],[weekday]]=0,"holiday",IF(AND(Append1[[#This Row],[weekday]]&gt;1,Append1[[#This Row],[weekday]]&lt;7),"working day","weekend"))</f>
        <v>working day</v>
      </c>
      <c r="P310" s="4" t="str">
        <f>IF(Append1[[#This Row],[weathersit]]=0,"sunny",IF(Append1[[#This Row],[weathersit]]=1,"mist",IF(Append1[[#This Row],[weathersit]]=2,"lightrain","extremerain")))</f>
        <v>mist</v>
      </c>
    </row>
    <row r="311" spans="1:16" x14ac:dyDescent="0.25">
      <c r="A311" s="4">
        <v>310</v>
      </c>
      <c r="B311" s="4">
        <v>0.1515</v>
      </c>
      <c r="C311" s="4">
        <v>0.69</v>
      </c>
      <c r="D311" s="4">
        <v>0.1343</v>
      </c>
      <c r="E311" s="4">
        <v>0</v>
      </c>
      <c r="F311" s="4">
        <v>117</v>
      </c>
      <c r="G311" s="4">
        <v>117</v>
      </c>
      <c r="H311" s="5">
        <v>40557</v>
      </c>
      <c r="I311" s="4">
        <v>1</v>
      </c>
      <c r="J311" s="4">
        <v>9</v>
      </c>
      <c r="K311" s="4" t="b">
        <f>IF(Append1[[#This Row],[days]]="working day",FALSE,TRUE)</f>
        <v>0</v>
      </c>
      <c r="L311" s="4">
        <v>5</v>
      </c>
      <c r="M311" s="4">
        <v>1</v>
      </c>
      <c r="N311" s="6">
        <v>0.14000000000000001</v>
      </c>
      <c r="O311" s="2" t="str">
        <f>IF(Append1[[#This Row],[weekday]]=0,"holiday",IF(AND(Append1[[#This Row],[weekday]]&gt;1,Append1[[#This Row],[weekday]]&lt;7),"working day","weekend"))</f>
        <v>working day</v>
      </c>
      <c r="P311" s="4" t="str">
        <f>IF(Append1[[#This Row],[weathersit]]=0,"sunny",IF(Append1[[#This Row],[weathersit]]=1,"mist",IF(Append1[[#This Row],[weathersit]]=2,"lightrain","extremerain")))</f>
        <v>mist</v>
      </c>
    </row>
    <row r="312" spans="1:16" x14ac:dyDescent="0.25">
      <c r="A312" s="4">
        <v>311</v>
      </c>
      <c r="B312" s="4">
        <v>0.18179999999999999</v>
      </c>
      <c r="C312" s="4">
        <v>0.55000000000000004</v>
      </c>
      <c r="D312" s="4">
        <v>0.19400000000000001</v>
      </c>
      <c r="E312" s="4">
        <v>4</v>
      </c>
      <c r="F312" s="4">
        <v>40</v>
      </c>
      <c r="G312" s="4">
        <v>44</v>
      </c>
      <c r="H312" s="5">
        <v>40557</v>
      </c>
      <c r="I312" s="4">
        <v>1</v>
      </c>
      <c r="J312" s="4">
        <v>10</v>
      </c>
      <c r="K312" s="4" t="b">
        <f>IF(Append1[[#This Row],[days]]="working day",FALSE,TRUE)</f>
        <v>0</v>
      </c>
      <c r="L312" s="4">
        <v>5</v>
      </c>
      <c r="M312" s="4">
        <v>1</v>
      </c>
      <c r="N312" s="6">
        <v>0.18</v>
      </c>
      <c r="O312" s="2" t="str">
        <f>IF(Append1[[#This Row],[weekday]]=0,"holiday",IF(AND(Append1[[#This Row],[weekday]]&gt;1,Append1[[#This Row],[weekday]]&lt;7),"working day","weekend"))</f>
        <v>working day</v>
      </c>
      <c r="P312" s="4" t="str">
        <f>IF(Append1[[#This Row],[weathersit]]=0,"sunny",IF(Append1[[#This Row],[weathersit]]=1,"mist",IF(Append1[[#This Row],[weathersit]]=2,"lightrain","extremerain")))</f>
        <v>mist</v>
      </c>
    </row>
    <row r="313" spans="1:16" x14ac:dyDescent="0.25">
      <c r="A313" s="4">
        <v>312</v>
      </c>
      <c r="B313" s="4">
        <v>0.16669999999999999</v>
      </c>
      <c r="C313" s="4">
        <v>0.51</v>
      </c>
      <c r="D313" s="4">
        <v>0.28360000000000002</v>
      </c>
      <c r="E313" s="4">
        <v>6</v>
      </c>
      <c r="F313" s="4">
        <v>47</v>
      </c>
      <c r="G313" s="4">
        <v>53</v>
      </c>
      <c r="H313" s="5">
        <v>40557</v>
      </c>
      <c r="I313" s="4">
        <v>1</v>
      </c>
      <c r="J313" s="4">
        <v>11</v>
      </c>
      <c r="K313" s="4" t="b">
        <f>IF(Append1[[#This Row],[days]]="working day",FALSE,TRUE)</f>
        <v>0</v>
      </c>
      <c r="L313" s="4">
        <v>5</v>
      </c>
      <c r="M313" s="4">
        <v>1</v>
      </c>
      <c r="N313" s="6">
        <v>0.18</v>
      </c>
      <c r="O313" s="2" t="str">
        <f>IF(Append1[[#This Row],[weekday]]=0,"holiday",IF(AND(Append1[[#This Row],[weekday]]&gt;1,Append1[[#This Row],[weekday]]&lt;7),"working day","weekend"))</f>
        <v>working day</v>
      </c>
      <c r="P313" s="4" t="str">
        <f>IF(Append1[[#This Row],[weathersit]]=0,"sunny",IF(Append1[[#This Row],[weathersit]]=1,"mist",IF(Append1[[#This Row],[weathersit]]=2,"lightrain","extremerain")))</f>
        <v>mist</v>
      </c>
    </row>
    <row r="314" spans="1:16" x14ac:dyDescent="0.25">
      <c r="A314" s="4">
        <v>313</v>
      </c>
      <c r="B314" s="4">
        <v>0.19700000000000001</v>
      </c>
      <c r="C314" s="4">
        <v>0.44</v>
      </c>
      <c r="D314" s="4">
        <v>0.25369999999999998</v>
      </c>
      <c r="E314" s="4">
        <v>2</v>
      </c>
      <c r="F314" s="4">
        <v>59</v>
      </c>
      <c r="G314" s="4">
        <v>61</v>
      </c>
      <c r="H314" s="5">
        <v>40557</v>
      </c>
      <c r="I314" s="4">
        <v>1</v>
      </c>
      <c r="J314" s="4">
        <v>12</v>
      </c>
      <c r="K314" s="4" t="b">
        <f>IF(Append1[[#This Row],[days]]="working day",FALSE,TRUE)</f>
        <v>0</v>
      </c>
      <c r="L314" s="4">
        <v>5</v>
      </c>
      <c r="M314" s="4">
        <v>1</v>
      </c>
      <c r="N314" s="6">
        <v>0.2</v>
      </c>
      <c r="O314" s="2" t="str">
        <f>IF(Append1[[#This Row],[weekday]]=0,"holiday",IF(AND(Append1[[#This Row],[weekday]]&gt;1,Append1[[#This Row],[weekday]]&lt;7),"working day","weekend"))</f>
        <v>working day</v>
      </c>
      <c r="P314" s="4" t="str">
        <f>IF(Append1[[#This Row],[weathersit]]=0,"sunny",IF(Append1[[#This Row],[weathersit]]=1,"mist",IF(Append1[[#This Row],[weathersit]]=2,"lightrain","extremerain")))</f>
        <v>mist</v>
      </c>
    </row>
    <row r="315" spans="1:16" x14ac:dyDescent="0.25">
      <c r="A315" s="4">
        <v>314</v>
      </c>
      <c r="B315" s="4">
        <v>0.19700000000000001</v>
      </c>
      <c r="C315" s="4">
        <v>0.37</v>
      </c>
      <c r="D315" s="4">
        <v>0.3881</v>
      </c>
      <c r="E315" s="4">
        <v>4</v>
      </c>
      <c r="F315" s="4">
        <v>73</v>
      </c>
      <c r="G315" s="4">
        <v>77</v>
      </c>
      <c r="H315" s="5">
        <v>40557</v>
      </c>
      <c r="I315" s="4">
        <v>1</v>
      </c>
      <c r="J315" s="4">
        <v>13</v>
      </c>
      <c r="K315" s="4" t="b">
        <f>IF(Append1[[#This Row],[days]]="working day",FALSE,TRUE)</f>
        <v>0</v>
      </c>
      <c r="L315" s="4">
        <v>5</v>
      </c>
      <c r="M315" s="4">
        <v>1</v>
      </c>
      <c r="N315" s="6">
        <v>0.22</v>
      </c>
      <c r="O315" s="2" t="str">
        <f>IF(Append1[[#This Row],[weekday]]=0,"holiday",IF(AND(Append1[[#This Row],[weekday]]&gt;1,Append1[[#This Row],[weekday]]&lt;7),"working day","weekend"))</f>
        <v>working day</v>
      </c>
      <c r="P315" s="4" t="str">
        <f>IF(Append1[[#This Row],[weathersit]]=0,"sunny",IF(Append1[[#This Row],[weathersit]]=1,"mist",IF(Append1[[#This Row],[weathersit]]=2,"lightrain","extremerain")))</f>
        <v>mist</v>
      </c>
    </row>
    <row r="316" spans="1:16" x14ac:dyDescent="0.25">
      <c r="A316" s="4">
        <v>315</v>
      </c>
      <c r="B316" s="4">
        <v>0.21210000000000001</v>
      </c>
      <c r="C316" s="4">
        <v>0.41</v>
      </c>
      <c r="D316" s="4">
        <v>0.28360000000000002</v>
      </c>
      <c r="E316" s="4">
        <v>5</v>
      </c>
      <c r="F316" s="4">
        <v>59</v>
      </c>
      <c r="G316" s="4">
        <v>64</v>
      </c>
      <c r="H316" s="5">
        <v>40557</v>
      </c>
      <c r="I316" s="4">
        <v>1</v>
      </c>
      <c r="J316" s="4">
        <v>14</v>
      </c>
      <c r="K316" s="4" t="b">
        <f>IF(Append1[[#This Row],[days]]="working day",FALSE,TRUE)</f>
        <v>0</v>
      </c>
      <c r="L316" s="4">
        <v>5</v>
      </c>
      <c r="M316" s="4">
        <v>1</v>
      </c>
      <c r="N316" s="6">
        <v>0.22</v>
      </c>
      <c r="O316" s="2" t="str">
        <f>IF(Append1[[#This Row],[weekday]]=0,"holiday",IF(AND(Append1[[#This Row],[weekday]]&gt;1,Append1[[#This Row],[weekday]]&lt;7),"working day","weekend"))</f>
        <v>working day</v>
      </c>
      <c r="P316" s="4" t="str">
        <f>IF(Append1[[#This Row],[weathersit]]=0,"sunny",IF(Append1[[#This Row],[weathersit]]=1,"mist",IF(Append1[[#This Row],[weathersit]]=2,"lightrain","extremerain")))</f>
        <v>mist</v>
      </c>
    </row>
    <row r="317" spans="1:16" x14ac:dyDescent="0.25">
      <c r="A317" s="4">
        <v>316</v>
      </c>
      <c r="B317" s="4">
        <v>0.2424</v>
      </c>
      <c r="C317" s="4">
        <v>0.38</v>
      </c>
      <c r="D317" s="4">
        <v>0.16420000000000001</v>
      </c>
      <c r="E317" s="4">
        <v>9</v>
      </c>
      <c r="F317" s="4">
        <v>59</v>
      </c>
      <c r="G317" s="4">
        <v>68</v>
      </c>
      <c r="H317" s="5">
        <v>40557</v>
      </c>
      <c r="I317" s="4">
        <v>1</v>
      </c>
      <c r="J317" s="4">
        <v>15</v>
      </c>
      <c r="K317" s="4" t="b">
        <f>IF(Append1[[#This Row],[days]]="working day",FALSE,TRUE)</f>
        <v>0</v>
      </c>
      <c r="L317" s="4">
        <v>5</v>
      </c>
      <c r="M317" s="4">
        <v>1</v>
      </c>
      <c r="N317" s="6">
        <v>0.24</v>
      </c>
      <c r="O317" s="2" t="str">
        <f>IF(Append1[[#This Row],[weekday]]=0,"holiday",IF(AND(Append1[[#This Row],[weekday]]&gt;1,Append1[[#This Row],[weekday]]&lt;7),"working day","weekend"))</f>
        <v>working day</v>
      </c>
      <c r="P317" s="4" t="str">
        <f>IF(Append1[[#This Row],[weathersit]]=0,"sunny",IF(Append1[[#This Row],[weathersit]]=1,"mist",IF(Append1[[#This Row],[weathersit]]=2,"lightrain","extremerain")))</f>
        <v>mist</v>
      </c>
    </row>
    <row r="318" spans="1:16" x14ac:dyDescent="0.25">
      <c r="A318" s="4">
        <v>317</v>
      </c>
      <c r="B318" s="4">
        <v>0.2424</v>
      </c>
      <c r="C318" s="4">
        <v>0.41</v>
      </c>
      <c r="D318" s="4">
        <v>0.1045</v>
      </c>
      <c r="E318" s="4">
        <v>3</v>
      </c>
      <c r="F318" s="4">
        <v>87</v>
      </c>
      <c r="G318" s="4">
        <v>90</v>
      </c>
      <c r="H318" s="5">
        <v>40557</v>
      </c>
      <c r="I318" s="4">
        <v>1</v>
      </c>
      <c r="J318" s="4">
        <v>16</v>
      </c>
      <c r="K318" s="4" t="b">
        <f>IF(Append1[[#This Row],[days]]="working day",FALSE,TRUE)</f>
        <v>0</v>
      </c>
      <c r="L318" s="4">
        <v>5</v>
      </c>
      <c r="M318" s="4">
        <v>1</v>
      </c>
      <c r="N318" s="6">
        <v>0.22</v>
      </c>
      <c r="O318" s="2" t="str">
        <f>IF(Append1[[#This Row],[weekday]]=0,"holiday",IF(AND(Append1[[#This Row],[weekday]]&gt;1,Append1[[#This Row],[weekday]]&lt;7),"working day","weekend"))</f>
        <v>working day</v>
      </c>
      <c r="P318" s="4" t="str">
        <f>IF(Append1[[#This Row],[weathersit]]=0,"sunny",IF(Append1[[#This Row],[weathersit]]=1,"mist",IF(Append1[[#This Row],[weathersit]]=2,"lightrain","extremerain")))</f>
        <v>mist</v>
      </c>
    </row>
    <row r="319" spans="1:16" x14ac:dyDescent="0.25">
      <c r="A319" s="4">
        <v>318</v>
      </c>
      <c r="B319" s="4">
        <v>0.2273</v>
      </c>
      <c r="C319" s="4">
        <v>0.41</v>
      </c>
      <c r="D319" s="4">
        <v>0.16420000000000001</v>
      </c>
      <c r="E319" s="4">
        <v>4</v>
      </c>
      <c r="F319" s="4">
        <v>155</v>
      </c>
      <c r="G319" s="4">
        <v>159</v>
      </c>
      <c r="H319" s="5">
        <v>40557</v>
      </c>
      <c r="I319" s="4">
        <v>1</v>
      </c>
      <c r="J319" s="4">
        <v>17</v>
      </c>
      <c r="K319" s="4" t="b">
        <f>IF(Append1[[#This Row],[days]]="working day",FALSE,TRUE)</f>
        <v>0</v>
      </c>
      <c r="L319" s="4">
        <v>5</v>
      </c>
      <c r="M319" s="4">
        <v>1</v>
      </c>
      <c r="N319" s="6">
        <v>0.22</v>
      </c>
      <c r="O319" s="2" t="str">
        <f>IF(Append1[[#This Row],[weekday]]=0,"holiday",IF(AND(Append1[[#This Row],[weekday]]&gt;1,Append1[[#This Row],[weekday]]&lt;7),"working day","weekend"))</f>
        <v>working day</v>
      </c>
      <c r="P319" s="4" t="str">
        <f>IF(Append1[[#This Row],[weathersit]]=0,"sunny",IF(Append1[[#This Row],[weathersit]]=1,"mist",IF(Append1[[#This Row],[weathersit]]=2,"lightrain","extremerain")))</f>
        <v>mist</v>
      </c>
    </row>
    <row r="320" spans="1:16" x14ac:dyDescent="0.25">
      <c r="A320" s="4">
        <v>319</v>
      </c>
      <c r="B320" s="4">
        <v>0.2576</v>
      </c>
      <c r="C320" s="4">
        <v>0.47</v>
      </c>
      <c r="D320" s="4">
        <v>0</v>
      </c>
      <c r="E320" s="4">
        <v>5</v>
      </c>
      <c r="F320" s="4">
        <v>134</v>
      </c>
      <c r="G320" s="4">
        <v>139</v>
      </c>
      <c r="H320" s="5">
        <v>40557</v>
      </c>
      <c r="I320" s="4">
        <v>1</v>
      </c>
      <c r="J320" s="4">
        <v>18</v>
      </c>
      <c r="K320" s="4" t="b">
        <f>IF(Append1[[#This Row],[days]]="working day",FALSE,TRUE)</f>
        <v>0</v>
      </c>
      <c r="L320" s="4">
        <v>5</v>
      </c>
      <c r="M320" s="4">
        <v>1</v>
      </c>
      <c r="N320" s="6">
        <v>0.2</v>
      </c>
      <c r="O320" s="2" t="str">
        <f>IF(Append1[[#This Row],[weekday]]=0,"holiday",IF(AND(Append1[[#This Row],[weekday]]&gt;1,Append1[[#This Row],[weekday]]&lt;7),"working day","weekend"))</f>
        <v>working day</v>
      </c>
      <c r="P320" s="4" t="str">
        <f>IF(Append1[[#This Row],[weathersit]]=0,"sunny",IF(Append1[[#This Row],[weathersit]]=1,"mist",IF(Append1[[#This Row],[weathersit]]=2,"lightrain","extremerain")))</f>
        <v>mist</v>
      </c>
    </row>
    <row r="321" spans="1:16" x14ac:dyDescent="0.25">
      <c r="A321" s="4">
        <v>320</v>
      </c>
      <c r="B321" s="4">
        <v>0.19700000000000001</v>
      </c>
      <c r="C321" s="4">
        <v>0.59</v>
      </c>
      <c r="D321" s="4">
        <v>8.9599999999999999E-2</v>
      </c>
      <c r="E321" s="4">
        <v>3</v>
      </c>
      <c r="F321" s="4">
        <v>89</v>
      </c>
      <c r="G321" s="4">
        <v>92</v>
      </c>
      <c r="H321" s="5">
        <v>40557</v>
      </c>
      <c r="I321" s="4">
        <v>1</v>
      </c>
      <c r="J321" s="4">
        <v>19</v>
      </c>
      <c r="K321" s="4" t="b">
        <f>IF(Append1[[#This Row],[days]]="working day",FALSE,TRUE)</f>
        <v>0</v>
      </c>
      <c r="L321" s="4">
        <v>5</v>
      </c>
      <c r="M321" s="4">
        <v>1</v>
      </c>
      <c r="N321" s="6">
        <v>0.16</v>
      </c>
      <c r="O321" s="2" t="str">
        <f>IF(Append1[[#This Row],[weekday]]=0,"holiday",IF(AND(Append1[[#This Row],[weekday]]&gt;1,Append1[[#This Row],[weekday]]&lt;7),"working day","weekend"))</f>
        <v>working day</v>
      </c>
      <c r="P321" s="4" t="str">
        <f>IF(Append1[[#This Row],[weathersit]]=0,"sunny",IF(Append1[[#This Row],[weathersit]]=1,"mist",IF(Append1[[#This Row],[weathersit]]=2,"lightrain","extremerain")))</f>
        <v>mist</v>
      </c>
    </row>
    <row r="322" spans="1:16" x14ac:dyDescent="0.25">
      <c r="A322" s="4">
        <v>321</v>
      </c>
      <c r="B322" s="4">
        <v>0.2424</v>
      </c>
      <c r="C322" s="4">
        <v>0.59</v>
      </c>
      <c r="D322" s="4">
        <v>0</v>
      </c>
      <c r="E322" s="4">
        <v>0</v>
      </c>
      <c r="F322" s="4">
        <v>68</v>
      </c>
      <c r="G322" s="4">
        <v>68</v>
      </c>
      <c r="H322" s="5">
        <v>40557</v>
      </c>
      <c r="I322" s="4">
        <v>1</v>
      </c>
      <c r="J322" s="4">
        <v>20</v>
      </c>
      <c r="K322" s="4" t="b">
        <f>IF(Append1[[#This Row],[days]]="working day",FALSE,TRUE)</f>
        <v>0</v>
      </c>
      <c r="L322" s="4">
        <v>5</v>
      </c>
      <c r="M322" s="4">
        <v>1</v>
      </c>
      <c r="N322" s="6">
        <v>0.18</v>
      </c>
      <c r="O322" s="2" t="str">
        <f>IF(Append1[[#This Row],[weekday]]=0,"holiday",IF(AND(Append1[[#This Row],[weekday]]&gt;1,Append1[[#This Row],[weekday]]&lt;7),"working day","weekend"))</f>
        <v>working day</v>
      </c>
      <c r="P322" s="4" t="str">
        <f>IF(Append1[[#This Row],[weathersit]]=0,"sunny",IF(Append1[[#This Row],[weathersit]]=1,"mist",IF(Append1[[#This Row],[weathersit]]=2,"lightrain","extremerain")))</f>
        <v>mist</v>
      </c>
    </row>
    <row r="323" spans="1:16" x14ac:dyDescent="0.25">
      <c r="A323" s="4">
        <v>322</v>
      </c>
      <c r="B323" s="4">
        <v>0.2273</v>
      </c>
      <c r="C323" s="4">
        <v>0.69</v>
      </c>
      <c r="D323" s="4">
        <v>0</v>
      </c>
      <c r="E323" s="4">
        <v>4</v>
      </c>
      <c r="F323" s="4">
        <v>48</v>
      </c>
      <c r="G323" s="4">
        <v>52</v>
      </c>
      <c r="H323" s="5">
        <v>40557</v>
      </c>
      <c r="I323" s="4">
        <v>1</v>
      </c>
      <c r="J323" s="4">
        <v>21</v>
      </c>
      <c r="K323" s="4" t="b">
        <f>IF(Append1[[#This Row],[days]]="working day",FALSE,TRUE)</f>
        <v>0</v>
      </c>
      <c r="L323" s="4">
        <v>5</v>
      </c>
      <c r="M323" s="4">
        <v>1</v>
      </c>
      <c r="N323" s="6">
        <v>0.16</v>
      </c>
      <c r="O323" s="2" t="str">
        <f>IF(Append1[[#This Row],[weekday]]=0,"holiday",IF(AND(Append1[[#This Row],[weekday]]&gt;1,Append1[[#This Row],[weekday]]&lt;7),"working day","weekend"))</f>
        <v>working day</v>
      </c>
      <c r="P323" s="4" t="str">
        <f>IF(Append1[[#This Row],[weathersit]]=0,"sunny",IF(Append1[[#This Row],[weathersit]]=1,"mist",IF(Append1[[#This Row],[weathersit]]=2,"lightrain","extremerain")))</f>
        <v>mist</v>
      </c>
    </row>
    <row r="324" spans="1:16" x14ac:dyDescent="0.25">
      <c r="A324" s="4">
        <v>323</v>
      </c>
      <c r="B324" s="4">
        <v>0.2273</v>
      </c>
      <c r="C324" s="4">
        <v>0.69</v>
      </c>
      <c r="D324" s="4">
        <v>0</v>
      </c>
      <c r="E324" s="4">
        <v>2</v>
      </c>
      <c r="F324" s="4">
        <v>34</v>
      </c>
      <c r="G324" s="4">
        <v>36</v>
      </c>
      <c r="H324" s="5">
        <v>40557</v>
      </c>
      <c r="I324" s="4">
        <v>1</v>
      </c>
      <c r="J324" s="4">
        <v>22</v>
      </c>
      <c r="K324" s="4" t="b">
        <f>IF(Append1[[#This Row],[days]]="working day",FALSE,TRUE)</f>
        <v>0</v>
      </c>
      <c r="L324" s="4">
        <v>5</v>
      </c>
      <c r="M324" s="4">
        <v>2</v>
      </c>
      <c r="N324" s="6">
        <v>0.16</v>
      </c>
      <c r="O324" s="2" t="str">
        <f>IF(Append1[[#This Row],[weekday]]=0,"holiday",IF(AND(Append1[[#This Row],[weekday]]&gt;1,Append1[[#This Row],[weekday]]&lt;7),"working day","weekend"))</f>
        <v>working day</v>
      </c>
      <c r="P324" s="4" t="str">
        <f>IF(Append1[[#This Row],[weathersit]]=0,"sunny",IF(Append1[[#This Row],[weathersit]]=1,"mist",IF(Append1[[#This Row],[weathersit]]=2,"lightrain","extremerain")))</f>
        <v>lightrain</v>
      </c>
    </row>
    <row r="325" spans="1:16" x14ac:dyDescent="0.25">
      <c r="A325" s="4">
        <v>324</v>
      </c>
      <c r="B325" s="4">
        <v>0.2424</v>
      </c>
      <c r="C325" s="4">
        <v>0.55000000000000004</v>
      </c>
      <c r="D325" s="4">
        <v>0</v>
      </c>
      <c r="E325" s="4">
        <v>1</v>
      </c>
      <c r="F325" s="4">
        <v>26</v>
      </c>
      <c r="G325" s="4">
        <v>27</v>
      </c>
      <c r="H325" s="5">
        <v>40557</v>
      </c>
      <c r="I325" s="4">
        <v>1</v>
      </c>
      <c r="J325" s="4">
        <v>23</v>
      </c>
      <c r="K325" s="4" t="b">
        <f>IF(Append1[[#This Row],[days]]="working day",FALSE,TRUE)</f>
        <v>0</v>
      </c>
      <c r="L325" s="4">
        <v>5</v>
      </c>
      <c r="M325" s="4">
        <v>2</v>
      </c>
      <c r="N325" s="6">
        <v>0.18</v>
      </c>
      <c r="O325" s="2" t="str">
        <f>IF(Append1[[#This Row],[weekday]]=0,"holiday",IF(AND(Append1[[#This Row],[weekday]]&gt;1,Append1[[#This Row],[weekday]]&lt;7),"working day","weekend"))</f>
        <v>working day</v>
      </c>
      <c r="P325" s="4" t="str">
        <f>IF(Append1[[#This Row],[weathersit]]=0,"sunny",IF(Append1[[#This Row],[weathersit]]=1,"mist",IF(Append1[[#This Row],[weathersit]]=2,"lightrain","extremerain")))</f>
        <v>lightrain</v>
      </c>
    </row>
    <row r="326" spans="1:16" x14ac:dyDescent="0.25">
      <c r="A326" s="4">
        <v>325</v>
      </c>
      <c r="B326" s="4">
        <v>0.2424</v>
      </c>
      <c r="C326" s="4">
        <v>0.55000000000000004</v>
      </c>
      <c r="D326" s="4">
        <v>0</v>
      </c>
      <c r="E326" s="4">
        <v>3</v>
      </c>
      <c r="F326" s="4">
        <v>25</v>
      </c>
      <c r="G326" s="4">
        <v>28</v>
      </c>
      <c r="H326" s="5">
        <v>40558</v>
      </c>
      <c r="I326" s="4">
        <v>1</v>
      </c>
      <c r="J326" s="4">
        <v>0</v>
      </c>
      <c r="K326" s="4" t="b">
        <f>IF(Append1[[#This Row],[days]]="working day",FALSE,TRUE)</f>
        <v>0</v>
      </c>
      <c r="L326" s="4">
        <v>6</v>
      </c>
      <c r="M326" s="4">
        <v>1</v>
      </c>
      <c r="N326" s="6">
        <v>0.18</v>
      </c>
      <c r="O326" s="2" t="str">
        <f>IF(Append1[[#This Row],[weekday]]=0,"holiday",IF(AND(Append1[[#This Row],[weekday]]&gt;1,Append1[[#This Row],[weekday]]&lt;7),"working day","weekend"))</f>
        <v>working day</v>
      </c>
      <c r="P326" s="4" t="str">
        <f>IF(Append1[[#This Row],[weathersit]]=0,"sunny",IF(Append1[[#This Row],[weathersit]]=1,"mist",IF(Append1[[#This Row],[weathersit]]=2,"lightrain","extremerain")))</f>
        <v>mist</v>
      </c>
    </row>
    <row r="327" spans="1:16" x14ac:dyDescent="0.25">
      <c r="A327" s="4">
        <v>326</v>
      </c>
      <c r="B327" s="4">
        <v>0.19700000000000001</v>
      </c>
      <c r="C327" s="4">
        <v>0.59</v>
      </c>
      <c r="D327" s="4">
        <v>8.9599999999999999E-2</v>
      </c>
      <c r="E327" s="4">
        <v>2</v>
      </c>
      <c r="F327" s="4">
        <v>18</v>
      </c>
      <c r="G327" s="4">
        <v>20</v>
      </c>
      <c r="H327" s="5">
        <v>40558</v>
      </c>
      <c r="I327" s="4">
        <v>1</v>
      </c>
      <c r="J327" s="4">
        <v>1</v>
      </c>
      <c r="K327" s="4" t="b">
        <f>IF(Append1[[#This Row],[days]]="working day",FALSE,TRUE)</f>
        <v>0</v>
      </c>
      <c r="L327" s="4">
        <v>6</v>
      </c>
      <c r="M327" s="4">
        <v>2</v>
      </c>
      <c r="N327" s="6">
        <v>0.16</v>
      </c>
      <c r="O327" s="2" t="str">
        <f>IF(Append1[[#This Row],[weekday]]=0,"holiday",IF(AND(Append1[[#This Row],[weekday]]&gt;1,Append1[[#This Row],[weekday]]&lt;7),"working day","weekend"))</f>
        <v>working day</v>
      </c>
      <c r="P327" s="4" t="str">
        <f>IF(Append1[[#This Row],[weathersit]]=0,"sunny",IF(Append1[[#This Row],[weathersit]]=1,"mist",IF(Append1[[#This Row],[weathersit]]=2,"lightrain","extremerain")))</f>
        <v>lightrain</v>
      </c>
    </row>
    <row r="328" spans="1:16" x14ac:dyDescent="0.25">
      <c r="A328" s="4">
        <v>327</v>
      </c>
      <c r="B328" s="4">
        <v>0.19700000000000001</v>
      </c>
      <c r="C328" s="4">
        <v>0.59</v>
      </c>
      <c r="D328" s="4">
        <v>8.9599999999999999E-2</v>
      </c>
      <c r="E328" s="4">
        <v>0</v>
      </c>
      <c r="F328" s="4">
        <v>12</v>
      </c>
      <c r="G328" s="4">
        <v>12</v>
      </c>
      <c r="H328" s="5">
        <v>40558</v>
      </c>
      <c r="I328" s="4">
        <v>1</v>
      </c>
      <c r="J328" s="4">
        <v>2</v>
      </c>
      <c r="K328" s="4" t="b">
        <f>IF(Append1[[#This Row],[days]]="working day",FALSE,TRUE)</f>
        <v>0</v>
      </c>
      <c r="L328" s="4">
        <v>6</v>
      </c>
      <c r="M328" s="4">
        <v>2</v>
      </c>
      <c r="N328" s="6">
        <v>0.16</v>
      </c>
      <c r="O328" s="2" t="str">
        <f>IF(Append1[[#This Row],[weekday]]=0,"holiday",IF(AND(Append1[[#This Row],[weekday]]&gt;1,Append1[[#This Row],[weekday]]&lt;7),"working day","weekend"))</f>
        <v>working day</v>
      </c>
      <c r="P328" s="4" t="str">
        <f>IF(Append1[[#This Row],[weathersit]]=0,"sunny",IF(Append1[[#This Row],[weathersit]]=1,"mist",IF(Append1[[#This Row],[weathersit]]=2,"lightrain","extremerain")))</f>
        <v>lightrain</v>
      </c>
    </row>
    <row r="329" spans="1:16" x14ac:dyDescent="0.25">
      <c r="A329" s="4">
        <v>328</v>
      </c>
      <c r="B329" s="4">
        <v>0.2273</v>
      </c>
      <c r="C329" s="4">
        <v>0.59</v>
      </c>
      <c r="D329" s="4">
        <v>0</v>
      </c>
      <c r="E329" s="4">
        <v>1</v>
      </c>
      <c r="F329" s="4">
        <v>7</v>
      </c>
      <c r="G329" s="4">
        <v>8</v>
      </c>
      <c r="H329" s="5">
        <v>40558</v>
      </c>
      <c r="I329" s="4">
        <v>1</v>
      </c>
      <c r="J329" s="4">
        <v>3</v>
      </c>
      <c r="K329" s="4" t="b">
        <f>IF(Append1[[#This Row],[days]]="working day",FALSE,TRUE)</f>
        <v>0</v>
      </c>
      <c r="L329" s="4">
        <v>6</v>
      </c>
      <c r="M329" s="4">
        <v>2</v>
      </c>
      <c r="N329" s="6">
        <v>0.16</v>
      </c>
      <c r="O329" s="2" t="str">
        <f>IF(Append1[[#This Row],[weekday]]=0,"holiday",IF(AND(Append1[[#This Row],[weekday]]&gt;1,Append1[[#This Row],[weekday]]&lt;7),"working day","weekend"))</f>
        <v>working day</v>
      </c>
      <c r="P329" s="4" t="str">
        <f>IF(Append1[[#This Row],[weathersit]]=0,"sunny",IF(Append1[[#This Row],[weathersit]]=1,"mist",IF(Append1[[#This Row],[weathersit]]=2,"lightrain","extremerain")))</f>
        <v>lightrain</v>
      </c>
    </row>
    <row r="330" spans="1:16" x14ac:dyDescent="0.25">
      <c r="A330" s="4">
        <v>329</v>
      </c>
      <c r="B330" s="4">
        <v>0.2273</v>
      </c>
      <c r="C330" s="4">
        <v>0.59</v>
      </c>
      <c r="D330" s="4">
        <v>0</v>
      </c>
      <c r="E330" s="4">
        <v>0</v>
      </c>
      <c r="F330" s="4">
        <v>5</v>
      </c>
      <c r="G330" s="4">
        <v>5</v>
      </c>
      <c r="H330" s="5">
        <v>40558</v>
      </c>
      <c r="I330" s="4">
        <v>1</v>
      </c>
      <c r="J330" s="4">
        <v>4</v>
      </c>
      <c r="K330" s="4" t="b">
        <f>IF(Append1[[#This Row],[days]]="working day",FALSE,TRUE)</f>
        <v>0</v>
      </c>
      <c r="L330" s="4">
        <v>6</v>
      </c>
      <c r="M330" s="4">
        <v>2</v>
      </c>
      <c r="N330" s="6">
        <v>0.16</v>
      </c>
      <c r="O330" s="2" t="str">
        <f>IF(Append1[[#This Row],[weekday]]=0,"holiday",IF(AND(Append1[[#This Row],[weekday]]&gt;1,Append1[[#This Row],[weekday]]&lt;7),"working day","weekend"))</f>
        <v>working day</v>
      </c>
      <c r="P330" s="4" t="str">
        <f>IF(Append1[[#This Row],[weathersit]]=0,"sunny",IF(Append1[[#This Row],[weathersit]]=1,"mist",IF(Append1[[#This Row],[weathersit]]=2,"lightrain","extremerain")))</f>
        <v>lightrain</v>
      </c>
    </row>
    <row r="331" spans="1:16" x14ac:dyDescent="0.25">
      <c r="A331" s="4">
        <v>330</v>
      </c>
      <c r="B331" s="4">
        <v>0.2273</v>
      </c>
      <c r="C331" s="4">
        <v>0.59</v>
      </c>
      <c r="D331" s="4">
        <v>0</v>
      </c>
      <c r="E331" s="4">
        <v>0</v>
      </c>
      <c r="F331" s="4">
        <v>1</v>
      </c>
      <c r="G331" s="4">
        <v>1</v>
      </c>
      <c r="H331" s="5">
        <v>40558</v>
      </c>
      <c r="I331" s="4">
        <v>1</v>
      </c>
      <c r="J331" s="4">
        <v>5</v>
      </c>
      <c r="K331" s="4" t="b">
        <f>IF(Append1[[#This Row],[days]]="working day",FALSE,TRUE)</f>
        <v>0</v>
      </c>
      <c r="L331" s="4">
        <v>6</v>
      </c>
      <c r="M331" s="4">
        <v>1</v>
      </c>
      <c r="N331" s="6">
        <v>0.16</v>
      </c>
      <c r="O331" s="2" t="str">
        <f>IF(Append1[[#This Row],[weekday]]=0,"holiday",IF(AND(Append1[[#This Row],[weekday]]&gt;1,Append1[[#This Row],[weekday]]&lt;7),"working day","weekend"))</f>
        <v>working day</v>
      </c>
      <c r="P331" s="4" t="str">
        <f>IF(Append1[[#This Row],[weathersit]]=0,"sunny",IF(Append1[[#This Row],[weathersit]]=1,"mist",IF(Append1[[#This Row],[weathersit]]=2,"lightrain","extremerain")))</f>
        <v>mist</v>
      </c>
    </row>
    <row r="332" spans="1:16" x14ac:dyDescent="0.25">
      <c r="A332" s="4">
        <v>331</v>
      </c>
      <c r="B332" s="4">
        <v>0.16669999999999999</v>
      </c>
      <c r="C332" s="4">
        <v>0.63</v>
      </c>
      <c r="D332" s="4">
        <v>0.1045</v>
      </c>
      <c r="E332" s="4">
        <v>1</v>
      </c>
      <c r="F332" s="4">
        <v>2</v>
      </c>
      <c r="G332" s="4">
        <v>3</v>
      </c>
      <c r="H332" s="5">
        <v>40558</v>
      </c>
      <c r="I332" s="4">
        <v>1</v>
      </c>
      <c r="J332" s="4">
        <v>6</v>
      </c>
      <c r="K332" s="4" t="b">
        <f>IF(Append1[[#This Row],[days]]="working day",FALSE,TRUE)</f>
        <v>0</v>
      </c>
      <c r="L332" s="4">
        <v>6</v>
      </c>
      <c r="M332" s="4">
        <v>1</v>
      </c>
      <c r="N332" s="6">
        <v>0.14000000000000001</v>
      </c>
      <c r="O332" s="2" t="str">
        <f>IF(Append1[[#This Row],[weekday]]=0,"holiday",IF(AND(Append1[[#This Row],[weekday]]&gt;1,Append1[[#This Row],[weekday]]&lt;7),"working day","weekend"))</f>
        <v>working day</v>
      </c>
      <c r="P332" s="4" t="str">
        <f>IF(Append1[[#This Row],[weathersit]]=0,"sunny",IF(Append1[[#This Row],[weathersit]]=1,"mist",IF(Append1[[#This Row],[weathersit]]=2,"lightrain","extremerain")))</f>
        <v>mist</v>
      </c>
    </row>
    <row r="333" spans="1:16" x14ac:dyDescent="0.25">
      <c r="A333" s="4">
        <v>332</v>
      </c>
      <c r="B333" s="4">
        <v>0.21210000000000001</v>
      </c>
      <c r="C333" s="4">
        <v>0.63</v>
      </c>
      <c r="D333" s="4">
        <v>0</v>
      </c>
      <c r="E333" s="4">
        <v>1</v>
      </c>
      <c r="F333" s="4">
        <v>9</v>
      </c>
      <c r="G333" s="4">
        <v>10</v>
      </c>
      <c r="H333" s="5">
        <v>40558</v>
      </c>
      <c r="I333" s="4">
        <v>1</v>
      </c>
      <c r="J333" s="4">
        <v>7</v>
      </c>
      <c r="K333" s="4" t="b">
        <f>IF(Append1[[#This Row],[days]]="working day",FALSE,TRUE)</f>
        <v>0</v>
      </c>
      <c r="L333" s="4">
        <v>6</v>
      </c>
      <c r="M333" s="4">
        <v>1</v>
      </c>
      <c r="N333" s="6">
        <v>0.14000000000000001</v>
      </c>
      <c r="O333" s="2" t="str">
        <f>IF(Append1[[#This Row],[weekday]]=0,"holiday",IF(AND(Append1[[#This Row],[weekday]]&gt;1,Append1[[#This Row],[weekday]]&lt;7),"working day","weekend"))</f>
        <v>working day</v>
      </c>
      <c r="P333" s="4" t="str">
        <f>IF(Append1[[#This Row],[weathersit]]=0,"sunny",IF(Append1[[#This Row],[weathersit]]=1,"mist",IF(Append1[[#This Row],[weathersit]]=2,"lightrain","extremerain")))</f>
        <v>mist</v>
      </c>
    </row>
    <row r="334" spans="1:16" x14ac:dyDescent="0.25">
      <c r="A334" s="4">
        <v>333</v>
      </c>
      <c r="B334" s="4">
        <v>0.1515</v>
      </c>
      <c r="C334" s="4">
        <v>0.63</v>
      </c>
      <c r="D334" s="4">
        <v>0.1343</v>
      </c>
      <c r="E334" s="4">
        <v>1</v>
      </c>
      <c r="F334" s="4">
        <v>22</v>
      </c>
      <c r="G334" s="4">
        <v>23</v>
      </c>
      <c r="H334" s="5">
        <v>40558</v>
      </c>
      <c r="I334" s="4">
        <v>1</v>
      </c>
      <c r="J334" s="4">
        <v>8</v>
      </c>
      <c r="K334" s="4" t="b">
        <f>IF(Append1[[#This Row],[days]]="working day",FALSE,TRUE)</f>
        <v>0</v>
      </c>
      <c r="L334" s="4">
        <v>6</v>
      </c>
      <c r="M334" s="4">
        <v>1</v>
      </c>
      <c r="N334" s="6">
        <v>0.14000000000000001</v>
      </c>
      <c r="O334" s="2" t="str">
        <f>IF(Append1[[#This Row],[weekday]]=0,"holiday",IF(AND(Append1[[#This Row],[weekday]]&gt;1,Append1[[#This Row],[weekday]]&lt;7),"working day","weekend"))</f>
        <v>working day</v>
      </c>
      <c r="P334" s="4" t="str">
        <f>IF(Append1[[#This Row],[weathersit]]=0,"sunny",IF(Append1[[#This Row],[weathersit]]=1,"mist",IF(Append1[[#This Row],[weathersit]]=2,"lightrain","extremerain")))</f>
        <v>mist</v>
      </c>
    </row>
    <row r="335" spans="1:16" x14ac:dyDescent="0.25">
      <c r="A335" s="4">
        <v>334</v>
      </c>
      <c r="B335" s="4">
        <v>0.18179999999999999</v>
      </c>
      <c r="C335" s="4">
        <v>0.64</v>
      </c>
      <c r="D335" s="4">
        <v>0.1343</v>
      </c>
      <c r="E335" s="4">
        <v>2</v>
      </c>
      <c r="F335" s="4">
        <v>31</v>
      </c>
      <c r="G335" s="4">
        <v>33</v>
      </c>
      <c r="H335" s="5">
        <v>40558</v>
      </c>
      <c r="I335" s="4">
        <v>1</v>
      </c>
      <c r="J335" s="4">
        <v>9</v>
      </c>
      <c r="K335" s="4" t="b">
        <f>IF(Append1[[#This Row],[days]]="working day",FALSE,TRUE)</f>
        <v>0</v>
      </c>
      <c r="L335" s="4">
        <v>6</v>
      </c>
      <c r="M335" s="4">
        <v>1</v>
      </c>
      <c r="N335" s="6">
        <v>0.16</v>
      </c>
      <c r="O335" s="2" t="str">
        <f>IF(Append1[[#This Row],[weekday]]=0,"holiday",IF(AND(Append1[[#This Row],[weekday]]&gt;1,Append1[[#This Row],[weekday]]&lt;7),"working day","weekend"))</f>
        <v>working day</v>
      </c>
      <c r="P335" s="4" t="str">
        <f>IF(Append1[[#This Row],[weathersit]]=0,"sunny",IF(Append1[[#This Row],[weathersit]]=1,"mist",IF(Append1[[#This Row],[weathersit]]=2,"lightrain","extremerain")))</f>
        <v>mist</v>
      </c>
    </row>
    <row r="336" spans="1:16" x14ac:dyDescent="0.25">
      <c r="A336" s="4">
        <v>335</v>
      </c>
      <c r="B336" s="4">
        <v>0.19700000000000001</v>
      </c>
      <c r="C336" s="4">
        <v>0.59</v>
      </c>
      <c r="D336" s="4">
        <v>0.16420000000000001</v>
      </c>
      <c r="E336" s="4">
        <v>2</v>
      </c>
      <c r="F336" s="4">
        <v>57</v>
      </c>
      <c r="G336" s="4">
        <v>59</v>
      </c>
      <c r="H336" s="5">
        <v>40558</v>
      </c>
      <c r="I336" s="4">
        <v>1</v>
      </c>
      <c r="J336" s="4">
        <v>10</v>
      </c>
      <c r="K336" s="4" t="b">
        <f>IF(Append1[[#This Row],[days]]="working day",FALSE,TRUE)</f>
        <v>0</v>
      </c>
      <c r="L336" s="4">
        <v>6</v>
      </c>
      <c r="M336" s="4">
        <v>1</v>
      </c>
      <c r="N336" s="6">
        <v>0.18</v>
      </c>
      <c r="O336" s="2" t="str">
        <f>IF(Append1[[#This Row],[weekday]]=0,"holiday",IF(AND(Append1[[#This Row],[weekday]]&gt;1,Append1[[#This Row],[weekday]]&lt;7),"working day","weekend"))</f>
        <v>working day</v>
      </c>
      <c r="P336" s="4" t="str">
        <f>IF(Append1[[#This Row],[weathersit]]=0,"sunny",IF(Append1[[#This Row],[weathersit]]=1,"mist",IF(Append1[[#This Row],[weathersit]]=2,"lightrain","extremerain")))</f>
        <v>mist</v>
      </c>
    </row>
    <row r="337" spans="1:16" x14ac:dyDescent="0.25">
      <c r="A337" s="4">
        <v>336</v>
      </c>
      <c r="B337" s="4">
        <v>0.19700000000000001</v>
      </c>
      <c r="C337" s="4">
        <v>0.55000000000000004</v>
      </c>
      <c r="D337" s="4">
        <v>0.22389999999999999</v>
      </c>
      <c r="E337" s="4">
        <v>18</v>
      </c>
      <c r="F337" s="4">
        <v>54</v>
      </c>
      <c r="G337" s="4">
        <v>72</v>
      </c>
      <c r="H337" s="5">
        <v>40558</v>
      </c>
      <c r="I337" s="4">
        <v>1</v>
      </c>
      <c r="J337" s="4">
        <v>11</v>
      </c>
      <c r="K337" s="4" t="b">
        <f>IF(Append1[[#This Row],[days]]="working day",FALSE,TRUE)</f>
        <v>0</v>
      </c>
      <c r="L337" s="4">
        <v>6</v>
      </c>
      <c r="M337" s="4">
        <v>1</v>
      </c>
      <c r="N337" s="6">
        <v>0.2</v>
      </c>
      <c r="O337" s="2" t="str">
        <f>IF(Append1[[#This Row],[weekday]]=0,"holiday",IF(AND(Append1[[#This Row],[weekday]]&gt;1,Append1[[#This Row],[weekday]]&lt;7),"working day","weekend"))</f>
        <v>working day</v>
      </c>
      <c r="P337" s="4" t="str">
        <f>IF(Append1[[#This Row],[weathersit]]=0,"sunny",IF(Append1[[#This Row],[weathersit]]=1,"mist",IF(Append1[[#This Row],[weathersit]]=2,"lightrain","extremerain")))</f>
        <v>mist</v>
      </c>
    </row>
    <row r="338" spans="1:16" x14ac:dyDescent="0.25">
      <c r="A338" s="4">
        <v>337</v>
      </c>
      <c r="B338" s="4">
        <v>0.2273</v>
      </c>
      <c r="C338" s="4">
        <v>0.48</v>
      </c>
      <c r="D338" s="4">
        <v>0.22389999999999999</v>
      </c>
      <c r="E338" s="4">
        <v>15</v>
      </c>
      <c r="F338" s="4">
        <v>74</v>
      </c>
      <c r="G338" s="4">
        <v>89</v>
      </c>
      <c r="H338" s="5">
        <v>40558</v>
      </c>
      <c r="I338" s="4">
        <v>1</v>
      </c>
      <c r="J338" s="4">
        <v>12</v>
      </c>
      <c r="K338" s="4" t="b">
        <f>IF(Append1[[#This Row],[days]]="working day",FALSE,TRUE)</f>
        <v>0</v>
      </c>
      <c r="L338" s="4">
        <v>6</v>
      </c>
      <c r="M338" s="4">
        <v>1</v>
      </c>
      <c r="N338" s="6">
        <v>0.24</v>
      </c>
      <c r="O338" s="2" t="str">
        <f>IF(Append1[[#This Row],[weekday]]=0,"holiday",IF(AND(Append1[[#This Row],[weekday]]&gt;1,Append1[[#This Row],[weekday]]&lt;7),"working day","weekend"))</f>
        <v>working day</v>
      </c>
      <c r="P338" s="4" t="str">
        <f>IF(Append1[[#This Row],[weathersit]]=0,"sunny",IF(Append1[[#This Row],[weathersit]]=1,"mist",IF(Append1[[#This Row],[weathersit]]=2,"lightrain","extremerain")))</f>
        <v>mist</v>
      </c>
    </row>
    <row r="339" spans="1:16" x14ac:dyDescent="0.25">
      <c r="A339" s="4">
        <v>338</v>
      </c>
      <c r="B339" s="4">
        <v>0.2576</v>
      </c>
      <c r="C339" s="4">
        <v>0.38</v>
      </c>
      <c r="D339" s="4">
        <v>0.29849999999999999</v>
      </c>
      <c r="E339" s="4">
        <v>21</v>
      </c>
      <c r="F339" s="4">
        <v>80</v>
      </c>
      <c r="G339" s="4">
        <v>101</v>
      </c>
      <c r="H339" s="5">
        <v>40558</v>
      </c>
      <c r="I339" s="4">
        <v>1</v>
      </c>
      <c r="J339" s="4">
        <v>13</v>
      </c>
      <c r="K339" s="4" t="b">
        <f>IF(Append1[[#This Row],[days]]="working day",FALSE,TRUE)</f>
        <v>0</v>
      </c>
      <c r="L339" s="4">
        <v>6</v>
      </c>
      <c r="M339" s="4">
        <v>1</v>
      </c>
      <c r="N339" s="6">
        <v>0.28000000000000003</v>
      </c>
      <c r="O339" s="2" t="str">
        <f>IF(Append1[[#This Row],[weekday]]=0,"holiday",IF(AND(Append1[[#This Row],[weekday]]&gt;1,Append1[[#This Row],[weekday]]&lt;7),"working day","weekend"))</f>
        <v>working day</v>
      </c>
      <c r="P339" s="4" t="str">
        <f>IF(Append1[[#This Row],[weathersit]]=0,"sunny",IF(Append1[[#This Row],[weathersit]]=1,"mist",IF(Append1[[#This Row],[weathersit]]=2,"lightrain","extremerain")))</f>
        <v>mist</v>
      </c>
    </row>
    <row r="340" spans="1:16" x14ac:dyDescent="0.25">
      <c r="A340" s="4">
        <v>339</v>
      </c>
      <c r="B340" s="4">
        <v>0.28789999999999999</v>
      </c>
      <c r="C340" s="4">
        <v>0.39</v>
      </c>
      <c r="D340" s="4">
        <v>0.28360000000000002</v>
      </c>
      <c r="E340" s="4">
        <v>26</v>
      </c>
      <c r="F340" s="4">
        <v>92</v>
      </c>
      <c r="G340" s="4">
        <v>118</v>
      </c>
      <c r="H340" s="5">
        <v>40558</v>
      </c>
      <c r="I340" s="4">
        <v>1</v>
      </c>
      <c r="J340" s="4">
        <v>14</v>
      </c>
      <c r="K340" s="4" t="b">
        <f>IF(Append1[[#This Row],[days]]="working day",FALSE,TRUE)</f>
        <v>0</v>
      </c>
      <c r="L340" s="4">
        <v>6</v>
      </c>
      <c r="M340" s="4">
        <v>1</v>
      </c>
      <c r="N340" s="6">
        <v>0.3</v>
      </c>
      <c r="O340" s="2" t="str">
        <f>IF(Append1[[#This Row],[weekday]]=0,"holiday",IF(AND(Append1[[#This Row],[weekday]]&gt;1,Append1[[#This Row],[weekday]]&lt;7),"working day","weekend"))</f>
        <v>working day</v>
      </c>
      <c r="P340" s="4" t="str">
        <f>IF(Append1[[#This Row],[weathersit]]=0,"sunny",IF(Append1[[#This Row],[weathersit]]=1,"mist",IF(Append1[[#This Row],[weathersit]]=2,"lightrain","extremerain")))</f>
        <v>mist</v>
      </c>
    </row>
    <row r="341" spans="1:16" x14ac:dyDescent="0.25">
      <c r="A341" s="4">
        <v>340</v>
      </c>
      <c r="B341" s="4">
        <v>0.31819999999999998</v>
      </c>
      <c r="C341" s="4">
        <v>0.36</v>
      </c>
      <c r="D341" s="4">
        <v>0.19400000000000001</v>
      </c>
      <c r="E341" s="4">
        <v>21</v>
      </c>
      <c r="F341" s="4">
        <v>108</v>
      </c>
      <c r="G341" s="4">
        <v>129</v>
      </c>
      <c r="H341" s="5">
        <v>40558</v>
      </c>
      <c r="I341" s="4">
        <v>1</v>
      </c>
      <c r="J341" s="4">
        <v>15</v>
      </c>
      <c r="K341" s="4" t="b">
        <f>IF(Append1[[#This Row],[days]]="working day",FALSE,TRUE)</f>
        <v>0</v>
      </c>
      <c r="L341" s="4">
        <v>6</v>
      </c>
      <c r="M341" s="4">
        <v>2</v>
      </c>
      <c r="N341" s="6">
        <v>0.32</v>
      </c>
      <c r="O341" s="2" t="str">
        <f>IF(Append1[[#This Row],[weekday]]=0,"holiday",IF(AND(Append1[[#This Row],[weekday]]&gt;1,Append1[[#This Row],[weekday]]&lt;7),"working day","weekend"))</f>
        <v>working day</v>
      </c>
      <c r="P341" s="4" t="str">
        <f>IF(Append1[[#This Row],[weathersit]]=0,"sunny",IF(Append1[[#This Row],[weathersit]]=1,"mist",IF(Append1[[#This Row],[weathersit]]=2,"lightrain","extremerain")))</f>
        <v>lightrain</v>
      </c>
    </row>
    <row r="342" spans="1:16" x14ac:dyDescent="0.25">
      <c r="A342" s="4">
        <v>341</v>
      </c>
      <c r="B342" s="4">
        <v>0.33329999999999999</v>
      </c>
      <c r="C342" s="4">
        <v>0.34</v>
      </c>
      <c r="D342" s="4">
        <v>0.19400000000000001</v>
      </c>
      <c r="E342" s="4">
        <v>33</v>
      </c>
      <c r="F342" s="4">
        <v>95</v>
      </c>
      <c r="G342" s="4">
        <v>128</v>
      </c>
      <c r="H342" s="5">
        <v>40558</v>
      </c>
      <c r="I342" s="4">
        <v>1</v>
      </c>
      <c r="J342" s="4">
        <v>16</v>
      </c>
      <c r="K342" s="4" t="b">
        <f>IF(Append1[[#This Row],[days]]="working day",FALSE,TRUE)</f>
        <v>0</v>
      </c>
      <c r="L342" s="4">
        <v>6</v>
      </c>
      <c r="M342" s="4">
        <v>2</v>
      </c>
      <c r="N342" s="6">
        <v>0.34</v>
      </c>
      <c r="O342" s="2" t="str">
        <f>IF(Append1[[#This Row],[weekday]]=0,"holiday",IF(AND(Append1[[#This Row],[weekday]]&gt;1,Append1[[#This Row],[weekday]]&lt;7),"working day","weekend"))</f>
        <v>working day</v>
      </c>
      <c r="P342" s="4" t="str">
        <f>IF(Append1[[#This Row],[weathersit]]=0,"sunny",IF(Append1[[#This Row],[weathersit]]=1,"mist",IF(Append1[[#This Row],[weathersit]]=2,"lightrain","extremerain")))</f>
        <v>lightrain</v>
      </c>
    </row>
    <row r="343" spans="1:16" x14ac:dyDescent="0.25">
      <c r="A343" s="4">
        <v>342</v>
      </c>
      <c r="B343" s="4">
        <v>0.30299999999999999</v>
      </c>
      <c r="C343" s="4">
        <v>0.36</v>
      </c>
      <c r="D343" s="4">
        <v>0.28360000000000002</v>
      </c>
      <c r="E343" s="4">
        <v>29</v>
      </c>
      <c r="F343" s="4">
        <v>54</v>
      </c>
      <c r="G343" s="4">
        <v>83</v>
      </c>
      <c r="H343" s="5">
        <v>40558</v>
      </c>
      <c r="I343" s="4">
        <v>1</v>
      </c>
      <c r="J343" s="4">
        <v>17</v>
      </c>
      <c r="K343" s="4" t="b">
        <f>IF(Append1[[#This Row],[days]]="working day",FALSE,TRUE)</f>
        <v>0</v>
      </c>
      <c r="L343" s="4">
        <v>6</v>
      </c>
      <c r="M343" s="4">
        <v>2</v>
      </c>
      <c r="N343" s="6">
        <v>0.32</v>
      </c>
      <c r="O343" s="2" t="str">
        <f>IF(Append1[[#This Row],[weekday]]=0,"holiday",IF(AND(Append1[[#This Row],[weekday]]&gt;1,Append1[[#This Row],[weekday]]&lt;7),"working day","weekend"))</f>
        <v>working day</v>
      </c>
      <c r="P343" s="4" t="str">
        <f>IF(Append1[[#This Row],[weathersit]]=0,"sunny",IF(Append1[[#This Row],[weathersit]]=1,"mist",IF(Append1[[#This Row],[weathersit]]=2,"lightrain","extremerain")))</f>
        <v>lightrain</v>
      </c>
    </row>
    <row r="344" spans="1:16" x14ac:dyDescent="0.25">
      <c r="A344" s="4">
        <v>343</v>
      </c>
      <c r="B344" s="4">
        <v>0.28789999999999999</v>
      </c>
      <c r="C344" s="4">
        <v>0.45</v>
      </c>
      <c r="D344" s="4">
        <v>0.25369999999999998</v>
      </c>
      <c r="E344" s="4">
        <v>15</v>
      </c>
      <c r="F344" s="4">
        <v>69</v>
      </c>
      <c r="G344" s="4">
        <v>84</v>
      </c>
      <c r="H344" s="5">
        <v>40558</v>
      </c>
      <c r="I344" s="4">
        <v>1</v>
      </c>
      <c r="J344" s="4">
        <v>18</v>
      </c>
      <c r="K344" s="4" t="b">
        <f>IF(Append1[[#This Row],[days]]="working day",FALSE,TRUE)</f>
        <v>0</v>
      </c>
      <c r="L344" s="4">
        <v>6</v>
      </c>
      <c r="M344" s="4">
        <v>2</v>
      </c>
      <c r="N344" s="6">
        <v>0.3</v>
      </c>
      <c r="O344" s="2" t="str">
        <f>IF(Append1[[#This Row],[weekday]]=0,"holiday",IF(AND(Append1[[#This Row],[weekday]]&gt;1,Append1[[#This Row],[weekday]]&lt;7),"working day","weekend"))</f>
        <v>working day</v>
      </c>
      <c r="P344" s="4" t="str">
        <f>IF(Append1[[#This Row],[weathersit]]=0,"sunny",IF(Append1[[#This Row],[weathersit]]=1,"mist",IF(Append1[[#This Row],[weathersit]]=2,"lightrain","extremerain")))</f>
        <v>lightrain</v>
      </c>
    </row>
    <row r="345" spans="1:16" x14ac:dyDescent="0.25">
      <c r="A345" s="4">
        <v>344</v>
      </c>
      <c r="B345" s="4">
        <v>0.30299999999999999</v>
      </c>
      <c r="C345" s="4">
        <v>0.39</v>
      </c>
      <c r="D345" s="4">
        <v>0.25369999999999998</v>
      </c>
      <c r="E345" s="4">
        <v>14</v>
      </c>
      <c r="F345" s="4">
        <v>60</v>
      </c>
      <c r="G345" s="4">
        <v>74</v>
      </c>
      <c r="H345" s="5">
        <v>40558</v>
      </c>
      <c r="I345" s="4">
        <v>1</v>
      </c>
      <c r="J345" s="4">
        <v>19</v>
      </c>
      <c r="K345" s="4" t="b">
        <f>IF(Append1[[#This Row],[days]]="working day",FALSE,TRUE)</f>
        <v>0</v>
      </c>
      <c r="L345" s="4">
        <v>6</v>
      </c>
      <c r="M345" s="4">
        <v>2</v>
      </c>
      <c r="N345" s="6">
        <v>0.32</v>
      </c>
      <c r="O345" s="2" t="str">
        <f>IF(Append1[[#This Row],[weekday]]=0,"holiday",IF(AND(Append1[[#This Row],[weekday]]&gt;1,Append1[[#This Row],[weekday]]&lt;7),"working day","weekend"))</f>
        <v>working day</v>
      </c>
      <c r="P345" s="4" t="str">
        <f>IF(Append1[[#This Row],[weathersit]]=0,"sunny",IF(Append1[[#This Row],[weathersit]]=1,"mist",IF(Append1[[#This Row],[weathersit]]=2,"lightrain","extremerain")))</f>
        <v>lightrain</v>
      </c>
    </row>
    <row r="346" spans="1:16" x14ac:dyDescent="0.25">
      <c r="A346" s="4">
        <v>345</v>
      </c>
      <c r="B346" s="4">
        <v>0.30299999999999999</v>
      </c>
      <c r="C346" s="4">
        <v>0.39</v>
      </c>
      <c r="D346" s="4">
        <v>0.25369999999999998</v>
      </c>
      <c r="E346" s="4">
        <v>6</v>
      </c>
      <c r="F346" s="4">
        <v>35</v>
      </c>
      <c r="G346" s="4">
        <v>41</v>
      </c>
      <c r="H346" s="5">
        <v>40558</v>
      </c>
      <c r="I346" s="4">
        <v>1</v>
      </c>
      <c r="J346" s="4">
        <v>20</v>
      </c>
      <c r="K346" s="4" t="b">
        <f>IF(Append1[[#This Row],[days]]="working day",FALSE,TRUE)</f>
        <v>0</v>
      </c>
      <c r="L346" s="4">
        <v>6</v>
      </c>
      <c r="M346" s="4">
        <v>2</v>
      </c>
      <c r="N346" s="6">
        <v>0.32</v>
      </c>
      <c r="O346" s="2" t="str">
        <f>IF(Append1[[#This Row],[weekday]]=0,"holiday",IF(AND(Append1[[#This Row],[weekday]]&gt;1,Append1[[#This Row],[weekday]]&lt;7),"working day","weekend"))</f>
        <v>working day</v>
      </c>
      <c r="P346" s="4" t="str">
        <f>IF(Append1[[#This Row],[weathersit]]=0,"sunny",IF(Append1[[#This Row],[weathersit]]=1,"mist",IF(Append1[[#This Row],[weathersit]]=2,"lightrain","extremerain")))</f>
        <v>lightrain</v>
      </c>
    </row>
    <row r="347" spans="1:16" x14ac:dyDescent="0.25">
      <c r="A347" s="4">
        <v>346</v>
      </c>
      <c r="B347" s="4">
        <v>0.30299999999999999</v>
      </c>
      <c r="C347" s="4">
        <v>0.39</v>
      </c>
      <c r="D347" s="4">
        <v>0.22389999999999999</v>
      </c>
      <c r="E347" s="4">
        <v>6</v>
      </c>
      <c r="F347" s="4">
        <v>51</v>
      </c>
      <c r="G347" s="4">
        <v>57</v>
      </c>
      <c r="H347" s="5">
        <v>40558</v>
      </c>
      <c r="I347" s="4">
        <v>1</v>
      </c>
      <c r="J347" s="4">
        <v>21</v>
      </c>
      <c r="K347" s="4" t="b">
        <f>IF(Append1[[#This Row],[days]]="working day",FALSE,TRUE)</f>
        <v>0</v>
      </c>
      <c r="L347" s="4">
        <v>6</v>
      </c>
      <c r="M347" s="4">
        <v>2</v>
      </c>
      <c r="N347" s="6">
        <v>0.32</v>
      </c>
      <c r="O347" s="2" t="str">
        <f>IF(Append1[[#This Row],[weekday]]=0,"holiday",IF(AND(Append1[[#This Row],[weekday]]&gt;1,Append1[[#This Row],[weekday]]&lt;7),"working day","weekend"))</f>
        <v>working day</v>
      </c>
      <c r="P347" s="4" t="str">
        <f>IF(Append1[[#This Row],[weathersit]]=0,"sunny",IF(Append1[[#This Row],[weathersit]]=1,"mist",IF(Append1[[#This Row],[weathersit]]=2,"lightrain","extremerain")))</f>
        <v>lightrain</v>
      </c>
    </row>
    <row r="348" spans="1:16" x14ac:dyDescent="0.25">
      <c r="A348" s="4">
        <v>347</v>
      </c>
      <c r="B348" s="4">
        <v>0.31819999999999998</v>
      </c>
      <c r="C348" s="4">
        <v>0.42</v>
      </c>
      <c r="D348" s="4">
        <v>0.1045</v>
      </c>
      <c r="E348" s="4">
        <v>0</v>
      </c>
      <c r="F348" s="4">
        <v>26</v>
      </c>
      <c r="G348" s="4">
        <v>26</v>
      </c>
      <c r="H348" s="5">
        <v>40558</v>
      </c>
      <c r="I348" s="4">
        <v>1</v>
      </c>
      <c r="J348" s="4">
        <v>22</v>
      </c>
      <c r="K348" s="4" t="b">
        <f>IF(Append1[[#This Row],[days]]="working day",FALSE,TRUE)</f>
        <v>0</v>
      </c>
      <c r="L348" s="4">
        <v>6</v>
      </c>
      <c r="M348" s="4">
        <v>2</v>
      </c>
      <c r="N348" s="6">
        <v>0.3</v>
      </c>
      <c r="O348" s="2" t="str">
        <f>IF(Append1[[#This Row],[weekday]]=0,"holiday",IF(AND(Append1[[#This Row],[weekday]]&gt;1,Append1[[#This Row],[weekday]]&lt;7),"working day","weekend"))</f>
        <v>working day</v>
      </c>
      <c r="P348" s="4" t="str">
        <f>IF(Append1[[#This Row],[weathersit]]=0,"sunny",IF(Append1[[#This Row],[weathersit]]=1,"mist",IF(Append1[[#This Row],[weathersit]]=2,"lightrain","extremerain")))</f>
        <v>lightrain</v>
      </c>
    </row>
    <row r="349" spans="1:16" x14ac:dyDescent="0.25">
      <c r="A349" s="4">
        <v>348</v>
      </c>
      <c r="B349" s="4">
        <v>0.28789999999999999</v>
      </c>
      <c r="C349" s="4">
        <v>0.45</v>
      </c>
      <c r="D349" s="4">
        <v>0.28360000000000002</v>
      </c>
      <c r="E349" s="4">
        <v>5</v>
      </c>
      <c r="F349" s="4">
        <v>39</v>
      </c>
      <c r="G349" s="4">
        <v>44</v>
      </c>
      <c r="H349" s="5">
        <v>40558</v>
      </c>
      <c r="I349" s="4">
        <v>1</v>
      </c>
      <c r="J349" s="4">
        <v>23</v>
      </c>
      <c r="K349" s="4" t="b">
        <f>IF(Append1[[#This Row],[days]]="working day",FALSE,TRUE)</f>
        <v>0</v>
      </c>
      <c r="L349" s="4">
        <v>6</v>
      </c>
      <c r="M349" s="4">
        <v>1</v>
      </c>
      <c r="N349" s="6">
        <v>0.3</v>
      </c>
      <c r="O349" s="2" t="str">
        <f>IF(Append1[[#This Row],[weekday]]=0,"holiday",IF(AND(Append1[[#This Row],[weekday]]&gt;1,Append1[[#This Row],[weekday]]&lt;7),"working day","weekend"))</f>
        <v>working day</v>
      </c>
      <c r="P349" s="4" t="str">
        <f>IF(Append1[[#This Row],[weathersit]]=0,"sunny",IF(Append1[[#This Row],[weathersit]]=1,"mist",IF(Append1[[#This Row],[weathersit]]=2,"lightrain","extremerain")))</f>
        <v>mist</v>
      </c>
    </row>
    <row r="350" spans="1:16" x14ac:dyDescent="0.25">
      <c r="A350" s="4">
        <v>349</v>
      </c>
      <c r="B350" s="4">
        <v>0.30299999999999999</v>
      </c>
      <c r="C350" s="4">
        <v>0.56000000000000005</v>
      </c>
      <c r="D350" s="4">
        <v>0</v>
      </c>
      <c r="E350" s="4">
        <v>6</v>
      </c>
      <c r="F350" s="4">
        <v>33</v>
      </c>
      <c r="G350" s="4">
        <v>39</v>
      </c>
      <c r="H350" s="5">
        <v>40559</v>
      </c>
      <c r="I350" s="4">
        <v>1</v>
      </c>
      <c r="J350" s="4">
        <v>0</v>
      </c>
      <c r="K350" s="4" t="b">
        <f>IF(Append1[[#This Row],[days]]="working day",FALSE,TRUE)</f>
        <v>1</v>
      </c>
      <c r="L350" s="4">
        <v>0</v>
      </c>
      <c r="M350" s="4">
        <v>1</v>
      </c>
      <c r="N350" s="6">
        <v>0.26</v>
      </c>
      <c r="O350" s="2" t="str">
        <f>IF(Append1[[#This Row],[weekday]]=0,"holiday",IF(AND(Append1[[#This Row],[weekday]]&gt;1,Append1[[#This Row],[weekday]]&lt;7),"working day","weekend"))</f>
        <v>holiday</v>
      </c>
      <c r="P350" s="4" t="str">
        <f>IF(Append1[[#This Row],[weathersit]]=0,"sunny",IF(Append1[[#This Row],[weathersit]]=1,"mist",IF(Append1[[#This Row],[weathersit]]=2,"lightrain","extremerain")))</f>
        <v>mist</v>
      </c>
    </row>
    <row r="351" spans="1:16" x14ac:dyDescent="0.25">
      <c r="A351" s="4">
        <v>350</v>
      </c>
      <c r="B351" s="4">
        <v>0.2727</v>
      </c>
      <c r="C351" s="4">
        <v>0.56000000000000005</v>
      </c>
      <c r="D351" s="4">
        <v>0.1343</v>
      </c>
      <c r="E351" s="4">
        <v>4</v>
      </c>
      <c r="F351" s="4">
        <v>19</v>
      </c>
      <c r="G351" s="4">
        <v>23</v>
      </c>
      <c r="H351" s="5">
        <v>40559</v>
      </c>
      <c r="I351" s="4">
        <v>1</v>
      </c>
      <c r="J351" s="4">
        <v>1</v>
      </c>
      <c r="K351" s="4" t="b">
        <f>IF(Append1[[#This Row],[days]]="working day",FALSE,TRUE)</f>
        <v>1</v>
      </c>
      <c r="L351" s="4">
        <v>0</v>
      </c>
      <c r="M351" s="4">
        <v>1</v>
      </c>
      <c r="N351" s="6">
        <v>0.26</v>
      </c>
      <c r="O351" s="2" t="str">
        <f>IF(Append1[[#This Row],[weekday]]=0,"holiday",IF(AND(Append1[[#This Row],[weekday]]&gt;1,Append1[[#This Row],[weekday]]&lt;7),"working day","weekend"))</f>
        <v>holiday</v>
      </c>
      <c r="P351" s="4" t="str">
        <f>IF(Append1[[#This Row],[weathersit]]=0,"sunny",IF(Append1[[#This Row],[weathersit]]=1,"mist",IF(Append1[[#This Row],[weathersit]]=2,"lightrain","extremerain")))</f>
        <v>mist</v>
      </c>
    </row>
    <row r="352" spans="1:16" x14ac:dyDescent="0.25">
      <c r="A352" s="4">
        <v>351</v>
      </c>
      <c r="B352" s="4">
        <v>0.28789999999999999</v>
      </c>
      <c r="C352" s="4">
        <v>0.56000000000000005</v>
      </c>
      <c r="D352" s="4">
        <v>8.9599999999999999E-2</v>
      </c>
      <c r="E352" s="4">
        <v>3</v>
      </c>
      <c r="F352" s="4">
        <v>13</v>
      </c>
      <c r="G352" s="4">
        <v>16</v>
      </c>
      <c r="H352" s="5">
        <v>40559</v>
      </c>
      <c r="I352" s="4">
        <v>1</v>
      </c>
      <c r="J352" s="4">
        <v>2</v>
      </c>
      <c r="K352" s="4" t="b">
        <f>IF(Append1[[#This Row],[days]]="working day",FALSE,TRUE)</f>
        <v>1</v>
      </c>
      <c r="L352" s="4">
        <v>0</v>
      </c>
      <c r="M352" s="4">
        <v>1</v>
      </c>
      <c r="N352" s="6">
        <v>0.26</v>
      </c>
      <c r="O352" s="2" t="str">
        <f>IF(Append1[[#This Row],[weekday]]=0,"holiday",IF(AND(Append1[[#This Row],[weekday]]&gt;1,Append1[[#This Row],[weekday]]&lt;7),"working day","weekend"))</f>
        <v>holiday</v>
      </c>
      <c r="P352" s="4" t="str">
        <f>IF(Append1[[#This Row],[weathersit]]=0,"sunny",IF(Append1[[#This Row],[weathersit]]=1,"mist",IF(Append1[[#This Row],[weathersit]]=2,"lightrain","extremerain")))</f>
        <v>mist</v>
      </c>
    </row>
    <row r="353" spans="1:16" x14ac:dyDescent="0.25">
      <c r="A353" s="4">
        <v>352</v>
      </c>
      <c r="B353" s="4">
        <v>0.2727</v>
      </c>
      <c r="C353" s="4">
        <v>0.69</v>
      </c>
      <c r="D353" s="4">
        <v>0</v>
      </c>
      <c r="E353" s="4">
        <v>9</v>
      </c>
      <c r="F353" s="4">
        <v>6</v>
      </c>
      <c r="G353" s="4">
        <v>15</v>
      </c>
      <c r="H353" s="5">
        <v>40559</v>
      </c>
      <c r="I353" s="4">
        <v>1</v>
      </c>
      <c r="J353" s="4">
        <v>3</v>
      </c>
      <c r="K353" s="4" t="b">
        <f>IF(Append1[[#This Row],[days]]="working day",FALSE,TRUE)</f>
        <v>1</v>
      </c>
      <c r="L353" s="4">
        <v>0</v>
      </c>
      <c r="M353" s="4">
        <v>1</v>
      </c>
      <c r="N353" s="6">
        <v>0.22</v>
      </c>
      <c r="O353" s="2" t="str">
        <f>IF(Append1[[#This Row],[weekday]]=0,"holiday",IF(AND(Append1[[#This Row],[weekday]]&gt;1,Append1[[#This Row],[weekday]]&lt;7),"working day","weekend"))</f>
        <v>holiday</v>
      </c>
      <c r="P353" s="4" t="str">
        <f>IF(Append1[[#This Row],[weathersit]]=0,"sunny",IF(Append1[[#This Row],[weathersit]]=1,"mist",IF(Append1[[#This Row],[weathersit]]=2,"lightrain","extremerain")))</f>
        <v>mist</v>
      </c>
    </row>
    <row r="354" spans="1:16" x14ac:dyDescent="0.25">
      <c r="A354" s="4">
        <v>353</v>
      </c>
      <c r="B354" s="4">
        <v>0.2576</v>
      </c>
      <c r="C354" s="4">
        <v>0.56000000000000005</v>
      </c>
      <c r="D354" s="4">
        <v>0.16420000000000001</v>
      </c>
      <c r="E354" s="4">
        <v>0</v>
      </c>
      <c r="F354" s="4">
        <v>1</v>
      </c>
      <c r="G354" s="4">
        <v>1</v>
      </c>
      <c r="H354" s="5">
        <v>40559</v>
      </c>
      <c r="I354" s="4">
        <v>1</v>
      </c>
      <c r="J354" s="4">
        <v>4</v>
      </c>
      <c r="K354" s="4" t="b">
        <f>IF(Append1[[#This Row],[days]]="working day",FALSE,TRUE)</f>
        <v>1</v>
      </c>
      <c r="L354" s="4">
        <v>0</v>
      </c>
      <c r="M354" s="4">
        <v>1</v>
      </c>
      <c r="N354" s="6">
        <v>0.26</v>
      </c>
      <c r="O354" s="2" t="str">
        <f>IF(Append1[[#This Row],[weekday]]=0,"holiday",IF(AND(Append1[[#This Row],[weekday]]&gt;1,Append1[[#This Row],[weekday]]&lt;7),"working day","weekend"))</f>
        <v>holiday</v>
      </c>
      <c r="P354" s="4" t="str">
        <f>IF(Append1[[#This Row],[weathersit]]=0,"sunny",IF(Append1[[#This Row],[weathersit]]=1,"mist",IF(Append1[[#This Row],[weathersit]]=2,"lightrain","extremerain")))</f>
        <v>mist</v>
      </c>
    </row>
    <row r="355" spans="1:16" x14ac:dyDescent="0.25">
      <c r="A355" s="4">
        <v>354</v>
      </c>
      <c r="B355" s="4">
        <v>0.2576</v>
      </c>
      <c r="C355" s="4">
        <v>0.56000000000000005</v>
      </c>
      <c r="D355" s="4">
        <v>0.16420000000000001</v>
      </c>
      <c r="E355" s="4">
        <v>1</v>
      </c>
      <c r="F355" s="4">
        <v>1</v>
      </c>
      <c r="G355" s="4">
        <v>2</v>
      </c>
      <c r="H355" s="5">
        <v>40559</v>
      </c>
      <c r="I355" s="4">
        <v>1</v>
      </c>
      <c r="J355" s="4">
        <v>5</v>
      </c>
      <c r="K355" s="4" t="b">
        <f>IF(Append1[[#This Row],[days]]="working day",FALSE,TRUE)</f>
        <v>1</v>
      </c>
      <c r="L355" s="4">
        <v>0</v>
      </c>
      <c r="M355" s="4">
        <v>2</v>
      </c>
      <c r="N355" s="6">
        <v>0.26</v>
      </c>
      <c r="O355" s="2" t="str">
        <f>IF(Append1[[#This Row],[weekday]]=0,"holiday",IF(AND(Append1[[#This Row],[weekday]]&gt;1,Append1[[#This Row],[weekday]]&lt;7),"working day","weekend"))</f>
        <v>holiday</v>
      </c>
      <c r="P355" s="4" t="str">
        <f>IF(Append1[[#This Row],[weathersit]]=0,"sunny",IF(Append1[[#This Row],[weathersit]]=1,"mist",IF(Append1[[#This Row],[weathersit]]=2,"lightrain","extremerain")))</f>
        <v>lightrain</v>
      </c>
    </row>
    <row r="356" spans="1:16" x14ac:dyDescent="0.25">
      <c r="A356" s="4">
        <v>355</v>
      </c>
      <c r="B356" s="4">
        <v>0.2576</v>
      </c>
      <c r="C356" s="4">
        <v>0.56000000000000005</v>
      </c>
      <c r="D356" s="4">
        <v>0.16420000000000001</v>
      </c>
      <c r="E356" s="4">
        <v>0</v>
      </c>
      <c r="F356" s="4">
        <v>1</v>
      </c>
      <c r="G356" s="4">
        <v>1</v>
      </c>
      <c r="H356" s="5">
        <v>40559</v>
      </c>
      <c r="I356" s="4">
        <v>1</v>
      </c>
      <c r="J356" s="4">
        <v>6</v>
      </c>
      <c r="K356" s="4" t="b">
        <f>IF(Append1[[#This Row],[days]]="working day",FALSE,TRUE)</f>
        <v>1</v>
      </c>
      <c r="L356" s="4">
        <v>0</v>
      </c>
      <c r="M356" s="4">
        <v>2</v>
      </c>
      <c r="N356" s="6">
        <v>0.26</v>
      </c>
      <c r="O356" s="2" t="str">
        <f>IF(Append1[[#This Row],[weekday]]=0,"holiday",IF(AND(Append1[[#This Row],[weekday]]&gt;1,Append1[[#This Row],[weekday]]&lt;7),"working day","weekend"))</f>
        <v>holiday</v>
      </c>
      <c r="P356" s="4" t="str">
        <f>IF(Append1[[#This Row],[weathersit]]=0,"sunny",IF(Append1[[#This Row],[weathersit]]=1,"mist",IF(Append1[[#This Row],[weathersit]]=2,"lightrain","extremerain")))</f>
        <v>lightrain</v>
      </c>
    </row>
    <row r="357" spans="1:16" x14ac:dyDescent="0.25">
      <c r="A357" s="4">
        <v>356</v>
      </c>
      <c r="B357" s="4">
        <v>0.21210000000000001</v>
      </c>
      <c r="C357" s="4">
        <v>0.56000000000000005</v>
      </c>
      <c r="D357" s="4">
        <v>0.29849999999999999</v>
      </c>
      <c r="E357" s="4">
        <v>0</v>
      </c>
      <c r="F357" s="4">
        <v>3</v>
      </c>
      <c r="G357" s="4">
        <v>3</v>
      </c>
      <c r="H357" s="5">
        <v>40559</v>
      </c>
      <c r="I357" s="4">
        <v>1</v>
      </c>
      <c r="J357" s="4">
        <v>7</v>
      </c>
      <c r="K357" s="4" t="b">
        <f>IF(Append1[[#This Row],[days]]="working day",FALSE,TRUE)</f>
        <v>1</v>
      </c>
      <c r="L357" s="4">
        <v>0</v>
      </c>
      <c r="M357" s="4">
        <v>2</v>
      </c>
      <c r="N357" s="6">
        <v>0.24</v>
      </c>
      <c r="O357" s="2" t="str">
        <f>IF(Append1[[#This Row],[weekday]]=0,"holiday",IF(AND(Append1[[#This Row],[weekday]]&gt;1,Append1[[#This Row],[weekday]]&lt;7),"working day","weekend"))</f>
        <v>holiday</v>
      </c>
      <c r="P357" s="4" t="str">
        <f>IF(Append1[[#This Row],[weathersit]]=0,"sunny",IF(Append1[[#This Row],[weathersit]]=1,"mist",IF(Append1[[#This Row],[weathersit]]=2,"lightrain","extremerain")))</f>
        <v>lightrain</v>
      </c>
    </row>
    <row r="358" spans="1:16" x14ac:dyDescent="0.25">
      <c r="A358" s="4">
        <v>357</v>
      </c>
      <c r="B358" s="4">
        <v>0.21210000000000001</v>
      </c>
      <c r="C358" s="4">
        <v>0.55000000000000004</v>
      </c>
      <c r="D358" s="4">
        <v>0.28360000000000002</v>
      </c>
      <c r="E358" s="4">
        <v>0</v>
      </c>
      <c r="F358" s="4">
        <v>18</v>
      </c>
      <c r="G358" s="4">
        <v>18</v>
      </c>
      <c r="H358" s="5">
        <v>40559</v>
      </c>
      <c r="I358" s="4">
        <v>1</v>
      </c>
      <c r="J358" s="4">
        <v>8</v>
      </c>
      <c r="K358" s="4" t="b">
        <f>IF(Append1[[#This Row],[days]]="working day",FALSE,TRUE)</f>
        <v>1</v>
      </c>
      <c r="L358" s="4">
        <v>0</v>
      </c>
      <c r="M358" s="4">
        <v>1</v>
      </c>
      <c r="N358" s="6">
        <v>0.22</v>
      </c>
      <c r="O358" s="2" t="str">
        <f>IF(Append1[[#This Row],[weekday]]=0,"holiday",IF(AND(Append1[[#This Row],[weekday]]&gt;1,Append1[[#This Row],[weekday]]&lt;7),"working day","weekend"))</f>
        <v>holiday</v>
      </c>
      <c r="P358" s="4" t="str">
        <f>IF(Append1[[#This Row],[weathersit]]=0,"sunny",IF(Append1[[#This Row],[weathersit]]=1,"mist",IF(Append1[[#This Row],[weathersit]]=2,"lightrain","extremerain")))</f>
        <v>mist</v>
      </c>
    </row>
    <row r="359" spans="1:16" x14ac:dyDescent="0.25">
      <c r="A359" s="4">
        <v>358</v>
      </c>
      <c r="B359" s="4">
        <v>0.21210000000000001</v>
      </c>
      <c r="C359" s="4">
        <v>0.51</v>
      </c>
      <c r="D359" s="4">
        <v>0.25369999999999998</v>
      </c>
      <c r="E359" s="4">
        <v>3</v>
      </c>
      <c r="F359" s="4">
        <v>29</v>
      </c>
      <c r="G359" s="4">
        <v>32</v>
      </c>
      <c r="H359" s="5">
        <v>40559</v>
      </c>
      <c r="I359" s="4">
        <v>1</v>
      </c>
      <c r="J359" s="4">
        <v>9</v>
      </c>
      <c r="K359" s="4" t="b">
        <f>IF(Append1[[#This Row],[days]]="working day",FALSE,TRUE)</f>
        <v>1</v>
      </c>
      <c r="L359" s="4">
        <v>0</v>
      </c>
      <c r="M359" s="4">
        <v>1</v>
      </c>
      <c r="N359" s="6">
        <v>0.22</v>
      </c>
      <c r="O359" s="2" t="str">
        <f>IF(Append1[[#This Row],[weekday]]=0,"holiday",IF(AND(Append1[[#This Row],[weekday]]&gt;1,Append1[[#This Row],[weekday]]&lt;7),"working day","weekend"))</f>
        <v>holiday</v>
      </c>
      <c r="P359" s="4" t="str">
        <f>IF(Append1[[#This Row],[weathersit]]=0,"sunny",IF(Append1[[#This Row],[weathersit]]=1,"mist",IF(Append1[[#This Row],[weathersit]]=2,"lightrain","extremerain")))</f>
        <v>mist</v>
      </c>
    </row>
    <row r="360" spans="1:16" x14ac:dyDescent="0.25">
      <c r="A360" s="4">
        <v>359</v>
      </c>
      <c r="B360" s="4">
        <v>0.21210000000000001</v>
      </c>
      <c r="C360" s="4">
        <v>0.51</v>
      </c>
      <c r="D360" s="4">
        <v>0.28360000000000002</v>
      </c>
      <c r="E360" s="4">
        <v>8</v>
      </c>
      <c r="F360" s="4">
        <v>71</v>
      </c>
      <c r="G360" s="4">
        <v>79</v>
      </c>
      <c r="H360" s="5">
        <v>40559</v>
      </c>
      <c r="I360" s="4">
        <v>1</v>
      </c>
      <c r="J360" s="4">
        <v>10</v>
      </c>
      <c r="K360" s="4" t="b">
        <f>IF(Append1[[#This Row],[days]]="working day",FALSE,TRUE)</f>
        <v>1</v>
      </c>
      <c r="L360" s="4">
        <v>0</v>
      </c>
      <c r="M360" s="4">
        <v>1</v>
      </c>
      <c r="N360" s="6">
        <v>0.22</v>
      </c>
      <c r="O360" s="2" t="str">
        <f>IF(Append1[[#This Row],[weekday]]=0,"holiday",IF(AND(Append1[[#This Row],[weekday]]&gt;1,Append1[[#This Row],[weekday]]&lt;7),"working day","weekend"))</f>
        <v>holiday</v>
      </c>
      <c r="P360" s="4" t="str">
        <f>IF(Append1[[#This Row],[weathersit]]=0,"sunny",IF(Append1[[#This Row],[weathersit]]=1,"mist",IF(Append1[[#This Row],[weathersit]]=2,"lightrain","extremerain")))</f>
        <v>mist</v>
      </c>
    </row>
    <row r="361" spans="1:16" x14ac:dyDescent="0.25">
      <c r="A361" s="4">
        <v>360</v>
      </c>
      <c r="B361" s="4">
        <v>0.2273</v>
      </c>
      <c r="C361" s="4">
        <v>0.44</v>
      </c>
      <c r="D361" s="4">
        <v>0.25369999999999998</v>
      </c>
      <c r="E361" s="4">
        <v>23</v>
      </c>
      <c r="F361" s="4">
        <v>70</v>
      </c>
      <c r="G361" s="4">
        <v>93</v>
      </c>
      <c r="H361" s="5">
        <v>40559</v>
      </c>
      <c r="I361" s="4">
        <v>1</v>
      </c>
      <c r="J361" s="4">
        <v>11</v>
      </c>
      <c r="K361" s="4" t="b">
        <f>IF(Append1[[#This Row],[days]]="working day",FALSE,TRUE)</f>
        <v>1</v>
      </c>
      <c r="L361" s="4">
        <v>0</v>
      </c>
      <c r="M361" s="4">
        <v>1</v>
      </c>
      <c r="N361" s="6">
        <v>0.24</v>
      </c>
      <c r="O361" s="2" t="str">
        <f>IF(Append1[[#This Row],[weekday]]=0,"holiday",IF(AND(Append1[[#This Row],[weekday]]&gt;1,Append1[[#This Row],[weekday]]&lt;7),"working day","weekend"))</f>
        <v>holiday</v>
      </c>
      <c r="P361" s="4" t="str">
        <f>IF(Append1[[#This Row],[weathersit]]=0,"sunny",IF(Append1[[#This Row],[weathersit]]=1,"mist",IF(Append1[[#This Row],[weathersit]]=2,"lightrain","extremerain")))</f>
        <v>mist</v>
      </c>
    </row>
    <row r="362" spans="1:16" x14ac:dyDescent="0.25">
      <c r="A362" s="4">
        <v>361</v>
      </c>
      <c r="B362" s="4">
        <v>0.21210000000000001</v>
      </c>
      <c r="C362" s="4">
        <v>0.41</v>
      </c>
      <c r="D362" s="4">
        <v>0.28360000000000002</v>
      </c>
      <c r="E362" s="4">
        <v>29</v>
      </c>
      <c r="F362" s="4">
        <v>75</v>
      </c>
      <c r="G362" s="4">
        <v>104</v>
      </c>
      <c r="H362" s="5">
        <v>40559</v>
      </c>
      <c r="I362" s="4">
        <v>1</v>
      </c>
      <c r="J362" s="4">
        <v>12</v>
      </c>
      <c r="K362" s="4" t="b">
        <f>IF(Append1[[#This Row],[days]]="working day",FALSE,TRUE)</f>
        <v>1</v>
      </c>
      <c r="L362" s="4">
        <v>0</v>
      </c>
      <c r="M362" s="4">
        <v>1</v>
      </c>
      <c r="N362" s="6">
        <v>0.24</v>
      </c>
      <c r="O362" s="2" t="str">
        <f>IF(Append1[[#This Row],[weekday]]=0,"holiday",IF(AND(Append1[[#This Row],[weekday]]&gt;1,Append1[[#This Row],[weekday]]&lt;7),"working day","weekend"))</f>
        <v>holiday</v>
      </c>
      <c r="P362" s="4" t="str">
        <f>IF(Append1[[#This Row],[weathersit]]=0,"sunny",IF(Append1[[#This Row],[weathersit]]=1,"mist",IF(Append1[[#This Row],[weathersit]]=2,"lightrain","extremerain")))</f>
        <v>mist</v>
      </c>
    </row>
    <row r="363" spans="1:16" x14ac:dyDescent="0.25">
      <c r="A363" s="4">
        <v>362</v>
      </c>
      <c r="B363" s="4">
        <v>0.2273</v>
      </c>
      <c r="C363" s="4">
        <v>0.35</v>
      </c>
      <c r="D363" s="4">
        <v>0.29849999999999999</v>
      </c>
      <c r="E363" s="4">
        <v>23</v>
      </c>
      <c r="F363" s="4">
        <v>95</v>
      </c>
      <c r="G363" s="4">
        <v>118</v>
      </c>
      <c r="H363" s="5">
        <v>40559</v>
      </c>
      <c r="I363" s="4">
        <v>1</v>
      </c>
      <c r="J363" s="4">
        <v>13</v>
      </c>
      <c r="K363" s="4" t="b">
        <f>IF(Append1[[#This Row],[days]]="working day",FALSE,TRUE)</f>
        <v>1</v>
      </c>
      <c r="L363" s="4">
        <v>0</v>
      </c>
      <c r="M363" s="4">
        <v>1</v>
      </c>
      <c r="N363" s="6">
        <v>0.26</v>
      </c>
      <c r="O363" s="2" t="str">
        <f>IF(Append1[[#This Row],[weekday]]=0,"holiday",IF(AND(Append1[[#This Row],[weekday]]&gt;1,Append1[[#This Row],[weekday]]&lt;7),"working day","weekend"))</f>
        <v>holiday</v>
      </c>
      <c r="P363" s="4" t="str">
        <f>IF(Append1[[#This Row],[weathersit]]=0,"sunny",IF(Append1[[#This Row],[weathersit]]=1,"mist",IF(Append1[[#This Row],[weathersit]]=2,"lightrain","extremerain")))</f>
        <v>mist</v>
      </c>
    </row>
    <row r="364" spans="1:16" x14ac:dyDescent="0.25">
      <c r="A364" s="4">
        <v>363</v>
      </c>
      <c r="B364" s="4">
        <v>0.2727</v>
      </c>
      <c r="C364" s="4">
        <v>0.36</v>
      </c>
      <c r="D364" s="4">
        <v>0.25369999999999998</v>
      </c>
      <c r="E364" s="4">
        <v>22</v>
      </c>
      <c r="F364" s="4">
        <v>69</v>
      </c>
      <c r="G364" s="4">
        <v>91</v>
      </c>
      <c r="H364" s="5">
        <v>40559</v>
      </c>
      <c r="I364" s="4">
        <v>1</v>
      </c>
      <c r="J364" s="4">
        <v>14</v>
      </c>
      <c r="K364" s="4" t="b">
        <f>IF(Append1[[#This Row],[days]]="working day",FALSE,TRUE)</f>
        <v>1</v>
      </c>
      <c r="L364" s="4">
        <v>0</v>
      </c>
      <c r="M364" s="4">
        <v>1</v>
      </c>
      <c r="N364" s="6">
        <v>0.28000000000000003</v>
      </c>
      <c r="O364" s="2" t="str">
        <f>IF(Append1[[#This Row],[weekday]]=0,"holiday",IF(AND(Append1[[#This Row],[weekday]]&gt;1,Append1[[#This Row],[weekday]]&lt;7),"working day","weekend"))</f>
        <v>holiday</v>
      </c>
      <c r="P364" s="4" t="str">
        <f>IF(Append1[[#This Row],[weathersit]]=0,"sunny",IF(Append1[[#This Row],[weathersit]]=1,"mist",IF(Append1[[#This Row],[weathersit]]=2,"lightrain","extremerain")))</f>
        <v>mist</v>
      </c>
    </row>
    <row r="365" spans="1:16" x14ac:dyDescent="0.25">
      <c r="A365" s="4">
        <v>364</v>
      </c>
      <c r="B365" s="4">
        <v>0.2424</v>
      </c>
      <c r="C365" s="4">
        <v>0.38</v>
      </c>
      <c r="D365" s="4">
        <v>0.25369999999999998</v>
      </c>
      <c r="E365" s="4">
        <v>35</v>
      </c>
      <c r="F365" s="4">
        <v>78</v>
      </c>
      <c r="G365" s="4">
        <v>113</v>
      </c>
      <c r="H365" s="5">
        <v>40559</v>
      </c>
      <c r="I365" s="4">
        <v>1</v>
      </c>
      <c r="J365" s="4">
        <v>15</v>
      </c>
      <c r="K365" s="4" t="b">
        <f>IF(Append1[[#This Row],[days]]="working day",FALSE,TRUE)</f>
        <v>1</v>
      </c>
      <c r="L365" s="4">
        <v>0</v>
      </c>
      <c r="M365" s="4">
        <v>1</v>
      </c>
      <c r="N365" s="6">
        <v>0.26</v>
      </c>
      <c r="O365" s="2" t="str">
        <f>IF(Append1[[#This Row],[weekday]]=0,"holiday",IF(AND(Append1[[#This Row],[weekday]]&gt;1,Append1[[#This Row],[weekday]]&lt;7),"working day","weekend"))</f>
        <v>holiday</v>
      </c>
      <c r="P365" s="4" t="str">
        <f>IF(Append1[[#This Row],[weathersit]]=0,"sunny",IF(Append1[[#This Row],[weathersit]]=1,"mist",IF(Append1[[#This Row],[weathersit]]=2,"lightrain","extremerain")))</f>
        <v>mist</v>
      </c>
    </row>
    <row r="366" spans="1:16" x14ac:dyDescent="0.25">
      <c r="A366" s="4">
        <v>365</v>
      </c>
      <c r="B366" s="4">
        <v>0.2273</v>
      </c>
      <c r="C366" s="4">
        <v>0.38</v>
      </c>
      <c r="D366" s="4">
        <v>0.22389999999999999</v>
      </c>
      <c r="E366" s="4">
        <v>22</v>
      </c>
      <c r="F366" s="4">
        <v>77</v>
      </c>
      <c r="G366" s="4">
        <v>99</v>
      </c>
      <c r="H366" s="5">
        <v>40559</v>
      </c>
      <c r="I366" s="4">
        <v>1</v>
      </c>
      <c r="J366" s="4">
        <v>16</v>
      </c>
      <c r="K366" s="4" t="b">
        <f>IF(Append1[[#This Row],[days]]="working day",FALSE,TRUE)</f>
        <v>1</v>
      </c>
      <c r="L366" s="4">
        <v>0</v>
      </c>
      <c r="M366" s="4">
        <v>1</v>
      </c>
      <c r="N366" s="6">
        <v>0.24</v>
      </c>
      <c r="O366" s="2" t="str">
        <f>IF(Append1[[#This Row],[weekday]]=0,"holiday",IF(AND(Append1[[#This Row],[weekday]]&gt;1,Append1[[#This Row],[weekday]]&lt;7),"working day","weekend"))</f>
        <v>holiday</v>
      </c>
      <c r="P366" s="4" t="str">
        <f>IF(Append1[[#This Row],[weathersit]]=0,"sunny",IF(Append1[[#This Row],[weathersit]]=1,"mist",IF(Append1[[#This Row],[weathersit]]=2,"lightrain","extremerain")))</f>
        <v>mist</v>
      </c>
    </row>
    <row r="367" spans="1:16" x14ac:dyDescent="0.25">
      <c r="A367" s="4">
        <v>366</v>
      </c>
      <c r="B367" s="4">
        <v>0.21210000000000001</v>
      </c>
      <c r="C367" s="4">
        <v>0.37</v>
      </c>
      <c r="D367" s="4">
        <v>0.25369999999999998</v>
      </c>
      <c r="E367" s="4">
        <v>23</v>
      </c>
      <c r="F367" s="4">
        <v>82</v>
      </c>
      <c r="G367" s="4">
        <v>105</v>
      </c>
      <c r="H367" s="5">
        <v>40559</v>
      </c>
      <c r="I367" s="4">
        <v>1</v>
      </c>
      <c r="J367" s="4">
        <v>17</v>
      </c>
      <c r="K367" s="4" t="b">
        <f>IF(Append1[[#This Row],[days]]="working day",FALSE,TRUE)</f>
        <v>1</v>
      </c>
      <c r="L367" s="4">
        <v>0</v>
      </c>
      <c r="M367" s="4">
        <v>1</v>
      </c>
      <c r="N367" s="6">
        <v>0.22</v>
      </c>
      <c r="O367" s="2" t="str">
        <f>IF(Append1[[#This Row],[weekday]]=0,"holiday",IF(AND(Append1[[#This Row],[weekday]]&gt;1,Append1[[#This Row],[weekday]]&lt;7),"working day","weekend"))</f>
        <v>holiday</v>
      </c>
      <c r="P367" s="4" t="str">
        <f>IF(Append1[[#This Row],[weathersit]]=0,"sunny",IF(Append1[[#This Row],[weathersit]]=1,"mist",IF(Append1[[#This Row],[weathersit]]=2,"lightrain","extremerain")))</f>
        <v>mist</v>
      </c>
    </row>
    <row r="368" spans="1:16" x14ac:dyDescent="0.25">
      <c r="A368" s="4">
        <v>367</v>
      </c>
      <c r="B368" s="4">
        <v>0.21210000000000001</v>
      </c>
      <c r="C368" s="4">
        <v>0.4</v>
      </c>
      <c r="D368" s="4">
        <v>0.16420000000000001</v>
      </c>
      <c r="E368" s="4">
        <v>11</v>
      </c>
      <c r="F368" s="4">
        <v>56</v>
      </c>
      <c r="G368" s="4">
        <v>67</v>
      </c>
      <c r="H368" s="5">
        <v>40559</v>
      </c>
      <c r="I368" s="4">
        <v>1</v>
      </c>
      <c r="J368" s="4">
        <v>18</v>
      </c>
      <c r="K368" s="4" t="b">
        <f>IF(Append1[[#This Row],[days]]="working day",FALSE,TRUE)</f>
        <v>1</v>
      </c>
      <c r="L368" s="4">
        <v>0</v>
      </c>
      <c r="M368" s="4">
        <v>1</v>
      </c>
      <c r="N368" s="6">
        <v>0.2</v>
      </c>
      <c r="O368" s="2" t="str">
        <f>IF(Append1[[#This Row],[weekday]]=0,"holiday",IF(AND(Append1[[#This Row],[weekday]]&gt;1,Append1[[#This Row],[weekday]]&lt;7),"working day","weekend"))</f>
        <v>holiday</v>
      </c>
      <c r="P368" s="4" t="str">
        <f>IF(Append1[[#This Row],[weathersit]]=0,"sunny",IF(Append1[[#This Row],[weathersit]]=1,"mist",IF(Append1[[#This Row],[weathersit]]=2,"lightrain","extremerain")))</f>
        <v>mist</v>
      </c>
    </row>
    <row r="369" spans="1:16" x14ac:dyDescent="0.25">
      <c r="A369" s="4">
        <v>368</v>
      </c>
      <c r="B369" s="4">
        <v>0.19700000000000001</v>
      </c>
      <c r="C369" s="4">
        <v>0.47</v>
      </c>
      <c r="D369" s="4">
        <v>0.1343</v>
      </c>
      <c r="E369" s="4">
        <v>14</v>
      </c>
      <c r="F369" s="4">
        <v>47</v>
      </c>
      <c r="G369" s="4">
        <v>61</v>
      </c>
      <c r="H369" s="5">
        <v>40559</v>
      </c>
      <c r="I369" s="4">
        <v>1</v>
      </c>
      <c r="J369" s="4">
        <v>19</v>
      </c>
      <c r="K369" s="4" t="b">
        <f>IF(Append1[[#This Row],[days]]="working day",FALSE,TRUE)</f>
        <v>1</v>
      </c>
      <c r="L369" s="4">
        <v>0</v>
      </c>
      <c r="M369" s="4">
        <v>1</v>
      </c>
      <c r="N369" s="6">
        <v>0.18</v>
      </c>
      <c r="O369" s="2" t="str">
        <f>IF(Append1[[#This Row],[weekday]]=0,"holiday",IF(AND(Append1[[#This Row],[weekday]]&gt;1,Append1[[#This Row],[weekday]]&lt;7),"working day","weekend"))</f>
        <v>holiday</v>
      </c>
      <c r="P369" s="4" t="str">
        <f>IF(Append1[[#This Row],[weathersit]]=0,"sunny",IF(Append1[[#This Row],[weathersit]]=1,"mist",IF(Append1[[#This Row],[weathersit]]=2,"lightrain","extremerain")))</f>
        <v>mist</v>
      </c>
    </row>
    <row r="370" spans="1:16" x14ac:dyDescent="0.25">
      <c r="A370" s="4">
        <v>369</v>
      </c>
      <c r="B370" s="4">
        <v>0.19700000000000001</v>
      </c>
      <c r="C370" s="4">
        <v>0.47</v>
      </c>
      <c r="D370" s="4">
        <v>0.16420000000000001</v>
      </c>
      <c r="E370" s="4">
        <v>7</v>
      </c>
      <c r="F370" s="4">
        <v>50</v>
      </c>
      <c r="G370" s="4">
        <v>57</v>
      </c>
      <c r="H370" s="5">
        <v>40559</v>
      </c>
      <c r="I370" s="4">
        <v>1</v>
      </c>
      <c r="J370" s="4">
        <v>20</v>
      </c>
      <c r="K370" s="4" t="b">
        <f>IF(Append1[[#This Row],[days]]="working day",FALSE,TRUE)</f>
        <v>1</v>
      </c>
      <c r="L370" s="4">
        <v>0</v>
      </c>
      <c r="M370" s="4">
        <v>1</v>
      </c>
      <c r="N370" s="6">
        <v>0.18</v>
      </c>
      <c r="O370" s="2" t="str">
        <f>IF(Append1[[#This Row],[weekday]]=0,"holiday",IF(AND(Append1[[#This Row],[weekday]]&gt;1,Append1[[#This Row],[weekday]]&lt;7),"working day","weekend"))</f>
        <v>holiday</v>
      </c>
      <c r="P370" s="4" t="str">
        <f>IF(Append1[[#This Row],[weathersit]]=0,"sunny",IF(Append1[[#This Row],[weathersit]]=1,"mist",IF(Append1[[#This Row],[weathersit]]=2,"lightrain","extremerain")))</f>
        <v>mist</v>
      </c>
    </row>
    <row r="371" spans="1:16" x14ac:dyDescent="0.25">
      <c r="A371" s="4">
        <v>370</v>
      </c>
      <c r="B371" s="4">
        <v>0.19700000000000001</v>
      </c>
      <c r="C371" s="4">
        <v>0.51</v>
      </c>
      <c r="D371" s="4">
        <v>0.16420000000000001</v>
      </c>
      <c r="E371" s="4">
        <v>6</v>
      </c>
      <c r="F371" s="4">
        <v>22</v>
      </c>
      <c r="G371" s="4">
        <v>28</v>
      </c>
      <c r="H371" s="5">
        <v>40559</v>
      </c>
      <c r="I371" s="4">
        <v>1</v>
      </c>
      <c r="J371" s="4">
        <v>21</v>
      </c>
      <c r="K371" s="4" t="b">
        <f>IF(Append1[[#This Row],[days]]="working day",FALSE,TRUE)</f>
        <v>1</v>
      </c>
      <c r="L371" s="4">
        <v>0</v>
      </c>
      <c r="M371" s="4">
        <v>1</v>
      </c>
      <c r="N371" s="6">
        <v>0.18</v>
      </c>
      <c r="O371" s="2" t="str">
        <f>IF(Append1[[#This Row],[weekday]]=0,"holiday",IF(AND(Append1[[#This Row],[weekday]]&gt;1,Append1[[#This Row],[weekday]]&lt;7),"working day","weekend"))</f>
        <v>holiday</v>
      </c>
      <c r="P371" s="4" t="str">
        <f>IF(Append1[[#This Row],[weathersit]]=0,"sunny",IF(Append1[[#This Row],[weathersit]]=1,"mist",IF(Append1[[#This Row],[weathersit]]=2,"lightrain","extremerain")))</f>
        <v>mist</v>
      </c>
    </row>
    <row r="372" spans="1:16" x14ac:dyDescent="0.25">
      <c r="A372" s="4">
        <v>371</v>
      </c>
      <c r="B372" s="4">
        <v>0.21210000000000001</v>
      </c>
      <c r="C372" s="4">
        <v>0.49</v>
      </c>
      <c r="D372" s="4">
        <v>0.1343</v>
      </c>
      <c r="E372" s="4">
        <v>2</v>
      </c>
      <c r="F372" s="4">
        <v>19</v>
      </c>
      <c r="G372" s="4">
        <v>21</v>
      </c>
      <c r="H372" s="5">
        <v>40559</v>
      </c>
      <c r="I372" s="4">
        <v>1</v>
      </c>
      <c r="J372" s="4">
        <v>22</v>
      </c>
      <c r="K372" s="4" t="b">
        <f>IF(Append1[[#This Row],[days]]="working day",FALSE,TRUE)</f>
        <v>1</v>
      </c>
      <c r="L372" s="4">
        <v>0</v>
      </c>
      <c r="M372" s="4">
        <v>2</v>
      </c>
      <c r="N372" s="6">
        <v>0.2</v>
      </c>
      <c r="O372" s="2" t="str">
        <f>IF(Append1[[#This Row],[weekday]]=0,"holiday",IF(AND(Append1[[#This Row],[weekday]]&gt;1,Append1[[#This Row],[weekday]]&lt;7),"working day","weekend"))</f>
        <v>holiday</v>
      </c>
      <c r="P372" s="4" t="str">
        <f>IF(Append1[[#This Row],[weathersit]]=0,"sunny",IF(Append1[[#This Row],[weathersit]]=1,"mist",IF(Append1[[#This Row],[weathersit]]=2,"lightrain","extremerain")))</f>
        <v>lightrain</v>
      </c>
    </row>
    <row r="373" spans="1:16" x14ac:dyDescent="0.25">
      <c r="A373" s="4">
        <v>372</v>
      </c>
      <c r="B373" s="4">
        <v>0.2273</v>
      </c>
      <c r="C373" s="4">
        <v>0.4</v>
      </c>
      <c r="D373" s="4">
        <v>0.1045</v>
      </c>
      <c r="E373" s="4">
        <v>0</v>
      </c>
      <c r="F373" s="4">
        <v>18</v>
      </c>
      <c r="G373" s="4">
        <v>18</v>
      </c>
      <c r="H373" s="5">
        <v>40559</v>
      </c>
      <c r="I373" s="4">
        <v>1</v>
      </c>
      <c r="J373" s="4">
        <v>23</v>
      </c>
      <c r="K373" s="4" t="b">
        <f>IF(Append1[[#This Row],[days]]="working day",FALSE,TRUE)</f>
        <v>1</v>
      </c>
      <c r="L373" s="4">
        <v>0</v>
      </c>
      <c r="M373" s="4">
        <v>2</v>
      </c>
      <c r="N373" s="6">
        <v>0.2</v>
      </c>
      <c r="O373" s="2" t="str">
        <f>IF(Append1[[#This Row],[weekday]]=0,"holiday",IF(AND(Append1[[#This Row],[weekday]]&gt;1,Append1[[#This Row],[weekday]]&lt;7),"working day","weekend"))</f>
        <v>holiday</v>
      </c>
      <c r="P373" s="4" t="str">
        <f>IF(Append1[[#This Row],[weathersit]]=0,"sunny",IF(Append1[[#This Row],[weathersit]]=1,"mist",IF(Append1[[#This Row],[weathersit]]=2,"lightrain","extremerain")))</f>
        <v>lightrain</v>
      </c>
    </row>
    <row r="374" spans="1:16" x14ac:dyDescent="0.25">
      <c r="A374" s="4">
        <v>373</v>
      </c>
      <c r="B374" s="4">
        <v>0.19700000000000001</v>
      </c>
      <c r="C374" s="4">
        <v>0.47</v>
      </c>
      <c r="D374" s="4">
        <v>0.22389999999999999</v>
      </c>
      <c r="E374" s="4">
        <v>1</v>
      </c>
      <c r="F374" s="4">
        <v>16</v>
      </c>
      <c r="G374" s="4">
        <v>17</v>
      </c>
      <c r="H374" s="5">
        <v>40560</v>
      </c>
      <c r="I374" s="4">
        <v>1</v>
      </c>
      <c r="J374" s="4">
        <v>0</v>
      </c>
      <c r="K374" s="4" t="b">
        <f>IF(Append1[[#This Row],[days]]="working day",FALSE,TRUE)</f>
        <v>1</v>
      </c>
      <c r="L374" s="4">
        <v>1</v>
      </c>
      <c r="M374" s="4">
        <v>2</v>
      </c>
      <c r="N374" s="6">
        <v>0.2</v>
      </c>
      <c r="O374" s="2" t="str">
        <f>IF(Append1[[#This Row],[weekday]]=0,"holiday",IF(AND(Append1[[#This Row],[weekday]]&gt;1,Append1[[#This Row],[weekday]]&lt;7),"working day","weekend"))</f>
        <v>weekend</v>
      </c>
      <c r="P374" s="4" t="str">
        <f>IF(Append1[[#This Row],[weathersit]]=0,"sunny",IF(Append1[[#This Row],[weathersit]]=1,"mist",IF(Append1[[#This Row],[weathersit]]=2,"lightrain","extremerain")))</f>
        <v>lightrain</v>
      </c>
    </row>
    <row r="375" spans="1:16" x14ac:dyDescent="0.25">
      <c r="A375" s="4">
        <v>374</v>
      </c>
      <c r="B375" s="4">
        <v>0.19700000000000001</v>
      </c>
      <c r="C375" s="4">
        <v>0.44</v>
      </c>
      <c r="D375" s="4">
        <v>0.19400000000000001</v>
      </c>
      <c r="E375" s="4">
        <v>1</v>
      </c>
      <c r="F375" s="4">
        <v>15</v>
      </c>
      <c r="G375" s="4">
        <v>16</v>
      </c>
      <c r="H375" s="5">
        <v>40560</v>
      </c>
      <c r="I375" s="4">
        <v>1</v>
      </c>
      <c r="J375" s="4">
        <v>1</v>
      </c>
      <c r="K375" s="4" t="b">
        <f>IF(Append1[[#This Row],[days]]="working day",FALSE,TRUE)</f>
        <v>1</v>
      </c>
      <c r="L375" s="4">
        <v>1</v>
      </c>
      <c r="M375" s="4">
        <v>2</v>
      </c>
      <c r="N375" s="6">
        <v>0.2</v>
      </c>
      <c r="O375" s="2" t="str">
        <f>IF(Append1[[#This Row],[weekday]]=0,"holiday",IF(AND(Append1[[#This Row],[weekday]]&gt;1,Append1[[#This Row],[weekday]]&lt;7),"working day","weekend"))</f>
        <v>weekend</v>
      </c>
      <c r="P375" s="4" t="str">
        <f>IF(Append1[[#This Row],[weathersit]]=0,"sunny",IF(Append1[[#This Row],[weathersit]]=1,"mist",IF(Append1[[#This Row],[weathersit]]=2,"lightrain","extremerain")))</f>
        <v>lightrain</v>
      </c>
    </row>
    <row r="376" spans="1:16" x14ac:dyDescent="0.25">
      <c r="A376" s="4">
        <v>375</v>
      </c>
      <c r="B376" s="4">
        <v>0.16669999999999999</v>
      </c>
      <c r="C376" s="4">
        <v>0.43</v>
      </c>
      <c r="D376" s="4">
        <v>0.25369999999999998</v>
      </c>
      <c r="E376" s="4">
        <v>0</v>
      </c>
      <c r="F376" s="4">
        <v>8</v>
      </c>
      <c r="G376" s="4">
        <v>8</v>
      </c>
      <c r="H376" s="5">
        <v>40560</v>
      </c>
      <c r="I376" s="4">
        <v>1</v>
      </c>
      <c r="J376" s="4">
        <v>2</v>
      </c>
      <c r="K376" s="4" t="b">
        <f>IF(Append1[[#This Row],[days]]="working day",FALSE,TRUE)</f>
        <v>1</v>
      </c>
      <c r="L376" s="4">
        <v>1</v>
      </c>
      <c r="M376" s="4">
        <v>2</v>
      </c>
      <c r="N376" s="6">
        <v>0.18</v>
      </c>
      <c r="O376" s="2" t="str">
        <f>IF(Append1[[#This Row],[weekday]]=0,"holiday",IF(AND(Append1[[#This Row],[weekday]]&gt;1,Append1[[#This Row],[weekday]]&lt;7),"working day","weekend"))</f>
        <v>weekend</v>
      </c>
      <c r="P376" s="4" t="str">
        <f>IF(Append1[[#This Row],[weathersit]]=0,"sunny",IF(Append1[[#This Row],[weathersit]]=1,"mist",IF(Append1[[#This Row],[weathersit]]=2,"lightrain","extremerain")))</f>
        <v>lightrain</v>
      </c>
    </row>
    <row r="377" spans="1:16" x14ac:dyDescent="0.25">
      <c r="A377" s="4">
        <v>376</v>
      </c>
      <c r="B377" s="4">
        <v>0.18179999999999999</v>
      </c>
      <c r="C377" s="4">
        <v>0.43</v>
      </c>
      <c r="D377" s="4">
        <v>0.19400000000000001</v>
      </c>
      <c r="E377" s="4">
        <v>0</v>
      </c>
      <c r="F377" s="4">
        <v>2</v>
      </c>
      <c r="G377" s="4">
        <v>2</v>
      </c>
      <c r="H377" s="5">
        <v>40560</v>
      </c>
      <c r="I377" s="4">
        <v>1</v>
      </c>
      <c r="J377" s="4">
        <v>3</v>
      </c>
      <c r="K377" s="4" t="b">
        <f>IF(Append1[[#This Row],[days]]="working day",FALSE,TRUE)</f>
        <v>1</v>
      </c>
      <c r="L377" s="4">
        <v>1</v>
      </c>
      <c r="M377" s="4">
        <v>2</v>
      </c>
      <c r="N377" s="6">
        <v>0.18</v>
      </c>
      <c r="O377" s="2" t="str">
        <f>IF(Append1[[#This Row],[weekday]]=0,"holiday",IF(AND(Append1[[#This Row],[weekday]]&gt;1,Append1[[#This Row],[weekday]]&lt;7),"working day","weekend"))</f>
        <v>weekend</v>
      </c>
      <c r="P377" s="4" t="str">
        <f>IF(Append1[[#This Row],[weathersit]]=0,"sunny",IF(Append1[[#This Row],[weathersit]]=1,"mist",IF(Append1[[#This Row],[weathersit]]=2,"lightrain","extremerain")))</f>
        <v>lightrain</v>
      </c>
    </row>
    <row r="378" spans="1:16" x14ac:dyDescent="0.25">
      <c r="A378" s="4">
        <v>377</v>
      </c>
      <c r="B378" s="4">
        <v>0.19700000000000001</v>
      </c>
      <c r="C378" s="4">
        <v>0.43</v>
      </c>
      <c r="D378" s="4">
        <v>0.1343</v>
      </c>
      <c r="E378" s="4">
        <v>1</v>
      </c>
      <c r="F378" s="4">
        <v>2</v>
      </c>
      <c r="G378" s="4">
        <v>3</v>
      </c>
      <c r="H378" s="5">
        <v>40560</v>
      </c>
      <c r="I378" s="4">
        <v>1</v>
      </c>
      <c r="J378" s="4">
        <v>4</v>
      </c>
      <c r="K378" s="4" t="b">
        <f>IF(Append1[[#This Row],[days]]="working day",FALSE,TRUE)</f>
        <v>1</v>
      </c>
      <c r="L378" s="4">
        <v>1</v>
      </c>
      <c r="M378" s="4">
        <v>2</v>
      </c>
      <c r="N378" s="6">
        <v>0.18</v>
      </c>
      <c r="O378" s="2" t="str">
        <f>IF(Append1[[#This Row],[weekday]]=0,"holiday",IF(AND(Append1[[#This Row],[weekday]]&gt;1,Append1[[#This Row],[weekday]]&lt;7),"working day","weekend"))</f>
        <v>weekend</v>
      </c>
      <c r="P378" s="4" t="str">
        <f>IF(Append1[[#This Row],[weathersit]]=0,"sunny",IF(Append1[[#This Row],[weathersit]]=1,"mist",IF(Append1[[#This Row],[weathersit]]=2,"lightrain","extremerain")))</f>
        <v>lightrain</v>
      </c>
    </row>
    <row r="379" spans="1:16" x14ac:dyDescent="0.25">
      <c r="A379" s="4">
        <v>378</v>
      </c>
      <c r="B379" s="4">
        <v>0.19700000000000001</v>
      </c>
      <c r="C379" s="4">
        <v>0.43</v>
      </c>
      <c r="D379" s="4">
        <v>0.16420000000000001</v>
      </c>
      <c r="E379" s="4">
        <v>0</v>
      </c>
      <c r="F379" s="4">
        <v>1</v>
      </c>
      <c r="G379" s="4">
        <v>1</v>
      </c>
      <c r="H379" s="5">
        <v>40560</v>
      </c>
      <c r="I379" s="4">
        <v>1</v>
      </c>
      <c r="J379" s="4">
        <v>5</v>
      </c>
      <c r="K379" s="4" t="b">
        <f>IF(Append1[[#This Row],[days]]="working day",FALSE,TRUE)</f>
        <v>1</v>
      </c>
      <c r="L379" s="4">
        <v>1</v>
      </c>
      <c r="M379" s="4">
        <v>2</v>
      </c>
      <c r="N379" s="6">
        <v>0.18</v>
      </c>
      <c r="O379" s="2" t="str">
        <f>IF(Append1[[#This Row],[weekday]]=0,"holiday",IF(AND(Append1[[#This Row],[weekday]]&gt;1,Append1[[#This Row],[weekday]]&lt;7),"working day","weekend"))</f>
        <v>weekend</v>
      </c>
      <c r="P379" s="4" t="str">
        <f>IF(Append1[[#This Row],[weathersit]]=0,"sunny",IF(Append1[[#This Row],[weathersit]]=1,"mist",IF(Append1[[#This Row],[weathersit]]=2,"lightrain","extremerain")))</f>
        <v>lightrain</v>
      </c>
    </row>
    <row r="380" spans="1:16" x14ac:dyDescent="0.25">
      <c r="A380" s="4">
        <v>379</v>
      </c>
      <c r="B380" s="4">
        <v>0.18179999999999999</v>
      </c>
      <c r="C380" s="4">
        <v>0.43</v>
      </c>
      <c r="D380" s="4">
        <v>0.19400000000000001</v>
      </c>
      <c r="E380" s="4">
        <v>0</v>
      </c>
      <c r="F380" s="4">
        <v>5</v>
      </c>
      <c r="G380" s="4">
        <v>5</v>
      </c>
      <c r="H380" s="5">
        <v>40560</v>
      </c>
      <c r="I380" s="4">
        <v>1</v>
      </c>
      <c r="J380" s="4">
        <v>6</v>
      </c>
      <c r="K380" s="4" t="b">
        <f>IF(Append1[[#This Row],[days]]="working day",FALSE,TRUE)</f>
        <v>1</v>
      </c>
      <c r="L380" s="4">
        <v>1</v>
      </c>
      <c r="M380" s="4">
        <v>2</v>
      </c>
      <c r="N380" s="6">
        <v>0.18</v>
      </c>
      <c r="O380" s="2" t="str">
        <f>IF(Append1[[#This Row],[weekday]]=0,"holiday",IF(AND(Append1[[#This Row],[weekday]]&gt;1,Append1[[#This Row],[weekday]]&lt;7),"working day","weekend"))</f>
        <v>weekend</v>
      </c>
      <c r="P380" s="4" t="str">
        <f>IF(Append1[[#This Row],[weathersit]]=0,"sunny",IF(Append1[[#This Row],[weathersit]]=1,"mist",IF(Append1[[#This Row],[weathersit]]=2,"lightrain","extremerain")))</f>
        <v>lightrain</v>
      </c>
    </row>
    <row r="381" spans="1:16" x14ac:dyDescent="0.25">
      <c r="A381" s="4">
        <v>380</v>
      </c>
      <c r="B381" s="4">
        <v>0.18179999999999999</v>
      </c>
      <c r="C381" s="4">
        <v>0.5</v>
      </c>
      <c r="D381" s="4">
        <v>0.1343</v>
      </c>
      <c r="E381" s="4">
        <v>4</v>
      </c>
      <c r="F381" s="4">
        <v>9</v>
      </c>
      <c r="G381" s="4">
        <v>13</v>
      </c>
      <c r="H381" s="5">
        <v>40560</v>
      </c>
      <c r="I381" s="4">
        <v>1</v>
      </c>
      <c r="J381" s="4">
        <v>7</v>
      </c>
      <c r="K381" s="4" t="b">
        <f>IF(Append1[[#This Row],[days]]="working day",FALSE,TRUE)</f>
        <v>1</v>
      </c>
      <c r="L381" s="4">
        <v>1</v>
      </c>
      <c r="M381" s="4">
        <v>2</v>
      </c>
      <c r="N381" s="6">
        <v>0.16</v>
      </c>
      <c r="O381" s="2" t="str">
        <f>IF(Append1[[#This Row],[weekday]]=0,"holiday",IF(AND(Append1[[#This Row],[weekday]]&gt;1,Append1[[#This Row],[weekday]]&lt;7),"working day","weekend"))</f>
        <v>weekend</v>
      </c>
      <c r="P381" s="4" t="str">
        <f>IF(Append1[[#This Row],[weathersit]]=0,"sunny",IF(Append1[[#This Row],[weathersit]]=1,"mist",IF(Append1[[#This Row],[weathersit]]=2,"lightrain","extremerain")))</f>
        <v>lightrain</v>
      </c>
    </row>
    <row r="382" spans="1:16" x14ac:dyDescent="0.25">
      <c r="A382" s="4">
        <v>381</v>
      </c>
      <c r="B382" s="4">
        <v>0.1515</v>
      </c>
      <c r="C382" s="4">
        <v>0.47</v>
      </c>
      <c r="D382" s="4">
        <v>0.22389999999999999</v>
      </c>
      <c r="E382" s="4">
        <v>3</v>
      </c>
      <c r="F382" s="4">
        <v>30</v>
      </c>
      <c r="G382" s="4">
        <v>33</v>
      </c>
      <c r="H382" s="5">
        <v>40560</v>
      </c>
      <c r="I382" s="4">
        <v>1</v>
      </c>
      <c r="J382" s="4">
        <v>8</v>
      </c>
      <c r="K382" s="4" t="b">
        <f>IF(Append1[[#This Row],[days]]="working day",FALSE,TRUE)</f>
        <v>1</v>
      </c>
      <c r="L382" s="4">
        <v>1</v>
      </c>
      <c r="M382" s="4">
        <v>2</v>
      </c>
      <c r="N382" s="6">
        <v>0.16</v>
      </c>
      <c r="O382" s="2" t="str">
        <f>IF(Append1[[#This Row],[weekday]]=0,"holiday",IF(AND(Append1[[#This Row],[weekday]]&gt;1,Append1[[#This Row],[weekday]]&lt;7),"working day","weekend"))</f>
        <v>weekend</v>
      </c>
      <c r="P382" s="4" t="str">
        <f>IF(Append1[[#This Row],[weathersit]]=0,"sunny",IF(Append1[[#This Row],[weathersit]]=1,"mist",IF(Append1[[#This Row],[weathersit]]=2,"lightrain","extremerain")))</f>
        <v>lightrain</v>
      </c>
    </row>
    <row r="383" spans="1:16" x14ac:dyDescent="0.25">
      <c r="A383" s="4">
        <v>382</v>
      </c>
      <c r="B383" s="4">
        <v>0.1515</v>
      </c>
      <c r="C383" s="4">
        <v>0.47</v>
      </c>
      <c r="D383" s="4">
        <v>0.22389999999999999</v>
      </c>
      <c r="E383" s="4">
        <v>8</v>
      </c>
      <c r="F383" s="4">
        <v>39</v>
      </c>
      <c r="G383" s="4">
        <v>47</v>
      </c>
      <c r="H383" s="5">
        <v>40560</v>
      </c>
      <c r="I383" s="4">
        <v>1</v>
      </c>
      <c r="J383" s="4">
        <v>9</v>
      </c>
      <c r="K383" s="4" t="b">
        <f>IF(Append1[[#This Row],[days]]="working day",FALSE,TRUE)</f>
        <v>1</v>
      </c>
      <c r="L383" s="4">
        <v>1</v>
      </c>
      <c r="M383" s="4">
        <v>2</v>
      </c>
      <c r="N383" s="6">
        <v>0.16</v>
      </c>
      <c r="O383" s="2" t="str">
        <f>IF(Append1[[#This Row],[weekday]]=0,"holiday",IF(AND(Append1[[#This Row],[weekday]]&gt;1,Append1[[#This Row],[weekday]]&lt;7),"working day","weekend"))</f>
        <v>weekend</v>
      </c>
      <c r="P383" s="4" t="str">
        <f>IF(Append1[[#This Row],[weathersit]]=0,"sunny",IF(Append1[[#This Row],[weathersit]]=1,"mist",IF(Append1[[#This Row],[weathersit]]=2,"lightrain","extremerain")))</f>
        <v>lightrain</v>
      </c>
    </row>
    <row r="384" spans="1:16" x14ac:dyDescent="0.25">
      <c r="A384" s="4">
        <v>383</v>
      </c>
      <c r="B384" s="4">
        <v>0.1515</v>
      </c>
      <c r="C384" s="4">
        <v>0.5</v>
      </c>
      <c r="D384" s="4">
        <v>0.25369999999999998</v>
      </c>
      <c r="E384" s="4">
        <v>7</v>
      </c>
      <c r="F384" s="4">
        <v>50</v>
      </c>
      <c r="G384" s="4">
        <v>57</v>
      </c>
      <c r="H384" s="5">
        <v>40560</v>
      </c>
      <c r="I384" s="4">
        <v>1</v>
      </c>
      <c r="J384" s="4">
        <v>10</v>
      </c>
      <c r="K384" s="4" t="b">
        <f>IF(Append1[[#This Row],[days]]="working day",FALSE,TRUE)</f>
        <v>1</v>
      </c>
      <c r="L384" s="4">
        <v>1</v>
      </c>
      <c r="M384" s="4">
        <v>2</v>
      </c>
      <c r="N384" s="6">
        <v>0.16</v>
      </c>
      <c r="O384" s="2" t="str">
        <f>IF(Append1[[#This Row],[weekday]]=0,"holiday",IF(AND(Append1[[#This Row],[weekday]]&gt;1,Append1[[#This Row],[weekday]]&lt;7),"working day","weekend"))</f>
        <v>weekend</v>
      </c>
      <c r="P384" s="4" t="str">
        <f>IF(Append1[[#This Row],[weathersit]]=0,"sunny",IF(Append1[[#This Row],[weathersit]]=1,"mist",IF(Append1[[#This Row],[weathersit]]=2,"lightrain","extremerain")))</f>
        <v>lightrain</v>
      </c>
    </row>
    <row r="385" spans="1:16" x14ac:dyDescent="0.25">
      <c r="A385" s="4">
        <v>384</v>
      </c>
      <c r="B385" s="4">
        <v>0.1515</v>
      </c>
      <c r="C385" s="4">
        <v>0.55000000000000004</v>
      </c>
      <c r="D385" s="4">
        <v>0.19400000000000001</v>
      </c>
      <c r="E385" s="4">
        <v>9</v>
      </c>
      <c r="F385" s="4">
        <v>55</v>
      </c>
      <c r="G385" s="4">
        <v>64</v>
      </c>
      <c r="H385" s="5">
        <v>40560</v>
      </c>
      <c r="I385" s="4">
        <v>1</v>
      </c>
      <c r="J385" s="4">
        <v>11</v>
      </c>
      <c r="K385" s="4" t="b">
        <f>IF(Append1[[#This Row],[days]]="working day",FALSE,TRUE)</f>
        <v>1</v>
      </c>
      <c r="L385" s="4">
        <v>1</v>
      </c>
      <c r="M385" s="4">
        <v>2</v>
      </c>
      <c r="N385" s="6">
        <v>0.16</v>
      </c>
      <c r="O385" s="2" t="str">
        <f>IF(Append1[[#This Row],[weekday]]=0,"holiday",IF(AND(Append1[[#This Row],[weekday]]&gt;1,Append1[[#This Row],[weekday]]&lt;7),"working day","weekend"))</f>
        <v>weekend</v>
      </c>
      <c r="P385" s="4" t="str">
        <f>IF(Append1[[#This Row],[weathersit]]=0,"sunny",IF(Append1[[#This Row],[weathersit]]=1,"mist",IF(Append1[[#This Row],[weathersit]]=2,"lightrain","extremerain")))</f>
        <v>lightrain</v>
      </c>
    </row>
    <row r="386" spans="1:16" x14ac:dyDescent="0.25">
      <c r="A386" s="4">
        <v>385</v>
      </c>
      <c r="B386" s="4">
        <v>0.19700000000000001</v>
      </c>
      <c r="C386" s="4">
        <v>0.47</v>
      </c>
      <c r="D386" s="4">
        <v>0.1343</v>
      </c>
      <c r="E386" s="4">
        <v>10</v>
      </c>
      <c r="F386" s="4">
        <v>70</v>
      </c>
      <c r="G386" s="4">
        <v>80</v>
      </c>
      <c r="H386" s="5">
        <v>40560</v>
      </c>
      <c r="I386" s="4">
        <v>1</v>
      </c>
      <c r="J386" s="4">
        <v>12</v>
      </c>
      <c r="K386" s="4" t="b">
        <f>IF(Append1[[#This Row],[days]]="working day",FALSE,TRUE)</f>
        <v>1</v>
      </c>
      <c r="L386" s="4">
        <v>1</v>
      </c>
      <c r="M386" s="4">
        <v>2</v>
      </c>
      <c r="N386" s="6">
        <v>0.18</v>
      </c>
      <c r="O386" s="2" t="str">
        <f>IF(Append1[[#This Row],[weekday]]=0,"holiday",IF(AND(Append1[[#This Row],[weekday]]&gt;1,Append1[[#This Row],[weekday]]&lt;7),"working day","weekend"))</f>
        <v>weekend</v>
      </c>
      <c r="P386" s="4" t="str">
        <f>IF(Append1[[#This Row],[weathersit]]=0,"sunny",IF(Append1[[#This Row],[weathersit]]=1,"mist",IF(Append1[[#This Row],[weathersit]]=2,"lightrain","extremerain")))</f>
        <v>lightrain</v>
      </c>
    </row>
    <row r="387" spans="1:16" x14ac:dyDescent="0.25">
      <c r="A387" s="4">
        <v>386</v>
      </c>
      <c r="B387" s="4">
        <v>0.19700000000000001</v>
      </c>
      <c r="C387" s="4">
        <v>0.47</v>
      </c>
      <c r="D387" s="4">
        <v>0.1343</v>
      </c>
      <c r="E387" s="4">
        <v>13</v>
      </c>
      <c r="F387" s="4">
        <v>80</v>
      </c>
      <c r="G387" s="4">
        <v>93</v>
      </c>
      <c r="H387" s="5">
        <v>40560</v>
      </c>
      <c r="I387" s="4">
        <v>1</v>
      </c>
      <c r="J387" s="4">
        <v>13</v>
      </c>
      <c r="K387" s="4" t="b">
        <f>IF(Append1[[#This Row],[days]]="working day",FALSE,TRUE)</f>
        <v>1</v>
      </c>
      <c r="L387" s="4">
        <v>1</v>
      </c>
      <c r="M387" s="4">
        <v>2</v>
      </c>
      <c r="N387" s="6">
        <v>0.18</v>
      </c>
      <c r="O387" s="2" t="str">
        <f>IF(Append1[[#This Row],[weekday]]=0,"holiday",IF(AND(Append1[[#This Row],[weekday]]&gt;1,Append1[[#This Row],[weekday]]&lt;7),"working day","weekend"))</f>
        <v>weekend</v>
      </c>
      <c r="P387" s="4" t="str">
        <f>IF(Append1[[#This Row],[weathersit]]=0,"sunny",IF(Append1[[#This Row],[weathersit]]=1,"mist",IF(Append1[[#This Row],[weathersit]]=2,"lightrain","extremerain")))</f>
        <v>lightrain</v>
      </c>
    </row>
    <row r="388" spans="1:16" x14ac:dyDescent="0.25">
      <c r="A388" s="4">
        <v>387</v>
      </c>
      <c r="B388" s="4">
        <v>0.21210000000000001</v>
      </c>
      <c r="C388" s="4">
        <v>0.43</v>
      </c>
      <c r="D388" s="4">
        <v>0.1045</v>
      </c>
      <c r="E388" s="4">
        <v>12</v>
      </c>
      <c r="F388" s="4">
        <v>74</v>
      </c>
      <c r="G388" s="4">
        <v>86</v>
      </c>
      <c r="H388" s="5">
        <v>40560</v>
      </c>
      <c r="I388" s="4">
        <v>1</v>
      </c>
      <c r="J388" s="4">
        <v>14</v>
      </c>
      <c r="K388" s="4" t="b">
        <f>IF(Append1[[#This Row],[days]]="working day",FALSE,TRUE)</f>
        <v>1</v>
      </c>
      <c r="L388" s="4">
        <v>1</v>
      </c>
      <c r="M388" s="4">
        <v>2</v>
      </c>
      <c r="N388" s="6">
        <v>0.18</v>
      </c>
      <c r="O388" s="2" t="str">
        <f>IF(Append1[[#This Row],[weekday]]=0,"holiday",IF(AND(Append1[[#This Row],[weekday]]&gt;1,Append1[[#This Row],[weekday]]&lt;7),"working day","weekend"))</f>
        <v>weekend</v>
      </c>
      <c r="P388" s="4" t="str">
        <f>IF(Append1[[#This Row],[weathersit]]=0,"sunny",IF(Append1[[#This Row],[weathersit]]=1,"mist",IF(Append1[[#This Row],[weathersit]]=2,"lightrain","extremerain")))</f>
        <v>lightrain</v>
      </c>
    </row>
    <row r="389" spans="1:16" x14ac:dyDescent="0.25">
      <c r="A389" s="4">
        <v>388</v>
      </c>
      <c r="B389" s="4">
        <v>0.21210000000000001</v>
      </c>
      <c r="C389" s="4">
        <v>0.47</v>
      </c>
      <c r="D389" s="4">
        <v>0.16420000000000001</v>
      </c>
      <c r="E389" s="4">
        <v>21</v>
      </c>
      <c r="F389" s="4">
        <v>72</v>
      </c>
      <c r="G389" s="4">
        <v>93</v>
      </c>
      <c r="H389" s="5">
        <v>40560</v>
      </c>
      <c r="I389" s="4">
        <v>1</v>
      </c>
      <c r="J389" s="4">
        <v>15</v>
      </c>
      <c r="K389" s="4" t="b">
        <f>IF(Append1[[#This Row],[days]]="working day",FALSE,TRUE)</f>
        <v>1</v>
      </c>
      <c r="L389" s="4">
        <v>1</v>
      </c>
      <c r="M389" s="4">
        <v>2</v>
      </c>
      <c r="N389" s="6">
        <v>0.2</v>
      </c>
      <c r="O389" s="2" t="str">
        <f>IF(Append1[[#This Row],[weekday]]=0,"holiday",IF(AND(Append1[[#This Row],[weekday]]&gt;1,Append1[[#This Row],[weekday]]&lt;7),"working day","weekend"))</f>
        <v>weekend</v>
      </c>
      <c r="P389" s="4" t="str">
        <f>IF(Append1[[#This Row],[weathersit]]=0,"sunny",IF(Append1[[#This Row],[weathersit]]=1,"mist",IF(Append1[[#This Row],[weathersit]]=2,"lightrain","extremerain")))</f>
        <v>lightrain</v>
      </c>
    </row>
    <row r="390" spans="1:16" x14ac:dyDescent="0.25">
      <c r="A390" s="4">
        <v>389</v>
      </c>
      <c r="B390" s="4">
        <v>0.21210000000000001</v>
      </c>
      <c r="C390" s="4">
        <v>0.47</v>
      </c>
      <c r="D390" s="4">
        <v>0.16420000000000001</v>
      </c>
      <c r="E390" s="4">
        <v>6</v>
      </c>
      <c r="F390" s="4">
        <v>76</v>
      </c>
      <c r="G390" s="4">
        <v>82</v>
      </c>
      <c r="H390" s="5">
        <v>40560</v>
      </c>
      <c r="I390" s="4">
        <v>1</v>
      </c>
      <c r="J390" s="4">
        <v>16</v>
      </c>
      <c r="K390" s="4" t="b">
        <f>IF(Append1[[#This Row],[days]]="working day",FALSE,TRUE)</f>
        <v>1</v>
      </c>
      <c r="L390" s="4">
        <v>1</v>
      </c>
      <c r="M390" s="4">
        <v>2</v>
      </c>
      <c r="N390" s="6">
        <v>0.2</v>
      </c>
      <c r="O390" s="2" t="str">
        <f>IF(Append1[[#This Row],[weekday]]=0,"holiday",IF(AND(Append1[[#This Row],[weekday]]&gt;1,Append1[[#This Row],[weekday]]&lt;7),"working day","weekend"))</f>
        <v>weekend</v>
      </c>
      <c r="P390" s="4" t="str">
        <f>IF(Append1[[#This Row],[weathersit]]=0,"sunny",IF(Append1[[#This Row],[weathersit]]=1,"mist",IF(Append1[[#This Row],[weathersit]]=2,"lightrain","extremerain")))</f>
        <v>lightrain</v>
      </c>
    </row>
    <row r="391" spans="1:16" x14ac:dyDescent="0.25">
      <c r="A391" s="4">
        <v>390</v>
      </c>
      <c r="B391" s="4">
        <v>0.19700000000000001</v>
      </c>
      <c r="C391" s="4">
        <v>0.51</v>
      </c>
      <c r="D391" s="4">
        <v>0.19400000000000001</v>
      </c>
      <c r="E391" s="4">
        <v>4</v>
      </c>
      <c r="F391" s="4">
        <v>67</v>
      </c>
      <c r="G391" s="4">
        <v>71</v>
      </c>
      <c r="H391" s="5">
        <v>40560</v>
      </c>
      <c r="I391" s="4">
        <v>1</v>
      </c>
      <c r="J391" s="4">
        <v>17</v>
      </c>
      <c r="K391" s="4" t="b">
        <f>IF(Append1[[#This Row],[days]]="working day",FALSE,TRUE)</f>
        <v>1</v>
      </c>
      <c r="L391" s="4">
        <v>1</v>
      </c>
      <c r="M391" s="4">
        <v>1</v>
      </c>
      <c r="N391" s="6">
        <v>0.2</v>
      </c>
      <c r="O391" s="2" t="str">
        <f>IF(Append1[[#This Row],[weekday]]=0,"holiday",IF(AND(Append1[[#This Row],[weekday]]&gt;1,Append1[[#This Row],[weekday]]&lt;7),"working day","weekend"))</f>
        <v>weekend</v>
      </c>
      <c r="P391" s="4" t="str">
        <f>IF(Append1[[#This Row],[weathersit]]=0,"sunny",IF(Append1[[#This Row],[weathersit]]=1,"mist",IF(Append1[[#This Row],[weathersit]]=2,"lightrain","extremerain")))</f>
        <v>mist</v>
      </c>
    </row>
    <row r="392" spans="1:16" x14ac:dyDescent="0.25">
      <c r="A392" s="4">
        <v>391</v>
      </c>
      <c r="B392" s="4">
        <v>0.16669999999999999</v>
      </c>
      <c r="C392" s="4">
        <v>0.55000000000000004</v>
      </c>
      <c r="D392" s="4">
        <v>0.25369999999999998</v>
      </c>
      <c r="E392" s="4">
        <v>7</v>
      </c>
      <c r="F392" s="4">
        <v>85</v>
      </c>
      <c r="G392" s="4">
        <v>92</v>
      </c>
      <c r="H392" s="5">
        <v>40560</v>
      </c>
      <c r="I392" s="4">
        <v>1</v>
      </c>
      <c r="J392" s="4">
        <v>18</v>
      </c>
      <c r="K392" s="4" t="b">
        <f>IF(Append1[[#This Row],[days]]="working day",FALSE,TRUE)</f>
        <v>1</v>
      </c>
      <c r="L392" s="4">
        <v>1</v>
      </c>
      <c r="M392" s="4">
        <v>2</v>
      </c>
      <c r="N392" s="6">
        <v>0.18</v>
      </c>
      <c r="O392" s="2" t="str">
        <f>IF(Append1[[#This Row],[weekday]]=0,"holiday",IF(AND(Append1[[#This Row],[weekday]]&gt;1,Append1[[#This Row],[weekday]]&lt;7),"working day","weekend"))</f>
        <v>weekend</v>
      </c>
      <c r="P392" s="4" t="str">
        <f>IF(Append1[[#This Row],[weathersit]]=0,"sunny",IF(Append1[[#This Row],[weathersit]]=1,"mist",IF(Append1[[#This Row],[weathersit]]=2,"lightrain","extremerain")))</f>
        <v>lightrain</v>
      </c>
    </row>
    <row r="393" spans="1:16" x14ac:dyDescent="0.25">
      <c r="A393" s="4">
        <v>392</v>
      </c>
      <c r="B393" s="4">
        <v>0.18179999999999999</v>
      </c>
      <c r="C393" s="4">
        <v>0.59</v>
      </c>
      <c r="D393" s="4">
        <v>0.19400000000000001</v>
      </c>
      <c r="E393" s="4">
        <v>2</v>
      </c>
      <c r="F393" s="4">
        <v>58</v>
      </c>
      <c r="G393" s="4">
        <v>60</v>
      </c>
      <c r="H393" s="5">
        <v>40560</v>
      </c>
      <c r="I393" s="4">
        <v>1</v>
      </c>
      <c r="J393" s="4">
        <v>19</v>
      </c>
      <c r="K393" s="4" t="b">
        <f>IF(Append1[[#This Row],[days]]="working day",FALSE,TRUE)</f>
        <v>1</v>
      </c>
      <c r="L393" s="4">
        <v>1</v>
      </c>
      <c r="M393" s="4">
        <v>3</v>
      </c>
      <c r="N393" s="6">
        <v>0.18</v>
      </c>
      <c r="O393" s="2" t="str">
        <f>IF(Append1[[#This Row],[weekday]]=0,"holiday",IF(AND(Append1[[#This Row],[weekday]]&gt;1,Append1[[#This Row],[weekday]]&lt;7),"working day","weekend"))</f>
        <v>weekend</v>
      </c>
      <c r="P393" s="4" t="str">
        <f>IF(Append1[[#This Row],[weathersit]]=0,"sunny",IF(Append1[[#This Row],[weathersit]]=1,"mist",IF(Append1[[#This Row],[weathersit]]=2,"lightrain","extremerain")))</f>
        <v>extremerain</v>
      </c>
    </row>
    <row r="394" spans="1:16" x14ac:dyDescent="0.25">
      <c r="A394" s="4">
        <v>393</v>
      </c>
      <c r="B394" s="4">
        <v>0.1515</v>
      </c>
      <c r="C394" s="4">
        <v>0.8</v>
      </c>
      <c r="D394" s="4">
        <v>0.19400000000000001</v>
      </c>
      <c r="E394" s="4">
        <v>4</v>
      </c>
      <c r="F394" s="4">
        <v>29</v>
      </c>
      <c r="G394" s="4">
        <v>33</v>
      </c>
      <c r="H394" s="5">
        <v>40560</v>
      </c>
      <c r="I394" s="4">
        <v>1</v>
      </c>
      <c r="J394" s="4">
        <v>20</v>
      </c>
      <c r="K394" s="4" t="b">
        <f>IF(Append1[[#This Row],[days]]="working day",FALSE,TRUE)</f>
        <v>1</v>
      </c>
      <c r="L394" s="4">
        <v>1</v>
      </c>
      <c r="M394" s="4">
        <v>3</v>
      </c>
      <c r="N394" s="6">
        <v>0.16</v>
      </c>
      <c r="O394" s="2" t="str">
        <f>IF(Append1[[#This Row],[weekday]]=0,"holiday",IF(AND(Append1[[#This Row],[weekday]]&gt;1,Append1[[#This Row],[weekday]]&lt;7),"working day","weekend"))</f>
        <v>weekend</v>
      </c>
      <c r="P394" s="4" t="str">
        <f>IF(Append1[[#This Row],[weathersit]]=0,"sunny",IF(Append1[[#This Row],[weathersit]]=1,"mist",IF(Append1[[#This Row],[weathersit]]=2,"lightrain","extremerain")))</f>
        <v>extremerain</v>
      </c>
    </row>
    <row r="395" spans="1:16" x14ac:dyDescent="0.25">
      <c r="A395" s="4">
        <v>394</v>
      </c>
      <c r="B395" s="4">
        <v>0.1515</v>
      </c>
      <c r="C395" s="4">
        <v>0.8</v>
      </c>
      <c r="D395" s="4">
        <v>0.19400000000000001</v>
      </c>
      <c r="E395" s="4">
        <v>3</v>
      </c>
      <c r="F395" s="4">
        <v>24</v>
      </c>
      <c r="G395" s="4">
        <v>27</v>
      </c>
      <c r="H395" s="5">
        <v>40560</v>
      </c>
      <c r="I395" s="4">
        <v>1</v>
      </c>
      <c r="J395" s="4">
        <v>21</v>
      </c>
      <c r="K395" s="4" t="b">
        <f>IF(Append1[[#This Row],[days]]="working day",FALSE,TRUE)</f>
        <v>1</v>
      </c>
      <c r="L395" s="4">
        <v>1</v>
      </c>
      <c r="M395" s="4">
        <v>3</v>
      </c>
      <c r="N395" s="6">
        <v>0.16</v>
      </c>
      <c r="O395" s="2" t="str">
        <f>IF(Append1[[#This Row],[weekday]]=0,"holiday",IF(AND(Append1[[#This Row],[weekday]]&gt;1,Append1[[#This Row],[weekday]]&lt;7),"working day","weekend"))</f>
        <v>weekend</v>
      </c>
      <c r="P395" s="4" t="str">
        <f>IF(Append1[[#This Row],[weathersit]]=0,"sunny",IF(Append1[[#This Row],[weathersit]]=1,"mist",IF(Append1[[#This Row],[weathersit]]=2,"lightrain","extremerain")))</f>
        <v>extremerain</v>
      </c>
    </row>
    <row r="396" spans="1:16" x14ac:dyDescent="0.25">
      <c r="A396" s="4">
        <v>395</v>
      </c>
      <c r="B396" s="4">
        <v>0.1212</v>
      </c>
      <c r="C396" s="4">
        <v>0.93</v>
      </c>
      <c r="D396" s="4">
        <v>0.25369999999999998</v>
      </c>
      <c r="E396" s="4">
        <v>0</v>
      </c>
      <c r="F396" s="4">
        <v>13</v>
      </c>
      <c r="G396" s="4">
        <v>13</v>
      </c>
      <c r="H396" s="5">
        <v>40560</v>
      </c>
      <c r="I396" s="4">
        <v>1</v>
      </c>
      <c r="J396" s="4">
        <v>22</v>
      </c>
      <c r="K396" s="4" t="b">
        <f>IF(Append1[[#This Row],[days]]="working day",FALSE,TRUE)</f>
        <v>1</v>
      </c>
      <c r="L396" s="4">
        <v>1</v>
      </c>
      <c r="M396" s="4">
        <v>3</v>
      </c>
      <c r="N396" s="6">
        <v>0.14000000000000001</v>
      </c>
      <c r="O396" s="2" t="str">
        <f>IF(Append1[[#This Row],[weekday]]=0,"holiday",IF(AND(Append1[[#This Row],[weekday]]&gt;1,Append1[[#This Row],[weekday]]&lt;7),"working day","weekend"))</f>
        <v>weekend</v>
      </c>
      <c r="P396" s="4" t="str">
        <f>IF(Append1[[#This Row],[weathersit]]=0,"sunny",IF(Append1[[#This Row],[weathersit]]=1,"mist",IF(Append1[[#This Row],[weathersit]]=2,"lightrain","extremerain")))</f>
        <v>extremerain</v>
      </c>
    </row>
    <row r="397" spans="1:16" x14ac:dyDescent="0.25">
      <c r="A397" s="4">
        <v>396</v>
      </c>
      <c r="B397" s="4">
        <v>0.13639999999999999</v>
      </c>
      <c r="C397" s="4">
        <v>0.86</v>
      </c>
      <c r="D397" s="4">
        <v>0.28360000000000002</v>
      </c>
      <c r="E397" s="4">
        <v>1</v>
      </c>
      <c r="F397" s="4">
        <v>3</v>
      </c>
      <c r="G397" s="4">
        <v>4</v>
      </c>
      <c r="H397" s="5">
        <v>40560</v>
      </c>
      <c r="I397" s="4">
        <v>1</v>
      </c>
      <c r="J397" s="4">
        <v>23</v>
      </c>
      <c r="K397" s="4" t="b">
        <f>IF(Append1[[#This Row],[days]]="working day",FALSE,TRUE)</f>
        <v>1</v>
      </c>
      <c r="L397" s="4">
        <v>1</v>
      </c>
      <c r="M397" s="4">
        <v>3</v>
      </c>
      <c r="N397" s="6">
        <v>0.16</v>
      </c>
      <c r="O397" s="2" t="str">
        <f>IF(Append1[[#This Row],[weekday]]=0,"holiday",IF(AND(Append1[[#This Row],[weekday]]&gt;1,Append1[[#This Row],[weekday]]&lt;7),"working day","weekend"))</f>
        <v>weekend</v>
      </c>
      <c r="P397" s="4" t="str">
        <f>IF(Append1[[#This Row],[weathersit]]=0,"sunny",IF(Append1[[#This Row],[weathersit]]=1,"mist",IF(Append1[[#This Row],[weathersit]]=2,"lightrain","extremerain")))</f>
        <v>extremerain</v>
      </c>
    </row>
    <row r="398" spans="1:16" x14ac:dyDescent="0.25">
      <c r="A398" s="4">
        <v>397</v>
      </c>
      <c r="B398" s="4">
        <v>0.18179999999999999</v>
      </c>
      <c r="C398" s="4">
        <v>0.86</v>
      </c>
      <c r="D398" s="4">
        <v>0.32840000000000003</v>
      </c>
      <c r="E398" s="4">
        <v>0</v>
      </c>
      <c r="F398" s="4">
        <v>3</v>
      </c>
      <c r="G398" s="4">
        <v>3</v>
      </c>
      <c r="H398" s="5">
        <v>40561</v>
      </c>
      <c r="I398" s="4">
        <v>1</v>
      </c>
      <c r="J398" s="4">
        <v>12</v>
      </c>
      <c r="K398" s="4" t="b">
        <f>IF(Append1[[#This Row],[days]]="working day",FALSE,TRUE)</f>
        <v>0</v>
      </c>
      <c r="L398" s="4">
        <v>2</v>
      </c>
      <c r="M398" s="4">
        <v>2</v>
      </c>
      <c r="N398" s="6">
        <v>0.2</v>
      </c>
      <c r="O398" s="2" t="str">
        <f>IF(Append1[[#This Row],[weekday]]=0,"holiday",IF(AND(Append1[[#This Row],[weekday]]&gt;1,Append1[[#This Row],[weekday]]&lt;7),"working day","weekend"))</f>
        <v>working day</v>
      </c>
      <c r="P398" s="4" t="str">
        <f>IF(Append1[[#This Row],[weathersit]]=0,"sunny",IF(Append1[[#This Row],[weathersit]]=1,"mist",IF(Append1[[#This Row],[weathersit]]=2,"lightrain","extremerain")))</f>
        <v>lightrain</v>
      </c>
    </row>
    <row r="399" spans="1:16" x14ac:dyDescent="0.25">
      <c r="A399" s="4">
        <v>398</v>
      </c>
      <c r="B399" s="4">
        <v>0.19700000000000001</v>
      </c>
      <c r="C399" s="4">
        <v>0.86</v>
      </c>
      <c r="D399" s="4">
        <v>0.22389999999999999</v>
      </c>
      <c r="E399" s="4">
        <v>0</v>
      </c>
      <c r="F399" s="4">
        <v>22</v>
      </c>
      <c r="G399" s="4">
        <v>22</v>
      </c>
      <c r="H399" s="5">
        <v>40561</v>
      </c>
      <c r="I399" s="4">
        <v>1</v>
      </c>
      <c r="J399" s="4">
        <v>13</v>
      </c>
      <c r="K399" s="4" t="b">
        <f>IF(Append1[[#This Row],[days]]="working day",FALSE,TRUE)</f>
        <v>0</v>
      </c>
      <c r="L399" s="4">
        <v>2</v>
      </c>
      <c r="M399" s="4">
        <v>2</v>
      </c>
      <c r="N399" s="6">
        <v>0.2</v>
      </c>
      <c r="O399" s="2" t="str">
        <f>IF(Append1[[#This Row],[weekday]]=0,"holiday",IF(AND(Append1[[#This Row],[weekday]]&gt;1,Append1[[#This Row],[weekday]]&lt;7),"working day","weekend"))</f>
        <v>working day</v>
      </c>
      <c r="P399" s="4" t="str">
        <f>IF(Append1[[#This Row],[weathersit]]=0,"sunny",IF(Append1[[#This Row],[weathersit]]=1,"mist",IF(Append1[[#This Row],[weathersit]]=2,"lightrain","extremerain")))</f>
        <v>lightrain</v>
      </c>
    </row>
    <row r="400" spans="1:16" x14ac:dyDescent="0.25">
      <c r="A400" s="4">
        <v>399</v>
      </c>
      <c r="B400" s="4">
        <v>0.2273</v>
      </c>
      <c r="C400" s="4">
        <v>0.8</v>
      </c>
      <c r="D400" s="4">
        <v>0.16420000000000001</v>
      </c>
      <c r="E400" s="4">
        <v>2</v>
      </c>
      <c r="F400" s="4">
        <v>26</v>
      </c>
      <c r="G400" s="4">
        <v>28</v>
      </c>
      <c r="H400" s="5">
        <v>40561</v>
      </c>
      <c r="I400" s="4">
        <v>1</v>
      </c>
      <c r="J400" s="4">
        <v>14</v>
      </c>
      <c r="K400" s="4" t="b">
        <f>IF(Append1[[#This Row],[days]]="working day",FALSE,TRUE)</f>
        <v>0</v>
      </c>
      <c r="L400" s="4">
        <v>2</v>
      </c>
      <c r="M400" s="4">
        <v>2</v>
      </c>
      <c r="N400" s="6">
        <v>0.22</v>
      </c>
      <c r="O400" s="2" t="str">
        <f>IF(Append1[[#This Row],[weekday]]=0,"holiday",IF(AND(Append1[[#This Row],[weekday]]&gt;1,Append1[[#This Row],[weekday]]&lt;7),"working day","weekend"))</f>
        <v>working day</v>
      </c>
      <c r="P400" s="4" t="str">
        <f>IF(Append1[[#This Row],[weathersit]]=0,"sunny",IF(Append1[[#This Row],[weathersit]]=1,"mist",IF(Append1[[#This Row],[weathersit]]=2,"lightrain","extremerain")))</f>
        <v>lightrain</v>
      </c>
    </row>
    <row r="401" spans="1:16" x14ac:dyDescent="0.25">
      <c r="A401" s="4">
        <v>400</v>
      </c>
      <c r="B401" s="4">
        <v>0.2273</v>
      </c>
      <c r="C401" s="4">
        <v>0.87</v>
      </c>
      <c r="D401" s="4">
        <v>0.16420000000000001</v>
      </c>
      <c r="E401" s="4">
        <v>3</v>
      </c>
      <c r="F401" s="4">
        <v>32</v>
      </c>
      <c r="G401" s="4">
        <v>35</v>
      </c>
      <c r="H401" s="5">
        <v>40561</v>
      </c>
      <c r="I401" s="4">
        <v>1</v>
      </c>
      <c r="J401" s="4">
        <v>15</v>
      </c>
      <c r="K401" s="4" t="b">
        <f>IF(Append1[[#This Row],[days]]="working day",FALSE,TRUE)</f>
        <v>0</v>
      </c>
      <c r="L401" s="4">
        <v>2</v>
      </c>
      <c r="M401" s="4">
        <v>2</v>
      </c>
      <c r="N401" s="6">
        <v>0.22</v>
      </c>
      <c r="O401" s="2" t="str">
        <f>IF(Append1[[#This Row],[weekday]]=0,"holiday",IF(AND(Append1[[#This Row],[weekday]]&gt;1,Append1[[#This Row],[weekday]]&lt;7),"working day","weekend"))</f>
        <v>working day</v>
      </c>
      <c r="P401" s="4" t="str">
        <f>IF(Append1[[#This Row],[weathersit]]=0,"sunny",IF(Append1[[#This Row],[weathersit]]=1,"mist",IF(Append1[[#This Row],[weathersit]]=2,"lightrain","extremerain")))</f>
        <v>lightrain</v>
      </c>
    </row>
    <row r="402" spans="1:16" x14ac:dyDescent="0.25">
      <c r="A402" s="4">
        <v>401</v>
      </c>
      <c r="B402" s="4">
        <v>0.2273</v>
      </c>
      <c r="C402" s="4">
        <v>0.87</v>
      </c>
      <c r="D402" s="4">
        <v>0.19400000000000001</v>
      </c>
      <c r="E402" s="4">
        <v>0</v>
      </c>
      <c r="F402" s="4">
        <v>61</v>
      </c>
      <c r="G402" s="4">
        <v>61</v>
      </c>
      <c r="H402" s="5">
        <v>40561</v>
      </c>
      <c r="I402" s="4">
        <v>1</v>
      </c>
      <c r="J402" s="4">
        <v>16</v>
      </c>
      <c r="K402" s="4" t="b">
        <f>IF(Append1[[#This Row],[days]]="working day",FALSE,TRUE)</f>
        <v>0</v>
      </c>
      <c r="L402" s="4">
        <v>2</v>
      </c>
      <c r="M402" s="4">
        <v>2</v>
      </c>
      <c r="N402" s="6">
        <v>0.22</v>
      </c>
      <c r="O402" s="2" t="str">
        <f>IF(Append1[[#This Row],[weekday]]=0,"holiday",IF(AND(Append1[[#This Row],[weekday]]&gt;1,Append1[[#This Row],[weekday]]&lt;7),"working day","weekend"))</f>
        <v>working day</v>
      </c>
      <c r="P402" s="4" t="str">
        <f>IF(Append1[[#This Row],[weathersit]]=0,"sunny",IF(Append1[[#This Row],[weathersit]]=1,"mist",IF(Append1[[#This Row],[weathersit]]=2,"lightrain","extremerain")))</f>
        <v>lightrain</v>
      </c>
    </row>
    <row r="403" spans="1:16" x14ac:dyDescent="0.25">
      <c r="A403" s="4">
        <v>402</v>
      </c>
      <c r="B403" s="4">
        <v>0.2273</v>
      </c>
      <c r="C403" s="4">
        <v>0.82</v>
      </c>
      <c r="D403" s="4">
        <v>0.19400000000000001</v>
      </c>
      <c r="E403" s="4">
        <v>1</v>
      </c>
      <c r="F403" s="4">
        <v>124</v>
      </c>
      <c r="G403" s="4">
        <v>125</v>
      </c>
      <c r="H403" s="5">
        <v>40561</v>
      </c>
      <c r="I403" s="4">
        <v>1</v>
      </c>
      <c r="J403" s="4">
        <v>17</v>
      </c>
      <c r="K403" s="4" t="b">
        <f>IF(Append1[[#This Row],[days]]="working day",FALSE,TRUE)</f>
        <v>0</v>
      </c>
      <c r="L403" s="4">
        <v>2</v>
      </c>
      <c r="M403" s="4">
        <v>2</v>
      </c>
      <c r="N403" s="6">
        <v>0.22</v>
      </c>
      <c r="O403" s="2" t="str">
        <f>IF(Append1[[#This Row],[weekday]]=0,"holiday",IF(AND(Append1[[#This Row],[weekday]]&gt;1,Append1[[#This Row],[weekday]]&lt;7),"working day","weekend"))</f>
        <v>working day</v>
      </c>
      <c r="P403" s="4" t="str">
        <f>IF(Append1[[#This Row],[weathersit]]=0,"sunny",IF(Append1[[#This Row],[weathersit]]=1,"mist",IF(Append1[[#This Row],[weathersit]]=2,"lightrain","extremerain")))</f>
        <v>lightrain</v>
      </c>
    </row>
    <row r="404" spans="1:16" x14ac:dyDescent="0.25">
      <c r="A404" s="4">
        <v>403</v>
      </c>
      <c r="B404" s="4">
        <v>0.2273</v>
      </c>
      <c r="C404" s="4">
        <v>0.8</v>
      </c>
      <c r="D404" s="4">
        <v>0.16420000000000001</v>
      </c>
      <c r="E404" s="4">
        <v>1</v>
      </c>
      <c r="F404" s="4">
        <v>132</v>
      </c>
      <c r="G404" s="4">
        <v>133</v>
      </c>
      <c r="H404" s="5">
        <v>40561</v>
      </c>
      <c r="I404" s="4">
        <v>1</v>
      </c>
      <c r="J404" s="4">
        <v>18</v>
      </c>
      <c r="K404" s="4" t="b">
        <f>IF(Append1[[#This Row],[days]]="working day",FALSE,TRUE)</f>
        <v>0</v>
      </c>
      <c r="L404" s="4">
        <v>2</v>
      </c>
      <c r="M404" s="4">
        <v>2</v>
      </c>
      <c r="N404" s="6">
        <v>0.22</v>
      </c>
      <c r="O404" s="2" t="str">
        <f>IF(Append1[[#This Row],[weekday]]=0,"holiday",IF(AND(Append1[[#This Row],[weekday]]&gt;1,Append1[[#This Row],[weekday]]&lt;7),"working day","weekend"))</f>
        <v>working day</v>
      </c>
      <c r="P404" s="4" t="str">
        <f>IF(Append1[[#This Row],[weathersit]]=0,"sunny",IF(Append1[[#This Row],[weathersit]]=1,"mist",IF(Append1[[#This Row],[weathersit]]=2,"lightrain","extremerain")))</f>
        <v>lightrain</v>
      </c>
    </row>
    <row r="405" spans="1:16" x14ac:dyDescent="0.25">
      <c r="A405" s="4">
        <v>404</v>
      </c>
      <c r="B405" s="4">
        <v>0.2273</v>
      </c>
      <c r="C405" s="4">
        <v>0.8</v>
      </c>
      <c r="D405" s="4">
        <v>0.1343</v>
      </c>
      <c r="E405" s="4">
        <v>1</v>
      </c>
      <c r="F405" s="4">
        <v>98</v>
      </c>
      <c r="G405" s="4">
        <v>99</v>
      </c>
      <c r="H405" s="5">
        <v>40561</v>
      </c>
      <c r="I405" s="4">
        <v>1</v>
      </c>
      <c r="J405" s="4">
        <v>19</v>
      </c>
      <c r="K405" s="4" t="b">
        <f>IF(Append1[[#This Row],[days]]="working day",FALSE,TRUE)</f>
        <v>0</v>
      </c>
      <c r="L405" s="4">
        <v>2</v>
      </c>
      <c r="M405" s="4">
        <v>2</v>
      </c>
      <c r="N405" s="6">
        <v>0.22</v>
      </c>
      <c r="O405" s="2" t="str">
        <f>IF(Append1[[#This Row],[weekday]]=0,"holiday",IF(AND(Append1[[#This Row],[weekday]]&gt;1,Append1[[#This Row],[weekday]]&lt;7),"working day","weekend"))</f>
        <v>working day</v>
      </c>
      <c r="P405" s="4" t="str">
        <f>IF(Append1[[#This Row],[weathersit]]=0,"sunny",IF(Append1[[#This Row],[weathersit]]=1,"mist",IF(Append1[[#This Row],[weathersit]]=2,"lightrain","extremerain")))</f>
        <v>lightrain</v>
      </c>
    </row>
    <row r="406" spans="1:16" x14ac:dyDescent="0.25">
      <c r="A406" s="4">
        <v>405</v>
      </c>
      <c r="B406" s="4">
        <v>0.2727</v>
      </c>
      <c r="C406" s="4">
        <v>0.87</v>
      </c>
      <c r="D406" s="4">
        <v>0</v>
      </c>
      <c r="E406" s="4">
        <v>0</v>
      </c>
      <c r="F406" s="4">
        <v>83</v>
      </c>
      <c r="G406" s="4">
        <v>83</v>
      </c>
      <c r="H406" s="5">
        <v>40561</v>
      </c>
      <c r="I406" s="4">
        <v>1</v>
      </c>
      <c r="J406" s="4">
        <v>20</v>
      </c>
      <c r="K406" s="4" t="b">
        <f>IF(Append1[[#This Row],[days]]="working day",FALSE,TRUE)</f>
        <v>0</v>
      </c>
      <c r="L406" s="4">
        <v>2</v>
      </c>
      <c r="M406" s="4">
        <v>2</v>
      </c>
      <c r="N406" s="6">
        <v>0.22</v>
      </c>
      <c r="O406" s="2" t="str">
        <f>IF(Append1[[#This Row],[weekday]]=0,"holiday",IF(AND(Append1[[#This Row],[weekday]]&gt;1,Append1[[#This Row],[weekday]]&lt;7),"working day","weekend"))</f>
        <v>working day</v>
      </c>
      <c r="P406" s="4" t="str">
        <f>IF(Append1[[#This Row],[weathersit]]=0,"sunny",IF(Append1[[#This Row],[weathersit]]=1,"mist",IF(Append1[[#This Row],[weathersit]]=2,"lightrain","extremerain")))</f>
        <v>lightrain</v>
      </c>
    </row>
    <row r="407" spans="1:16" x14ac:dyDescent="0.25">
      <c r="A407" s="4">
        <v>406</v>
      </c>
      <c r="B407" s="4">
        <v>0.2424</v>
      </c>
      <c r="C407" s="4">
        <v>0.93</v>
      </c>
      <c r="D407" s="4">
        <v>0.1045</v>
      </c>
      <c r="E407" s="4">
        <v>0</v>
      </c>
      <c r="F407" s="4">
        <v>41</v>
      </c>
      <c r="G407" s="4">
        <v>41</v>
      </c>
      <c r="H407" s="5">
        <v>40561</v>
      </c>
      <c r="I407" s="4">
        <v>1</v>
      </c>
      <c r="J407" s="4">
        <v>21</v>
      </c>
      <c r="K407" s="4" t="b">
        <f>IF(Append1[[#This Row],[days]]="working day",FALSE,TRUE)</f>
        <v>0</v>
      </c>
      <c r="L407" s="4">
        <v>2</v>
      </c>
      <c r="M407" s="4">
        <v>2</v>
      </c>
      <c r="N407" s="6">
        <v>0.22</v>
      </c>
      <c r="O407" s="2" t="str">
        <f>IF(Append1[[#This Row],[weekday]]=0,"holiday",IF(AND(Append1[[#This Row],[weekday]]&gt;1,Append1[[#This Row],[weekday]]&lt;7),"working day","weekend"))</f>
        <v>working day</v>
      </c>
      <c r="P407" s="4" t="str">
        <f>IF(Append1[[#This Row],[weathersit]]=0,"sunny",IF(Append1[[#This Row],[weathersit]]=1,"mist",IF(Append1[[#This Row],[weathersit]]=2,"lightrain","extremerain")))</f>
        <v>lightrain</v>
      </c>
    </row>
    <row r="408" spans="1:16" x14ac:dyDescent="0.25">
      <c r="A408" s="4">
        <v>407</v>
      </c>
      <c r="B408" s="4">
        <v>0.2576</v>
      </c>
      <c r="C408" s="4">
        <v>0.93</v>
      </c>
      <c r="D408" s="4">
        <v>8.9599999999999999E-2</v>
      </c>
      <c r="E408" s="4">
        <v>0</v>
      </c>
      <c r="F408" s="4">
        <v>33</v>
      </c>
      <c r="G408" s="4">
        <v>33</v>
      </c>
      <c r="H408" s="5">
        <v>40561</v>
      </c>
      <c r="I408" s="4">
        <v>1</v>
      </c>
      <c r="J408" s="4">
        <v>22</v>
      </c>
      <c r="K408" s="4" t="b">
        <f>IF(Append1[[#This Row],[days]]="working day",FALSE,TRUE)</f>
        <v>0</v>
      </c>
      <c r="L408" s="4">
        <v>2</v>
      </c>
      <c r="M408" s="4">
        <v>2</v>
      </c>
      <c r="N408" s="6">
        <v>0.22</v>
      </c>
      <c r="O408" s="2" t="str">
        <f>IF(Append1[[#This Row],[weekday]]=0,"holiday",IF(AND(Append1[[#This Row],[weekday]]&gt;1,Append1[[#This Row],[weekday]]&lt;7),"working day","weekend"))</f>
        <v>working day</v>
      </c>
      <c r="P408" s="4" t="str">
        <f>IF(Append1[[#This Row],[weathersit]]=0,"sunny",IF(Append1[[#This Row],[weathersit]]=1,"mist",IF(Append1[[#This Row],[weathersit]]=2,"lightrain","extremerain")))</f>
        <v>lightrain</v>
      </c>
    </row>
    <row r="409" spans="1:16" x14ac:dyDescent="0.25">
      <c r="A409" s="4">
        <v>408</v>
      </c>
      <c r="B409" s="4">
        <v>0.2727</v>
      </c>
      <c r="C409" s="4">
        <v>0.93</v>
      </c>
      <c r="D409" s="4">
        <v>0</v>
      </c>
      <c r="E409" s="4">
        <v>1</v>
      </c>
      <c r="F409" s="4">
        <v>19</v>
      </c>
      <c r="G409" s="4">
        <v>20</v>
      </c>
      <c r="H409" s="5">
        <v>40561</v>
      </c>
      <c r="I409" s="4">
        <v>1</v>
      </c>
      <c r="J409" s="4">
        <v>23</v>
      </c>
      <c r="K409" s="4" t="b">
        <f>IF(Append1[[#This Row],[days]]="working day",FALSE,TRUE)</f>
        <v>0</v>
      </c>
      <c r="L409" s="4">
        <v>2</v>
      </c>
      <c r="M409" s="4">
        <v>2</v>
      </c>
      <c r="N409" s="6">
        <v>0.22</v>
      </c>
      <c r="O409" s="2" t="str">
        <f>IF(Append1[[#This Row],[weekday]]=0,"holiday",IF(AND(Append1[[#This Row],[weekday]]&gt;1,Append1[[#This Row],[weekday]]&lt;7),"working day","weekend"))</f>
        <v>working day</v>
      </c>
      <c r="P409" s="4" t="str">
        <f>IF(Append1[[#This Row],[weathersit]]=0,"sunny",IF(Append1[[#This Row],[weathersit]]=1,"mist",IF(Append1[[#This Row],[weathersit]]=2,"lightrain","extremerain")))</f>
        <v>lightrain</v>
      </c>
    </row>
    <row r="410" spans="1:16" x14ac:dyDescent="0.25">
      <c r="A410" s="4">
        <v>409</v>
      </c>
      <c r="B410" s="4">
        <v>0.2727</v>
      </c>
      <c r="C410" s="4">
        <v>0.93</v>
      </c>
      <c r="D410" s="4">
        <v>0</v>
      </c>
      <c r="E410" s="4">
        <v>0</v>
      </c>
      <c r="F410" s="4">
        <v>3</v>
      </c>
      <c r="G410" s="4">
        <v>3</v>
      </c>
      <c r="H410" s="5">
        <v>40562</v>
      </c>
      <c r="I410" s="4">
        <v>1</v>
      </c>
      <c r="J410" s="4">
        <v>0</v>
      </c>
      <c r="K410" s="4" t="b">
        <f>IF(Append1[[#This Row],[days]]="working day",FALSE,TRUE)</f>
        <v>0</v>
      </c>
      <c r="L410" s="4">
        <v>3</v>
      </c>
      <c r="M410" s="4">
        <v>2</v>
      </c>
      <c r="N410" s="6">
        <v>0.22</v>
      </c>
      <c r="O410" s="2" t="str">
        <f>IF(Append1[[#This Row],[weekday]]=0,"holiday",IF(AND(Append1[[#This Row],[weekday]]&gt;1,Append1[[#This Row],[weekday]]&lt;7),"working day","weekend"))</f>
        <v>working day</v>
      </c>
      <c r="P410" s="4" t="str">
        <f>IF(Append1[[#This Row],[weathersit]]=0,"sunny",IF(Append1[[#This Row],[weathersit]]=1,"mist",IF(Append1[[#This Row],[weathersit]]=2,"lightrain","extremerain")))</f>
        <v>lightrain</v>
      </c>
    </row>
    <row r="411" spans="1:16" x14ac:dyDescent="0.25">
      <c r="A411" s="4">
        <v>410</v>
      </c>
      <c r="B411" s="4">
        <v>0.2273</v>
      </c>
      <c r="C411" s="4">
        <v>0.93</v>
      </c>
      <c r="D411" s="4">
        <v>0.1343</v>
      </c>
      <c r="E411" s="4">
        <v>1</v>
      </c>
      <c r="F411" s="4">
        <v>6</v>
      </c>
      <c r="G411" s="4">
        <v>7</v>
      </c>
      <c r="H411" s="5">
        <v>40562</v>
      </c>
      <c r="I411" s="4">
        <v>1</v>
      </c>
      <c r="J411" s="4">
        <v>1</v>
      </c>
      <c r="K411" s="4" t="b">
        <f>IF(Append1[[#This Row],[days]]="working day",FALSE,TRUE)</f>
        <v>0</v>
      </c>
      <c r="L411" s="4">
        <v>3</v>
      </c>
      <c r="M411" s="4">
        <v>3</v>
      </c>
      <c r="N411" s="6">
        <v>0.22</v>
      </c>
      <c r="O411" s="2" t="str">
        <f>IF(Append1[[#This Row],[weekday]]=0,"holiday",IF(AND(Append1[[#This Row],[weekday]]&gt;1,Append1[[#This Row],[weekday]]&lt;7),"working day","weekend"))</f>
        <v>working day</v>
      </c>
      <c r="P411" s="4" t="str">
        <f>IF(Append1[[#This Row],[weathersit]]=0,"sunny",IF(Append1[[#This Row],[weathersit]]=1,"mist",IF(Append1[[#This Row],[weathersit]]=2,"lightrain","extremerain")))</f>
        <v>extremerain</v>
      </c>
    </row>
    <row r="412" spans="1:16" x14ac:dyDescent="0.25">
      <c r="A412" s="4">
        <v>411</v>
      </c>
      <c r="B412" s="4">
        <v>0.2273</v>
      </c>
      <c r="C412" s="4">
        <v>0.93</v>
      </c>
      <c r="D412" s="4">
        <v>0.1343</v>
      </c>
      <c r="E412" s="4">
        <v>0</v>
      </c>
      <c r="F412" s="4">
        <v>3</v>
      </c>
      <c r="G412" s="4">
        <v>3</v>
      </c>
      <c r="H412" s="5">
        <v>40562</v>
      </c>
      <c r="I412" s="4">
        <v>1</v>
      </c>
      <c r="J412" s="4">
        <v>2</v>
      </c>
      <c r="K412" s="4" t="b">
        <f>IF(Append1[[#This Row],[days]]="working day",FALSE,TRUE)</f>
        <v>0</v>
      </c>
      <c r="L412" s="4">
        <v>3</v>
      </c>
      <c r="M412" s="4">
        <v>3</v>
      </c>
      <c r="N412" s="6">
        <v>0.22</v>
      </c>
      <c r="O412" s="2" t="str">
        <f>IF(Append1[[#This Row],[weekday]]=0,"holiday",IF(AND(Append1[[#This Row],[weekday]]&gt;1,Append1[[#This Row],[weekday]]&lt;7),"working day","weekend"))</f>
        <v>working day</v>
      </c>
      <c r="P412" s="4" t="str">
        <f>IF(Append1[[#This Row],[weathersit]]=0,"sunny",IF(Append1[[#This Row],[weathersit]]=1,"mist",IF(Append1[[#This Row],[weathersit]]=2,"lightrain","extremerain")))</f>
        <v>extremerain</v>
      </c>
    </row>
    <row r="413" spans="1:16" x14ac:dyDescent="0.25">
      <c r="A413" s="4">
        <v>412</v>
      </c>
      <c r="B413" s="4">
        <v>0.2273</v>
      </c>
      <c r="C413" s="4">
        <v>0.93</v>
      </c>
      <c r="D413" s="4">
        <v>0.1343</v>
      </c>
      <c r="E413" s="4">
        <v>1</v>
      </c>
      <c r="F413" s="4">
        <v>1</v>
      </c>
      <c r="G413" s="4">
        <v>2</v>
      </c>
      <c r="H413" s="5">
        <v>40562</v>
      </c>
      <c r="I413" s="4">
        <v>1</v>
      </c>
      <c r="J413" s="4">
        <v>4</v>
      </c>
      <c r="K413" s="4" t="b">
        <f>IF(Append1[[#This Row],[days]]="working day",FALSE,TRUE)</f>
        <v>0</v>
      </c>
      <c r="L413" s="4">
        <v>3</v>
      </c>
      <c r="M413" s="4">
        <v>3</v>
      </c>
      <c r="N413" s="6">
        <v>0.22</v>
      </c>
      <c r="O413" s="2" t="str">
        <f>IF(Append1[[#This Row],[weekday]]=0,"holiday",IF(AND(Append1[[#This Row],[weekday]]&gt;1,Append1[[#This Row],[weekday]]&lt;7),"working day","weekend"))</f>
        <v>working day</v>
      </c>
      <c r="P413" s="4" t="str">
        <f>IF(Append1[[#This Row],[weathersit]]=0,"sunny",IF(Append1[[#This Row],[weathersit]]=1,"mist",IF(Append1[[#This Row],[weathersit]]=2,"lightrain","extremerain")))</f>
        <v>extremerain</v>
      </c>
    </row>
    <row r="414" spans="1:16" x14ac:dyDescent="0.25">
      <c r="A414" s="4">
        <v>413</v>
      </c>
      <c r="B414" s="4">
        <v>0.2576</v>
      </c>
      <c r="C414" s="4">
        <v>0.93</v>
      </c>
      <c r="D414" s="4">
        <v>8.9599999999999999E-2</v>
      </c>
      <c r="E414" s="4">
        <v>0</v>
      </c>
      <c r="F414" s="4">
        <v>7</v>
      </c>
      <c r="G414" s="4">
        <v>7</v>
      </c>
      <c r="H414" s="5">
        <v>40562</v>
      </c>
      <c r="I414" s="4">
        <v>1</v>
      </c>
      <c r="J414" s="4">
        <v>5</v>
      </c>
      <c r="K414" s="4" t="b">
        <f>IF(Append1[[#This Row],[days]]="working day",FALSE,TRUE)</f>
        <v>0</v>
      </c>
      <c r="L414" s="4">
        <v>3</v>
      </c>
      <c r="M414" s="4">
        <v>2</v>
      </c>
      <c r="N414" s="6">
        <v>0.22</v>
      </c>
      <c r="O414" s="2" t="str">
        <f>IF(Append1[[#This Row],[weekday]]=0,"holiday",IF(AND(Append1[[#This Row],[weekday]]&gt;1,Append1[[#This Row],[weekday]]&lt;7),"working day","weekend"))</f>
        <v>working day</v>
      </c>
      <c r="P414" s="4" t="str">
        <f>IF(Append1[[#This Row],[weathersit]]=0,"sunny",IF(Append1[[#This Row],[weathersit]]=1,"mist",IF(Append1[[#This Row],[weathersit]]=2,"lightrain","extremerain")))</f>
        <v>lightrain</v>
      </c>
    </row>
    <row r="415" spans="1:16" x14ac:dyDescent="0.25">
      <c r="A415" s="4">
        <v>414</v>
      </c>
      <c r="B415" s="4">
        <v>0.2576</v>
      </c>
      <c r="C415" s="4">
        <v>0.93</v>
      </c>
      <c r="D415" s="4">
        <v>8.9599999999999999E-2</v>
      </c>
      <c r="E415" s="4">
        <v>0</v>
      </c>
      <c r="F415" s="4">
        <v>32</v>
      </c>
      <c r="G415" s="4">
        <v>32</v>
      </c>
      <c r="H415" s="5">
        <v>40562</v>
      </c>
      <c r="I415" s="4">
        <v>1</v>
      </c>
      <c r="J415" s="4">
        <v>6</v>
      </c>
      <c r="K415" s="4" t="b">
        <f>IF(Append1[[#This Row],[days]]="working day",FALSE,TRUE)</f>
        <v>0</v>
      </c>
      <c r="L415" s="4">
        <v>3</v>
      </c>
      <c r="M415" s="4">
        <v>2</v>
      </c>
      <c r="N415" s="6">
        <v>0.22</v>
      </c>
      <c r="O415" s="2" t="str">
        <f>IF(Append1[[#This Row],[weekday]]=0,"holiday",IF(AND(Append1[[#This Row],[weekday]]&gt;1,Append1[[#This Row],[weekday]]&lt;7),"working day","weekend"))</f>
        <v>working day</v>
      </c>
      <c r="P415" s="4" t="str">
        <f>IF(Append1[[#This Row],[weathersit]]=0,"sunny",IF(Append1[[#This Row],[weathersit]]=1,"mist",IF(Append1[[#This Row],[weathersit]]=2,"lightrain","extremerain")))</f>
        <v>lightrain</v>
      </c>
    </row>
    <row r="416" spans="1:16" x14ac:dyDescent="0.25">
      <c r="A416" s="4">
        <v>415</v>
      </c>
      <c r="B416" s="4">
        <v>0.2576</v>
      </c>
      <c r="C416" s="4">
        <v>0.92</v>
      </c>
      <c r="D416" s="4">
        <v>0.1045</v>
      </c>
      <c r="E416" s="4">
        <v>1</v>
      </c>
      <c r="F416" s="4">
        <v>89</v>
      </c>
      <c r="G416" s="4">
        <v>90</v>
      </c>
      <c r="H416" s="5">
        <v>40562</v>
      </c>
      <c r="I416" s="4">
        <v>1</v>
      </c>
      <c r="J416" s="4">
        <v>7</v>
      </c>
      <c r="K416" s="4" t="b">
        <f>IF(Append1[[#This Row],[days]]="working day",FALSE,TRUE)</f>
        <v>0</v>
      </c>
      <c r="L416" s="4">
        <v>3</v>
      </c>
      <c r="M416" s="4">
        <v>2</v>
      </c>
      <c r="N416" s="6">
        <v>0.24</v>
      </c>
      <c r="O416" s="2" t="str">
        <f>IF(Append1[[#This Row],[weekday]]=0,"holiday",IF(AND(Append1[[#This Row],[weekday]]&gt;1,Append1[[#This Row],[weekday]]&lt;7),"working day","weekend"))</f>
        <v>working day</v>
      </c>
      <c r="P416" s="4" t="str">
        <f>IF(Append1[[#This Row],[weathersit]]=0,"sunny",IF(Append1[[#This Row],[weathersit]]=1,"mist",IF(Append1[[#This Row],[weathersit]]=2,"lightrain","extremerain")))</f>
        <v>lightrain</v>
      </c>
    </row>
    <row r="417" spans="1:16" x14ac:dyDescent="0.25">
      <c r="A417" s="4">
        <v>416</v>
      </c>
      <c r="B417" s="4">
        <v>0.2576</v>
      </c>
      <c r="C417" s="4">
        <v>0.93</v>
      </c>
      <c r="D417" s="4">
        <v>0.1045</v>
      </c>
      <c r="E417" s="4">
        <v>1</v>
      </c>
      <c r="F417" s="4">
        <v>196</v>
      </c>
      <c r="G417" s="4">
        <v>197</v>
      </c>
      <c r="H417" s="5">
        <v>40562</v>
      </c>
      <c r="I417" s="4">
        <v>1</v>
      </c>
      <c r="J417" s="4">
        <v>8</v>
      </c>
      <c r="K417" s="4" t="b">
        <f>IF(Append1[[#This Row],[days]]="working day",FALSE,TRUE)</f>
        <v>0</v>
      </c>
      <c r="L417" s="4">
        <v>3</v>
      </c>
      <c r="M417" s="4">
        <v>2</v>
      </c>
      <c r="N417" s="6">
        <v>0.24</v>
      </c>
      <c r="O417" s="2" t="str">
        <f>IF(Append1[[#This Row],[weekday]]=0,"holiday",IF(AND(Append1[[#This Row],[weekday]]&gt;1,Append1[[#This Row],[weekday]]&lt;7),"working day","weekend"))</f>
        <v>working day</v>
      </c>
      <c r="P417" s="4" t="str">
        <f>IF(Append1[[#This Row],[weathersit]]=0,"sunny",IF(Append1[[#This Row],[weathersit]]=1,"mist",IF(Append1[[#This Row],[weathersit]]=2,"lightrain","extremerain")))</f>
        <v>lightrain</v>
      </c>
    </row>
    <row r="418" spans="1:16" x14ac:dyDescent="0.25">
      <c r="A418" s="4">
        <v>417</v>
      </c>
      <c r="B418" s="4">
        <v>0.2576</v>
      </c>
      <c r="C418" s="4">
        <v>0.93</v>
      </c>
      <c r="D418" s="4">
        <v>0.1045</v>
      </c>
      <c r="E418" s="4">
        <v>2</v>
      </c>
      <c r="F418" s="4">
        <v>107</v>
      </c>
      <c r="G418" s="4">
        <v>109</v>
      </c>
      <c r="H418" s="5">
        <v>40562</v>
      </c>
      <c r="I418" s="4">
        <v>1</v>
      </c>
      <c r="J418" s="4">
        <v>9</v>
      </c>
      <c r="K418" s="4" t="b">
        <f>IF(Append1[[#This Row],[days]]="working day",FALSE,TRUE)</f>
        <v>0</v>
      </c>
      <c r="L418" s="4">
        <v>3</v>
      </c>
      <c r="M418" s="4">
        <v>2</v>
      </c>
      <c r="N418" s="6">
        <v>0.24</v>
      </c>
      <c r="O418" s="2" t="str">
        <f>IF(Append1[[#This Row],[weekday]]=0,"holiday",IF(AND(Append1[[#This Row],[weekday]]&gt;1,Append1[[#This Row],[weekday]]&lt;7),"working day","weekend"))</f>
        <v>working day</v>
      </c>
      <c r="P418" s="4" t="str">
        <f>IF(Append1[[#This Row],[weathersit]]=0,"sunny",IF(Append1[[#This Row],[weathersit]]=1,"mist",IF(Append1[[#This Row],[weathersit]]=2,"lightrain","extremerain")))</f>
        <v>lightrain</v>
      </c>
    </row>
    <row r="419" spans="1:16" x14ac:dyDescent="0.25">
      <c r="A419" s="4">
        <v>418</v>
      </c>
      <c r="B419" s="4">
        <v>0.2727</v>
      </c>
      <c r="C419" s="4">
        <v>0.93</v>
      </c>
      <c r="D419" s="4">
        <v>0.1343</v>
      </c>
      <c r="E419" s="4">
        <v>1</v>
      </c>
      <c r="F419" s="4">
        <v>46</v>
      </c>
      <c r="G419" s="4">
        <v>47</v>
      </c>
      <c r="H419" s="5">
        <v>40562</v>
      </c>
      <c r="I419" s="4">
        <v>1</v>
      </c>
      <c r="J419" s="4">
        <v>10</v>
      </c>
      <c r="K419" s="4" t="b">
        <f>IF(Append1[[#This Row],[days]]="working day",FALSE,TRUE)</f>
        <v>0</v>
      </c>
      <c r="L419" s="4">
        <v>3</v>
      </c>
      <c r="M419" s="4">
        <v>2</v>
      </c>
      <c r="N419" s="6">
        <v>0.26</v>
      </c>
      <c r="O419" s="2" t="str">
        <f>IF(Append1[[#This Row],[weekday]]=0,"holiday",IF(AND(Append1[[#This Row],[weekday]]&gt;1,Append1[[#This Row],[weekday]]&lt;7),"working day","weekend"))</f>
        <v>working day</v>
      </c>
      <c r="P419" s="4" t="str">
        <f>IF(Append1[[#This Row],[weathersit]]=0,"sunny",IF(Append1[[#This Row],[weathersit]]=1,"mist",IF(Append1[[#This Row],[weathersit]]=2,"lightrain","extremerain")))</f>
        <v>lightrain</v>
      </c>
    </row>
    <row r="420" spans="1:16" x14ac:dyDescent="0.25">
      <c r="A420" s="4">
        <v>419</v>
      </c>
      <c r="B420" s="4">
        <v>0.30299999999999999</v>
      </c>
      <c r="C420" s="4">
        <v>0.87</v>
      </c>
      <c r="D420" s="4">
        <v>8.9599999999999999E-2</v>
      </c>
      <c r="E420" s="4">
        <v>5</v>
      </c>
      <c r="F420" s="4">
        <v>47</v>
      </c>
      <c r="G420" s="4">
        <v>52</v>
      </c>
      <c r="H420" s="5">
        <v>40562</v>
      </c>
      <c r="I420" s="4">
        <v>1</v>
      </c>
      <c r="J420" s="4">
        <v>11</v>
      </c>
      <c r="K420" s="4" t="b">
        <f>IF(Append1[[#This Row],[days]]="working day",FALSE,TRUE)</f>
        <v>0</v>
      </c>
      <c r="L420" s="4">
        <v>3</v>
      </c>
      <c r="M420" s="4">
        <v>2</v>
      </c>
      <c r="N420" s="6">
        <v>0.28000000000000003</v>
      </c>
      <c r="O420" s="2" t="str">
        <f>IF(Append1[[#This Row],[weekday]]=0,"holiday",IF(AND(Append1[[#This Row],[weekday]]&gt;1,Append1[[#This Row],[weekday]]&lt;7),"working day","weekend"))</f>
        <v>working day</v>
      </c>
      <c r="P420" s="4" t="str">
        <f>IF(Append1[[#This Row],[weathersit]]=0,"sunny",IF(Append1[[#This Row],[weathersit]]=1,"mist",IF(Append1[[#This Row],[weathersit]]=2,"lightrain","extremerain")))</f>
        <v>lightrain</v>
      </c>
    </row>
    <row r="421" spans="1:16" x14ac:dyDescent="0.25">
      <c r="A421" s="4">
        <v>420</v>
      </c>
      <c r="B421" s="4">
        <v>0.31819999999999998</v>
      </c>
      <c r="C421" s="4">
        <v>0.81</v>
      </c>
      <c r="D421" s="4">
        <v>8.9599999999999999E-2</v>
      </c>
      <c r="E421" s="4">
        <v>5</v>
      </c>
      <c r="F421" s="4">
        <v>65</v>
      </c>
      <c r="G421" s="4">
        <v>70</v>
      </c>
      <c r="H421" s="5">
        <v>40562</v>
      </c>
      <c r="I421" s="4">
        <v>1</v>
      </c>
      <c r="J421" s="4">
        <v>12</v>
      </c>
      <c r="K421" s="4" t="b">
        <f>IF(Append1[[#This Row],[days]]="working day",FALSE,TRUE)</f>
        <v>0</v>
      </c>
      <c r="L421" s="4">
        <v>3</v>
      </c>
      <c r="M421" s="4">
        <v>2</v>
      </c>
      <c r="N421" s="6">
        <v>0.3</v>
      </c>
      <c r="O421" s="2" t="str">
        <f>IF(Append1[[#This Row],[weekday]]=0,"holiday",IF(AND(Append1[[#This Row],[weekday]]&gt;1,Append1[[#This Row],[weekday]]&lt;7),"working day","weekend"))</f>
        <v>working day</v>
      </c>
      <c r="P421" s="4" t="str">
        <f>IF(Append1[[#This Row],[weathersit]]=0,"sunny",IF(Append1[[#This Row],[weathersit]]=1,"mist",IF(Append1[[#This Row],[weathersit]]=2,"lightrain","extremerain")))</f>
        <v>lightrain</v>
      </c>
    </row>
    <row r="422" spans="1:16" x14ac:dyDescent="0.25">
      <c r="A422" s="4">
        <v>421</v>
      </c>
      <c r="B422" s="4">
        <v>0.40910000000000002</v>
      </c>
      <c r="C422" s="4">
        <v>0.62</v>
      </c>
      <c r="D422" s="4">
        <v>0.28360000000000002</v>
      </c>
      <c r="E422" s="4">
        <v>11</v>
      </c>
      <c r="F422" s="4">
        <v>67</v>
      </c>
      <c r="G422" s="4">
        <v>78</v>
      </c>
      <c r="H422" s="5">
        <v>40562</v>
      </c>
      <c r="I422" s="4">
        <v>1</v>
      </c>
      <c r="J422" s="4">
        <v>13</v>
      </c>
      <c r="K422" s="4" t="b">
        <f>IF(Append1[[#This Row],[days]]="working day",FALSE,TRUE)</f>
        <v>0</v>
      </c>
      <c r="L422" s="4">
        <v>3</v>
      </c>
      <c r="M422" s="4">
        <v>1</v>
      </c>
      <c r="N422" s="6">
        <v>0.4</v>
      </c>
      <c r="O422" s="2" t="str">
        <f>IF(Append1[[#This Row],[weekday]]=0,"holiday",IF(AND(Append1[[#This Row],[weekday]]&gt;1,Append1[[#This Row],[weekday]]&lt;7),"working day","weekend"))</f>
        <v>working day</v>
      </c>
      <c r="P422" s="4" t="str">
        <f>IF(Append1[[#This Row],[weathersit]]=0,"sunny",IF(Append1[[#This Row],[weathersit]]=1,"mist",IF(Append1[[#This Row],[weathersit]]=2,"lightrain","extremerain")))</f>
        <v>mist</v>
      </c>
    </row>
    <row r="423" spans="1:16" x14ac:dyDescent="0.25">
      <c r="A423" s="4">
        <v>422</v>
      </c>
      <c r="B423" s="4">
        <v>0.40910000000000002</v>
      </c>
      <c r="C423" s="4">
        <v>0.57999999999999996</v>
      </c>
      <c r="D423" s="4">
        <v>0.25369999999999998</v>
      </c>
      <c r="E423" s="4">
        <v>7</v>
      </c>
      <c r="F423" s="4">
        <v>68</v>
      </c>
      <c r="G423" s="4">
        <v>75</v>
      </c>
      <c r="H423" s="5">
        <v>40562</v>
      </c>
      <c r="I423" s="4">
        <v>1</v>
      </c>
      <c r="J423" s="4">
        <v>14</v>
      </c>
      <c r="K423" s="4" t="b">
        <f>IF(Append1[[#This Row],[days]]="working day",FALSE,TRUE)</f>
        <v>0</v>
      </c>
      <c r="L423" s="4">
        <v>3</v>
      </c>
      <c r="M423" s="4">
        <v>1</v>
      </c>
      <c r="N423" s="6">
        <v>0.4</v>
      </c>
      <c r="O423" s="2" t="str">
        <f>IF(Append1[[#This Row],[weekday]]=0,"holiday",IF(AND(Append1[[#This Row],[weekday]]&gt;1,Append1[[#This Row],[weekday]]&lt;7),"working day","weekend"))</f>
        <v>working day</v>
      </c>
      <c r="P423" s="4" t="str">
        <f>IF(Append1[[#This Row],[weathersit]]=0,"sunny",IF(Append1[[#This Row],[weathersit]]=1,"mist",IF(Append1[[#This Row],[weathersit]]=2,"lightrain","extremerain")))</f>
        <v>mist</v>
      </c>
    </row>
    <row r="424" spans="1:16" x14ac:dyDescent="0.25">
      <c r="A424" s="4">
        <v>423</v>
      </c>
      <c r="B424" s="4">
        <v>0.40910000000000002</v>
      </c>
      <c r="C424" s="4">
        <v>0.54</v>
      </c>
      <c r="D424" s="4">
        <v>0.28360000000000002</v>
      </c>
      <c r="E424" s="4">
        <v>4</v>
      </c>
      <c r="F424" s="4">
        <v>78</v>
      </c>
      <c r="G424" s="4">
        <v>82</v>
      </c>
      <c r="H424" s="5">
        <v>40562</v>
      </c>
      <c r="I424" s="4">
        <v>1</v>
      </c>
      <c r="J424" s="4">
        <v>15</v>
      </c>
      <c r="K424" s="4" t="b">
        <f>IF(Append1[[#This Row],[days]]="working day",FALSE,TRUE)</f>
        <v>0</v>
      </c>
      <c r="L424" s="4">
        <v>3</v>
      </c>
      <c r="M424" s="4">
        <v>1</v>
      </c>
      <c r="N424" s="6">
        <v>0.4</v>
      </c>
      <c r="O424" s="2" t="str">
        <f>IF(Append1[[#This Row],[weekday]]=0,"holiday",IF(AND(Append1[[#This Row],[weekday]]&gt;1,Append1[[#This Row],[weekday]]&lt;7),"working day","weekend"))</f>
        <v>working day</v>
      </c>
      <c r="P424" s="4" t="str">
        <f>IF(Append1[[#This Row],[weathersit]]=0,"sunny",IF(Append1[[#This Row],[weathersit]]=1,"mist",IF(Append1[[#This Row],[weathersit]]=2,"lightrain","extremerain")))</f>
        <v>mist</v>
      </c>
    </row>
    <row r="425" spans="1:16" x14ac:dyDescent="0.25">
      <c r="A425" s="4">
        <v>424</v>
      </c>
      <c r="B425" s="4">
        <v>0.39389999999999997</v>
      </c>
      <c r="C425" s="4">
        <v>0.57999999999999996</v>
      </c>
      <c r="D425" s="4">
        <v>0.3881</v>
      </c>
      <c r="E425" s="4">
        <v>10</v>
      </c>
      <c r="F425" s="4">
        <v>94</v>
      </c>
      <c r="G425" s="4">
        <v>104</v>
      </c>
      <c r="H425" s="5">
        <v>40562</v>
      </c>
      <c r="I425" s="4">
        <v>1</v>
      </c>
      <c r="J425" s="4">
        <v>16</v>
      </c>
      <c r="K425" s="4" t="b">
        <f>IF(Append1[[#This Row],[days]]="working day",FALSE,TRUE)</f>
        <v>0</v>
      </c>
      <c r="L425" s="4">
        <v>3</v>
      </c>
      <c r="M425" s="4">
        <v>1</v>
      </c>
      <c r="N425" s="6">
        <v>0.38</v>
      </c>
      <c r="O425" s="2" t="str">
        <f>IF(Append1[[#This Row],[weekday]]=0,"holiday",IF(AND(Append1[[#This Row],[weekday]]&gt;1,Append1[[#This Row],[weekday]]&lt;7),"working day","weekend"))</f>
        <v>working day</v>
      </c>
      <c r="P425" s="4" t="str">
        <f>IF(Append1[[#This Row],[weathersit]]=0,"sunny",IF(Append1[[#This Row],[weathersit]]=1,"mist",IF(Append1[[#This Row],[weathersit]]=2,"lightrain","extremerain")))</f>
        <v>mist</v>
      </c>
    </row>
    <row r="426" spans="1:16" x14ac:dyDescent="0.25">
      <c r="A426" s="4">
        <v>425</v>
      </c>
      <c r="B426" s="4">
        <v>0.33329999999999999</v>
      </c>
      <c r="C426" s="4">
        <v>0.56999999999999995</v>
      </c>
      <c r="D426" s="4">
        <v>0.32840000000000003</v>
      </c>
      <c r="E426" s="4">
        <v>7</v>
      </c>
      <c r="F426" s="4">
        <v>190</v>
      </c>
      <c r="G426" s="4">
        <v>197</v>
      </c>
      <c r="H426" s="5">
        <v>40562</v>
      </c>
      <c r="I426" s="4">
        <v>1</v>
      </c>
      <c r="J426" s="4">
        <v>17</v>
      </c>
      <c r="K426" s="4" t="b">
        <f>IF(Append1[[#This Row],[days]]="working day",FALSE,TRUE)</f>
        <v>0</v>
      </c>
      <c r="L426" s="4">
        <v>3</v>
      </c>
      <c r="M426" s="4">
        <v>1</v>
      </c>
      <c r="N426" s="6">
        <v>0.36</v>
      </c>
      <c r="O426" s="2" t="str">
        <f>IF(Append1[[#This Row],[weekday]]=0,"holiday",IF(AND(Append1[[#This Row],[weekday]]&gt;1,Append1[[#This Row],[weekday]]&lt;7),"working day","weekend"))</f>
        <v>working day</v>
      </c>
      <c r="P426" s="4" t="str">
        <f>IF(Append1[[#This Row],[weathersit]]=0,"sunny",IF(Append1[[#This Row],[weathersit]]=1,"mist",IF(Append1[[#This Row],[weathersit]]=2,"lightrain","extremerain")))</f>
        <v>mist</v>
      </c>
    </row>
    <row r="427" spans="1:16" x14ac:dyDescent="0.25">
      <c r="A427" s="4">
        <v>426</v>
      </c>
      <c r="B427" s="4">
        <v>0.31819999999999998</v>
      </c>
      <c r="C427" s="4">
        <v>0.61</v>
      </c>
      <c r="D427" s="4">
        <v>0.28360000000000002</v>
      </c>
      <c r="E427" s="4">
        <v>5</v>
      </c>
      <c r="F427" s="4">
        <v>156</v>
      </c>
      <c r="G427" s="4">
        <v>161</v>
      </c>
      <c r="H427" s="5">
        <v>40562</v>
      </c>
      <c r="I427" s="4">
        <v>1</v>
      </c>
      <c r="J427" s="4">
        <v>18</v>
      </c>
      <c r="K427" s="4" t="b">
        <f>IF(Append1[[#This Row],[days]]="working day",FALSE,TRUE)</f>
        <v>0</v>
      </c>
      <c r="L427" s="4">
        <v>3</v>
      </c>
      <c r="M427" s="4">
        <v>1</v>
      </c>
      <c r="N427" s="6">
        <v>0.34</v>
      </c>
      <c r="O427" s="2" t="str">
        <f>IF(Append1[[#This Row],[weekday]]=0,"holiday",IF(AND(Append1[[#This Row],[weekday]]&gt;1,Append1[[#This Row],[weekday]]&lt;7),"working day","weekend"))</f>
        <v>working day</v>
      </c>
      <c r="P427" s="4" t="str">
        <f>IF(Append1[[#This Row],[weathersit]]=0,"sunny",IF(Append1[[#This Row],[weathersit]]=1,"mist",IF(Append1[[#This Row],[weathersit]]=2,"lightrain","extremerain")))</f>
        <v>mist</v>
      </c>
    </row>
    <row r="428" spans="1:16" x14ac:dyDescent="0.25">
      <c r="A428" s="4">
        <v>427</v>
      </c>
      <c r="B428" s="4">
        <v>0.28789999999999999</v>
      </c>
      <c r="C428" s="4">
        <v>0.56999999999999995</v>
      </c>
      <c r="D428" s="4">
        <v>0.41789999999999999</v>
      </c>
      <c r="E428" s="4">
        <v>4</v>
      </c>
      <c r="F428" s="4">
        <v>108</v>
      </c>
      <c r="G428" s="4">
        <v>112</v>
      </c>
      <c r="H428" s="5">
        <v>40562</v>
      </c>
      <c r="I428" s="4">
        <v>1</v>
      </c>
      <c r="J428" s="4">
        <v>19</v>
      </c>
      <c r="K428" s="4" t="b">
        <f>IF(Append1[[#This Row],[days]]="working day",FALSE,TRUE)</f>
        <v>0</v>
      </c>
      <c r="L428" s="4">
        <v>3</v>
      </c>
      <c r="M428" s="4">
        <v>1</v>
      </c>
      <c r="N428" s="6">
        <v>0.32</v>
      </c>
      <c r="O428" s="2" t="str">
        <f>IF(Append1[[#This Row],[weekday]]=0,"holiday",IF(AND(Append1[[#This Row],[weekday]]&gt;1,Append1[[#This Row],[weekday]]&lt;7),"working day","weekend"))</f>
        <v>working day</v>
      </c>
      <c r="P428" s="4" t="str">
        <f>IF(Append1[[#This Row],[weathersit]]=0,"sunny",IF(Append1[[#This Row],[weathersit]]=1,"mist",IF(Append1[[#This Row],[weathersit]]=2,"lightrain","extremerain")))</f>
        <v>mist</v>
      </c>
    </row>
    <row r="429" spans="1:16" x14ac:dyDescent="0.25">
      <c r="A429" s="4">
        <v>428</v>
      </c>
      <c r="B429" s="4">
        <v>0.30299999999999999</v>
      </c>
      <c r="C429" s="4">
        <v>0.49</v>
      </c>
      <c r="D429" s="4">
        <v>0.29849999999999999</v>
      </c>
      <c r="E429" s="4">
        <v>2</v>
      </c>
      <c r="F429" s="4">
        <v>74</v>
      </c>
      <c r="G429" s="4">
        <v>76</v>
      </c>
      <c r="H429" s="5">
        <v>40562</v>
      </c>
      <c r="I429" s="4">
        <v>1</v>
      </c>
      <c r="J429" s="4">
        <v>20</v>
      </c>
      <c r="K429" s="4" t="b">
        <f>IF(Append1[[#This Row],[days]]="working day",FALSE,TRUE)</f>
        <v>0</v>
      </c>
      <c r="L429" s="4">
        <v>3</v>
      </c>
      <c r="M429" s="4">
        <v>1</v>
      </c>
      <c r="N429" s="6">
        <v>0.32</v>
      </c>
      <c r="O429" s="2" t="str">
        <f>IF(Append1[[#This Row],[weekday]]=0,"holiday",IF(AND(Append1[[#This Row],[weekday]]&gt;1,Append1[[#This Row],[weekday]]&lt;7),"working day","weekend"))</f>
        <v>working day</v>
      </c>
      <c r="P429" s="4" t="str">
        <f>IF(Append1[[#This Row],[weathersit]]=0,"sunny",IF(Append1[[#This Row],[weathersit]]=1,"mist",IF(Append1[[#This Row],[weathersit]]=2,"lightrain","extremerain")))</f>
        <v>mist</v>
      </c>
    </row>
    <row r="430" spans="1:16" x14ac:dyDescent="0.25">
      <c r="A430" s="4">
        <v>429</v>
      </c>
      <c r="B430" s="4">
        <v>0.28789999999999999</v>
      </c>
      <c r="C430" s="4">
        <v>0.49</v>
      </c>
      <c r="D430" s="4">
        <v>0.41789999999999999</v>
      </c>
      <c r="E430" s="4">
        <v>4</v>
      </c>
      <c r="F430" s="4">
        <v>55</v>
      </c>
      <c r="G430" s="4">
        <v>59</v>
      </c>
      <c r="H430" s="5">
        <v>40562</v>
      </c>
      <c r="I430" s="4">
        <v>1</v>
      </c>
      <c r="J430" s="4">
        <v>21</v>
      </c>
      <c r="K430" s="4" t="b">
        <f>IF(Append1[[#This Row],[days]]="working day",FALSE,TRUE)</f>
        <v>0</v>
      </c>
      <c r="L430" s="4">
        <v>3</v>
      </c>
      <c r="M430" s="4">
        <v>1</v>
      </c>
      <c r="N430" s="6">
        <v>0.32</v>
      </c>
      <c r="O430" s="2" t="str">
        <f>IF(Append1[[#This Row],[weekday]]=0,"holiday",IF(AND(Append1[[#This Row],[weekday]]&gt;1,Append1[[#This Row],[weekday]]&lt;7),"working day","weekend"))</f>
        <v>working day</v>
      </c>
      <c r="P430" s="4" t="str">
        <f>IF(Append1[[#This Row],[weathersit]]=0,"sunny",IF(Append1[[#This Row],[weathersit]]=1,"mist",IF(Append1[[#This Row],[weathersit]]=2,"lightrain","extremerain")))</f>
        <v>mist</v>
      </c>
    </row>
    <row r="431" spans="1:16" x14ac:dyDescent="0.25">
      <c r="A431" s="4">
        <v>430</v>
      </c>
      <c r="B431" s="4">
        <v>0.30299999999999999</v>
      </c>
      <c r="C431" s="4">
        <v>0.52</v>
      </c>
      <c r="D431" s="4">
        <v>0.16420000000000001</v>
      </c>
      <c r="E431" s="4">
        <v>6</v>
      </c>
      <c r="F431" s="4">
        <v>53</v>
      </c>
      <c r="G431" s="4">
        <v>59</v>
      </c>
      <c r="H431" s="5">
        <v>40562</v>
      </c>
      <c r="I431" s="4">
        <v>1</v>
      </c>
      <c r="J431" s="4">
        <v>22</v>
      </c>
      <c r="K431" s="4" t="b">
        <f>IF(Append1[[#This Row],[days]]="working day",FALSE,TRUE)</f>
        <v>0</v>
      </c>
      <c r="L431" s="4">
        <v>3</v>
      </c>
      <c r="M431" s="4">
        <v>1</v>
      </c>
      <c r="N431" s="6">
        <v>0.3</v>
      </c>
      <c r="O431" s="2" t="str">
        <f>IF(Append1[[#This Row],[weekday]]=0,"holiday",IF(AND(Append1[[#This Row],[weekday]]&gt;1,Append1[[#This Row],[weekday]]&lt;7),"working day","weekend"))</f>
        <v>working day</v>
      </c>
      <c r="P431" s="4" t="str">
        <f>IF(Append1[[#This Row],[weathersit]]=0,"sunny",IF(Append1[[#This Row],[weathersit]]=1,"mist",IF(Append1[[#This Row],[weathersit]]=2,"lightrain","extremerain")))</f>
        <v>mist</v>
      </c>
    </row>
    <row r="432" spans="1:16" x14ac:dyDescent="0.25">
      <c r="A432" s="4">
        <v>431</v>
      </c>
      <c r="B432" s="4">
        <v>0.2727</v>
      </c>
      <c r="C432" s="4">
        <v>0.52</v>
      </c>
      <c r="D432" s="4">
        <v>0.4627</v>
      </c>
      <c r="E432" s="4">
        <v>1</v>
      </c>
      <c r="F432" s="4">
        <v>27</v>
      </c>
      <c r="G432" s="4">
        <v>28</v>
      </c>
      <c r="H432" s="5">
        <v>40562</v>
      </c>
      <c r="I432" s="4">
        <v>1</v>
      </c>
      <c r="J432" s="4">
        <v>23</v>
      </c>
      <c r="K432" s="4" t="b">
        <f>IF(Append1[[#This Row],[days]]="working day",FALSE,TRUE)</f>
        <v>0</v>
      </c>
      <c r="L432" s="4">
        <v>3</v>
      </c>
      <c r="M432" s="4">
        <v>1</v>
      </c>
      <c r="N432" s="6">
        <v>0.3</v>
      </c>
      <c r="O432" s="2" t="str">
        <f>IF(Append1[[#This Row],[weekday]]=0,"holiday",IF(AND(Append1[[#This Row],[weekday]]&gt;1,Append1[[#This Row],[weekday]]&lt;7),"working day","weekend"))</f>
        <v>working day</v>
      </c>
      <c r="P432" s="4" t="str">
        <f>IF(Append1[[#This Row],[weathersit]]=0,"sunny",IF(Append1[[#This Row],[weathersit]]=1,"mist",IF(Append1[[#This Row],[weathersit]]=2,"lightrain","extremerain")))</f>
        <v>mist</v>
      </c>
    </row>
    <row r="433" spans="1:16" x14ac:dyDescent="0.25">
      <c r="A433" s="4">
        <v>432</v>
      </c>
      <c r="B433" s="4">
        <v>0.2273</v>
      </c>
      <c r="C433" s="4">
        <v>0.56000000000000005</v>
      </c>
      <c r="D433" s="4">
        <v>0.3881</v>
      </c>
      <c r="E433" s="4">
        <v>5</v>
      </c>
      <c r="F433" s="4">
        <v>8</v>
      </c>
      <c r="G433" s="4">
        <v>13</v>
      </c>
      <c r="H433" s="5">
        <v>40563</v>
      </c>
      <c r="I433" s="4">
        <v>1</v>
      </c>
      <c r="J433" s="4">
        <v>0</v>
      </c>
      <c r="K433" s="4" t="b">
        <f>IF(Append1[[#This Row],[days]]="working day",FALSE,TRUE)</f>
        <v>0</v>
      </c>
      <c r="L433" s="4">
        <v>4</v>
      </c>
      <c r="M433" s="4">
        <v>1</v>
      </c>
      <c r="N433" s="6">
        <v>0.26</v>
      </c>
      <c r="O433" s="2" t="str">
        <f>IF(Append1[[#This Row],[weekday]]=0,"holiday",IF(AND(Append1[[#This Row],[weekday]]&gt;1,Append1[[#This Row],[weekday]]&lt;7),"working day","weekend"))</f>
        <v>working day</v>
      </c>
      <c r="P433" s="4" t="str">
        <f>IF(Append1[[#This Row],[weathersit]]=0,"sunny",IF(Append1[[#This Row],[weathersit]]=1,"mist",IF(Append1[[#This Row],[weathersit]]=2,"lightrain","extremerain")))</f>
        <v>mist</v>
      </c>
    </row>
    <row r="434" spans="1:16" x14ac:dyDescent="0.25">
      <c r="A434" s="4">
        <v>433</v>
      </c>
      <c r="B434" s="4">
        <v>0.2727</v>
      </c>
      <c r="C434" s="4">
        <v>0.56000000000000005</v>
      </c>
      <c r="D434" s="4">
        <v>0</v>
      </c>
      <c r="E434" s="4">
        <v>2</v>
      </c>
      <c r="F434" s="4">
        <v>3</v>
      </c>
      <c r="G434" s="4">
        <v>5</v>
      </c>
      <c r="H434" s="5">
        <v>40563</v>
      </c>
      <c r="I434" s="4">
        <v>1</v>
      </c>
      <c r="J434" s="4">
        <v>1</v>
      </c>
      <c r="K434" s="4" t="b">
        <f>IF(Append1[[#This Row],[days]]="working day",FALSE,TRUE)</f>
        <v>0</v>
      </c>
      <c r="L434" s="4">
        <v>4</v>
      </c>
      <c r="M434" s="4">
        <v>1</v>
      </c>
      <c r="N434" s="6">
        <v>0.26</v>
      </c>
      <c r="O434" s="2" t="str">
        <f>IF(Append1[[#This Row],[weekday]]=0,"holiday",IF(AND(Append1[[#This Row],[weekday]]&gt;1,Append1[[#This Row],[weekday]]&lt;7),"working day","weekend"))</f>
        <v>working day</v>
      </c>
      <c r="P434" s="4" t="str">
        <f>IF(Append1[[#This Row],[weathersit]]=0,"sunny",IF(Append1[[#This Row],[weathersit]]=1,"mist",IF(Append1[[#This Row],[weathersit]]=2,"lightrain","extremerain")))</f>
        <v>mist</v>
      </c>
    </row>
    <row r="435" spans="1:16" x14ac:dyDescent="0.25">
      <c r="A435" s="4">
        <v>434</v>
      </c>
      <c r="B435" s="4">
        <v>0.2727</v>
      </c>
      <c r="C435" s="4">
        <v>0.56000000000000005</v>
      </c>
      <c r="D435" s="4">
        <v>0</v>
      </c>
      <c r="E435" s="4">
        <v>0</v>
      </c>
      <c r="F435" s="4">
        <v>2</v>
      </c>
      <c r="G435" s="4">
        <v>2</v>
      </c>
      <c r="H435" s="5">
        <v>40563</v>
      </c>
      <c r="I435" s="4">
        <v>1</v>
      </c>
      <c r="J435" s="4">
        <v>2</v>
      </c>
      <c r="K435" s="4" t="b">
        <f>IF(Append1[[#This Row],[days]]="working day",FALSE,TRUE)</f>
        <v>0</v>
      </c>
      <c r="L435" s="4">
        <v>4</v>
      </c>
      <c r="M435" s="4">
        <v>1</v>
      </c>
      <c r="N435" s="6">
        <v>0.26</v>
      </c>
      <c r="O435" s="2" t="str">
        <f>IF(Append1[[#This Row],[weekday]]=0,"holiday",IF(AND(Append1[[#This Row],[weekday]]&gt;1,Append1[[#This Row],[weekday]]&lt;7),"working day","weekend"))</f>
        <v>working day</v>
      </c>
      <c r="P435" s="4" t="str">
        <f>IF(Append1[[#This Row],[weathersit]]=0,"sunny",IF(Append1[[#This Row],[weathersit]]=1,"mist",IF(Append1[[#This Row],[weathersit]]=2,"lightrain","extremerain")))</f>
        <v>mist</v>
      </c>
    </row>
    <row r="436" spans="1:16" x14ac:dyDescent="0.25">
      <c r="A436" s="4">
        <v>435</v>
      </c>
      <c r="B436" s="4">
        <v>0.2576</v>
      </c>
      <c r="C436" s="4">
        <v>0.56000000000000005</v>
      </c>
      <c r="D436" s="4">
        <v>0.16420000000000001</v>
      </c>
      <c r="E436" s="4">
        <v>0</v>
      </c>
      <c r="F436" s="4">
        <v>1</v>
      </c>
      <c r="G436" s="4">
        <v>1</v>
      </c>
      <c r="H436" s="5">
        <v>40563</v>
      </c>
      <c r="I436" s="4">
        <v>1</v>
      </c>
      <c r="J436" s="4">
        <v>3</v>
      </c>
      <c r="K436" s="4" t="b">
        <f>IF(Append1[[#This Row],[days]]="working day",FALSE,TRUE)</f>
        <v>0</v>
      </c>
      <c r="L436" s="4">
        <v>4</v>
      </c>
      <c r="M436" s="4">
        <v>1</v>
      </c>
      <c r="N436" s="6">
        <v>0.26</v>
      </c>
      <c r="O436" s="2" t="str">
        <f>IF(Append1[[#This Row],[weekday]]=0,"holiday",IF(AND(Append1[[#This Row],[weekday]]&gt;1,Append1[[#This Row],[weekday]]&lt;7),"working day","weekend"))</f>
        <v>working day</v>
      </c>
      <c r="P436" s="4" t="str">
        <f>IF(Append1[[#This Row],[weathersit]]=0,"sunny",IF(Append1[[#This Row],[weathersit]]=1,"mist",IF(Append1[[#This Row],[weathersit]]=2,"lightrain","extremerain")))</f>
        <v>mist</v>
      </c>
    </row>
    <row r="437" spans="1:16" x14ac:dyDescent="0.25">
      <c r="A437" s="4">
        <v>436</v>
      </c>
      <c r="B437" s="4">
        <v>0.2576</v>
      </c>
      <c r="C437" s="4">
        <v>0.56000000000000005</v>
      </c>
      <c r="D437" s="4">
        <v>0.16420000000000001</v>
      </c>
      <c r="E437" s="4">
        <v>0</v>
      </c>
      <c r="F437" s="4">
        <v>1</v>
      </c>
      <c r="G437" s="4">
        <v>1</v>
      </c>
      <c r="H437" s="5">
        <v>40563</v>
      </c>
      <c r="I437" s="4">
        <v>1</v>
      </c>
      <c r="J437" s="4">
        <v>4</v>
      </c>
      <c r="K437" s="4" t="b">
        <f>IF(Append1[[#This Row],[days]]="working day",FALSE,TRUE)</f>
        <v>0</v>
      </c>
      <c r="L437" s="4">
        <v>4</v>
      </c>
      <c r="M437" s="4">
        <v>1</v>
      </c>
      <c r="N437" s="6">
        <v>0.26</v>
      </c>
      <c r="O437" s="2" t="str">
        <f>IF(Append1[[#This Row],[weekday]]=0,"holiday",IF(AND(Append1[[#This Row],[weekday]]&gt;1,Append1[[#This Row],[weekday]]&lt;7),"working day","weekend"))</f>
        <v>working day</v>
      </c>
      <c r="P437" s="4" t="str">
        <f>IF(Append1[[#This Row],[weathersit]]=0,"sunny",IF(Append1[[#This Row],[weathersit]]=1,"mist",IF(Append1[[#This Row],[weathersit]]=2,"lightrain","extremerain")))</f>
        <v>mist</v>
      </c>
    </row>
    <row r="438" spans="1:16" x14ac:dyDescent="0.25">
      <c r="A438" s="4">
        <v>437</v>
      </c>
      <c r="B438" s="4">
        <v>0.2273</v>
      </c>
      <c r="C438" s="4">
        <v>0.6</v>
      </c>
      <c r="D438" s="4">
        <v>0.22389999999999999</v>
      </c>
      <c r="E438" s="4">
        <v>0</v>
      </c>
      <c r="F438" s="4">
        <v>6</v>
      </c>
      <c r="G438" s="4">
        <v>6</v>
      </c>
      <c r="H438" s="5">
        <v>40563</v>
      </c>
      <c r="I438" s="4">
        <v>1</v>
      </c>
      <c r="J438" s="4">
        <v>5</v>
      </c>
      <c r="K438" s="4" t="b">
        <f>IF(Append1[[#This Row],[days]]="working day",FALSE,TRUE)</f>
        <v>0</v>
      </c>
      <c r="L438" s="4">
        <v>4</v>
      </c>
      <c r="M438" s="4">
        <v>1</v>
      </c>
      <c r="N438" s="6">
        <v>0.24</v>
      </c>
      <c r="O438" s="2" t="str">
        <f>IF(Append1[[#This Row],[weekday]]=0,"holiday",IF(AND(Append1[[#This Row],[weekday]]&gt;1,Append1[[#This Row],[weekday]]&lt;7),"working day","weekend"))</f>
        <v>working day</v>
      </c>
      <c r="P438" s="4" t="str">
        <f>IF(Append1[[#This Row],[weathersit]]=0,"sunny",IF(Append1[[#This Row],[weathersit]]=1,"mist",IF(Append1[[#This Row],[weathersit]]=2,"lightrain","extremerain")))</f>
        <v>mist</v>
      </c>
    </row>
    <row r="439" spans="1:16" x14ac:dyDescent="0.25">
      <c r="A439" s="4">
        <v>438</v>
      </c>
      <c r="B439" s="4">
        <v>0.21210000000000001</v>
      </c>
      <c r="C439" s="4">
        <v>0.6</v>
      </c>
      <c r="D439" s="4">
        <v>0.22389999999999999</v>
      </c>
      <c r="E439" s="4">
        <v>0</v>
      </c>
      <c r="F439" s="4">
        <v>35</v>
      </c>
      <c r="G439" s="4">
        <v>35</v>
      </c>
      <c r="H439" s="5">
        <v>40563</v>
      </c>
      <c r="I439" s="4">
        <v>1</v>
      </c>
      <c r="J439" s="4">
        <v>6</v>
      </c>
      <c r="K439" s="4" t="b">
        <f>IF(Append1[[#This Row],[days]]="working day",FALSE,TRUE)</f>
        <v>0</v>
      </c>
      <c r="L439" s="4">
        <v>4</v>
      </c>
      <c r="M439" s="4">
        <v>1</v>
      </c>
      <c r="N439" s="6">
        <v>0.22</v>
      </c>
      <c r="O439" s="2" t="str">
        <f>IF(Append1[[#This Row],[weekday]]=0,"holiday",IF(AND(Append1[[#This Row],[weekday]]&gt;1,Append1[[#This Row],[weekday]]&lt;7),"working day","weekend"))</f>
        <v>working day</v>
      </c>
      <c r="P439" s="4" t="str">
        <f>IF(Append1[[#This Row],[weathersit]]=0,"sunny",IF(Append1[[#This Row],[weathersit]]=1,"mist",IF(Append1[[#This Row],[weathersit]]=2,"lightrain","extremerain")))</f>
        <v>mist</v>
      </c>
    </row>
    <row r="440" spans="1:16" x14ac:dyDescent="0.25">
      <c r="A440" s="4">
        <v>439</v>
      </c>
      <c r="B440" s="4">
        <v>0.21210000000000001</v>
      </c>
      <c r="C440" s="4">
        <v>0.55000000000000004</v>
      </c>
      <c r="D440" s="4">
        <v>0.22389999999999999</v>
      </c>
      <c r="E440" s="4">
        <v>1</v>
      </c>
      <c r="F440" s="4">
        <v>100</v>
      </c>
      <c r="G440" s="4">
        <v>101</v>
      </c>
      <c r="H440" s="5">
        <v>40563</v>
      </c>
      <c r="I440" s="4">
        <v>1</v>
      </c>
      <c r="J440" s="4">
        <v>7</v>
      </c>
      <c r="K440" s="4" t="b">
        <f>IF(Append1[[#This Row],[days]]="working day",FALSE,TRUE)</f>
        <v>0</v>
      </c>
      <c r="L440" s="4">
        <v>4</v>
      </c>
      <c r="M440" s="4">
        <v>1</v>
      </c>
      <c r="N440" s="6">
        <v>0.22</v>
      </c>
      <c r="O440" s="2" t="str">
        <f>IF(Append1[[#This Row],[weekday]]=0,"holiday",IF(AND(Append1[[#This Row],[weekday]]&gt;1,Append1[[#This Row],[weekday]]&lt;7),"working day","weekend"))</f>
        <v>working day</v>
      </c>
      <c r="P440" s="4" t="str">
        <f>IF(Append1[[#This Row],[weathersit]]=0,"sunny",IF(Append1[[#This Row],[weathersit]]=1,"mist",IF(Append1[[#This Row],[weathersit]]=2,"lightrain","extremerain")))</f>
        <v>mist</v>
      </c>
    </row>
    <row r="441" spans="1:16" x14ac:dyDescent="0.25">
      <c r="A441" s="4">
        <v>440</v>
      </c>
      <c r="B441" s="4">
        <v>0.21210000000000001</v>
      </c>
      <c r="C441" s="4">
        <v>0.55000000000000004</v>
      </c>
      <c r="D441" s="4">
        <v>0.28360000000000002</v>
      </c>
      <c r="E441" s="4">
        <v>2</v>
      </c>
      <c r="F441" s="4">
        <v>247</v>
      </c>
      <c r="G441" s="4">
        <v>249</v>
      </c>
      <c r="H441" s="5">
        <v>40563</v>
      </c>
      <c r="I441" s="4">
        <v>1</v>
      </c>
      <c r="J441" s="4">
        <v>8</v>
      </c>
      <c r="K441" s="4" t="b">
        <f>IF(Append1[[#This Row],[days]]="working day",FALSE,TRUE)</f>
        <v>0</v>
      </c>
      <c r="L441" s="4">
        <v>4</v>
      </c>
      <c r="M441" s="4">
        <v>1</v>
      </c>
      <c r="N441" s="6">
        <v>0.22</v>
      </c>
      <c r="O441" s="2" t="str">
        <f>IF(Append1[[#This Row],[weekday]]=0,"holiday",IF(AND(Append1[[#This Row],[weekday]]&gt;1,Append1[[#This Row],[weekday]]&lt;7),"working day","weekend"))</f>
        <v>working day</v>
      </c>
      <c r="P441" s="4" t="str">
        <f>IF(Append1[[#This Row],[weathersit]]=0,"sunny",IF(Append1[[#This Row],[weathersit]]=1,"mist",IF(Append1[[#This Row],[weathersit]]=2,"lightrain","extremerain")))</f>
        <v>mist</v>
      </c>
    </row>
    <row r="442" spans="1:16" x14ac:dyDescent="0.25">
      <c r="A442" s="4">
        <v>441</v>
      </c>
      <c r="B442" s="4">
        <v>0.2273</v>
      </c>
      <c r="C442" s="4">
        <v>0.52</v>
      </c>
      <c r="D442" s="4">
        <v>0.22389999999999999</v>
      </c>
      <c r="E442" s="4">
        <v>3</v>
      </c>
      <c r="F442" s="4">
        <v>140</v>
      </c>
      <c r="G442" s="4">
        <v>143</v>
      </c>
      <c r="H442" s="5">
        <v>40563</v>
      </c>
      <c r="I442" s="4">
        <v>1</v>
      </c>
      <c r="J442" s="4">
        <v>9</v>
      </c>
      <c r="K442" s="4" t="b">
        <f>IF(Append1[[#This Row],[days]]="working day",FALSE,TRUE)</f>
        <v>0</v>
      </c>
      <c r="L442" s="4">
        <v>4</v>
      </c>
      <c r="M442" s="4">
        <v>2</v>
      </c>
      <c r="N442" s="6">
        <v>0.24</v>
      </c>
      <c r="O442" s="2" t="str">
        <f>IF(Append1[[#This Row],[weekday]]=0,"holiday",IF(AND(Append1[[#This Row],[weekday]]&gt;1,Append1[[#This Row],[weekday]]&lt;7),"working day","weekend"))</f>
        <v>working day</v>
      </c>
      <c r="P442" s="4" t="str">
        <f>IF(Append1[[#This Row],[weathersit]]=0,"sunny",IF(Append1[[#This Row],[weathersit]]=1,"mist",IF(Append1[[#This Row],[weathersit]]=2,"lightrain","extremerain")))</f>
        <v>lightrain</v>
      </c>
    </row>
    <row r="443" spans="1:16" x14ac:dyDescent="0.25">
      <c r="A443" s="4">
        <v>442</v>
      </c>
      <c r="B443" s="4">
        <v>0.2273</v>
      </c>
      <c r="C443" s="4">
        <v>0.48</v>
      </c>
      <c r="D443" s="4">
        <v>0.29849999999999999</v>
      </c>
      <c r="E443" s="4">
        <v>1</v>
      </c>
      <c r="F443" s="4">
        <v>56</v>
      </c>
      <c r="G443" s="4">
        <v>57</v>
      </c>
      <c r="H443" s="5">
        <v>40563</v>
      </c>
      <c r="I443" s="4">
        <v>1</v>
      </c>
      <c r="J443" s="4">
        <v>10</v>
      </c>
      <c r="K443" s="4" t="b">
        <f>IF(Append1[[#This Row],[days]]="working day",FALSE,TRUE)</f>
        <v>0</v>
      </c>
      <c r="L443" s="4">
        <v>4</v>
      </c>
      <c r="M443" s="4">
        <v>1</v>
      </c>
      <c r="N443" s="6">
        <v>0.26</v>
      </c>
      <c r="O443" s="2" t="str">
        <f>IF(Append1[[#This Row],[weekday]]=0,"holiday",IF(AND(Append1[[#This Row],[weekday]]&gt;1,Append1[[#This Row],[weekday]]&lt;7),"working day","weekend"))</f>
        <v>working day</v>
      </c>
      <c r="P443" s="4" t="str">
        <f>IF(Append1[[#This Row],[weathersit]]=0,"sunny",IF(Append1[[#This Row],[weathersit]]=1,"mist",IF(Append1[[#This Row],[weathersit]]=2,"lightrain","extremerain")))</f>
        <v>mist</v>
      </c>
    </row>
    <row r="444" spans="1:16" x14ac:dyDescent="0.25">
      <c r="A444" s="4">
        <v>443</v>
      </c>
      <c r="B444" s="4">
        <v>0.2727</v>
      </c>
      <c r="C444" s="4">
        <v>0.45</v>
      </c>
      <c r="D444" s="4">
        <v>0.16420000000000001</v>
      </c>
      <c r="E444" s="4">
        <v>5</v>
      </c>
      <c r="F444" s="4">
        <v>63</v>
      </c>
      <c r="G444" s="4">
        <v>68</v>
      </c>
      <c r="H444" s="5">
        <v>40563</v>
      </c>
      <c r="I444" s="4">
        <v>1</v>
      </c>
      <c r="J444" s="4">
        <v>11</v>
      </c>
      <c r="K444" s="4" t="b">
        <f>IF(Append1[[#This Row],[days]]="working day",FALSE,TRUE)</f>
        <v>0</v>
      </c>
      <c r="L444" s="4">
        <v>4</v>
      </c>
      <c r="M444" s="4">
        <v>2</v>
      </c>
      <c r="N444" s="6">
        <v>0.28000000000000003</v>
      </c>
      <c r="O444" s="2" t="str">
        <f>IF(Append1[[#This Row],[weekday]]=0,"holiday",IF(AND(Append1[[#This Row],[weekday]]&gt;1,Append1[[#This Row],[weekday]]&lt;7),"working day","weekend"))</f>
        <v>working day</v>
      </c>
      <c r="P444" s="4" t="str">
        <f>IF(Append1[[#This Row],[weathersit]]=0,"sunny",IF(Append1[[#This Row],[weathersit]]=1,"mist",IF(Append1[[#This Row],[weathersit]]=2,"lightrain","extremerain")))</f>
        <v>lightrain</v>
      </c>
    </row>
    <row r="445" spans="1:16" x14ac:dyDescent="0.25">
      <c r="A445" s="4">
        <v>444</v>
      </c>
      <c r="B445" s="4">
        <v>0.33329999999999999</v>
      </c>
      <c r="C445" s="4">
        <v>0.42</v>
      </c>
      <c r="D445" s="4">
        <v>0</v>
      </c>
      <c r="E445" s="4">
        <v>7</v>
      </c>
      <c r="F445" s="4">
        <v>77</v>
      </c>
      <c r="G445" s="4">
        <v>84</v>
      </c>
      <c r="H445" s="5">
        <v>40563</v>
      </c>
      <c r="I445" s="4">
        <v>1</v>
      </c>
      <c r="J445" s="4">
        <v>12</v>
      </c>
      <c r="K445" s="4" t="b">
        <f>IF(Append1[[#This Row],[days]]="working day",FALSE,TRUE)</f>
        <v>0</v>
      </c>
      <c r="L445" s="4">
        <v>4</v>
      </c>
      <c r="M445" s="4">
        <v>2</v>
      </c>
      <c r="N445" s="6">
        <v>0.3</v>
      </c>
      <c r="O445" s="2" t="str">
        <f>IF(Append1[[#This Row],[weekday]]=0,"holiday",IF(AND(Append1[[#This Row],[weekday]]&gt;1,Append1[[#This Row],[weekday]]&lt;7),"working day","weekend"))</f>
        <v>working day</v>
      </c>
      <c r="P445" s="4" t="str">
        <f>IF(Append1[[#This Row],[weathersit]]=0,"sunny",IF(Append1[[#This Row],[weathersit]]=1,"mist",IF(Append1[[#This Row],[weathersit]]=2,"lightrain","extremerain")))</f>
        <v>lightrain</v>
      </c>
    </row>
    <row r="446" spans="1:16" x14ac:dyDescent="0.25">
      <c r="A446" s="4">
        <v>445</v>
      </c>
      <c r="B446" s="4">
        <v>0.28789999999999999</v>
      </c>
      <c r="C446" s="4">
        <v>0.45</v>
      </c>
      <c r="D446" s="4">
        <v>0.1045</v>
      </c>
      <c r="E446" s="4">
        <v>12</v>
      </c>
      <c r="F446" s="4">
        <v>86</v>
      </c>
      <c r="G446" s="4">
        <v>98</v>
      </c>
      <c r="H446" s="5">
        <v>40563</v>
      </c>
      <c r="I446" s="4">
        <v>1</v>
      </c>
      <c r="J446" s="4">
        <v>13</v>
      </c>
      <c r="K446" s="4" t="b">
        <f>IF(Append1[[#This Row],[days]]="working day",FALSE,TRUE)</f>
        <v>0</v>
      </c>
      <c r="L446" s="4">
        <v>4</v>
      </c>
      <c r="M446" s="4">
        <v>2</v>
      </c>
      <c r="N446" s="6">
        <v>0.28000000000000003</v>
      </c>
      <c r="O446" s="2" t="str">
        <f>IF(Append1[[#This Row],[weekday]]=0,"holiday",IF(AND(Append1[[#This Row],[weekday]]&gt;1,Append1[[#This Row],[weekday]]&lt;7),"working day","weekend"))</f>
        <v>working day</v>
      </c>
      <c r="P446" s="4" t="str">
        <f>IF(Append1[[#This Row],[weathersit]]=0,"sunny",IF(Append1[[#This Row],[weathersit]]=1,"mist",IF(Append1[[#This Row],[weathersit]]=2,"lightrain","extremerain")))</f>
        <v>lightrain</v>
      </c>
    </row>
    <row r="447" spans="1:16" x14ac:dyDescent="0.25">
      <c r="A447" s="4">
        <v>446</v>
      </c>
      <c r="B447" s="4">
        <v>0.30299999999999999</v>
      </c>
      <c r="C447" s="4">
        <v>0.45</v>
      </c>
      <c r="D447" s="4">
        <v>0.1343</v>
      </c>
      <c r="E447" s="4">
        <v>6</v>
      </c>
      <c r="F447" s="4">
        <v>75</v>
      </c>
      <c r="G447" s="4">
        <v>81</v>
      </c>
      <c r="H447" s="5">
        <v>40563</v>
      </c>
      <c r="I447" s="4">
        <v>1</v>
      </c>
      <c r="J447" s="4">
        <v>14</v>
      </c>
      <c r="K447" s="4" t="b">
        <f>IF(Append1[[#This Row],[days]]="working day",FALSE,TRUE)</f>
        <v>0</v>
      </c>
      <c r="L447" s="4">
        <v>4</v>
      </c>
      <c r="M447" s="4">
        <v>2</v>
      </c>
      <c r="N447" s="6">
        <v>0.3</v>
      </c>
      <c r="O447" s="2" t="str">
        <f>IF(Append1[[#This Row],[weekday]]=0,"holiday",IF(AND(Append1[[#This Row],[weekday]]&gt;1,Append1[[#This Row],[weekday]]&lt;7),"working day","weekend"))</f>
        <v>working day</v>
      </c>
      <c r="P447" s="4" t="str">
        <f>IF(Append1[[#This Row],[weathersit]]=0,"sunny",IF(Append1[[#This Row],[weathersit]]=1,"mist",IF(Append1[[#This Row],[weathersit]]=2,"lightrain","extremerain")))</f>
        <v>lightrain</v>
      </c>
    </row>
    <row r="448" spans="1:16" x14ac:dyDescent="0.25">
      <c r="A448" s="4">
        <v>447</v>
      </c>
      <c r="B448" s="4">
        <v>0.31819999999999998</v>
      </c>
      <c r="C448" s="4">
        <v>0.45</v>
      </c>
      <c r="D448" s="4">
        <v>0.19400000000000001</v>
      </c>
      <c r="E448" s="4">
        <v>8</v>
      </c>
      <c r="F448" s="4">
        <v>62</v>
      </c>
      <c r="G448" s="4">
        <v>70</v>
      </c>
      <c r="H448" s="5">
        <v>40563</v>
      </c>
      <c r="I448" s="4">
        <v>1</v>
      </c>
      <c r="J448" s="4">
        <v>15</v>
      </c>
      <c r="K448" s="4" t="b">
        <f>IF(Append1[[#This Row],[days]]="working day",FALSE,TRUE)</f>
        <v>0</v>
      </c>
      <c r="L448" s="4">
        <v>4</v>
      </c>
      <c r="M448" s="4">
        <v>2</v>
      </c>
      <c r="N448" s="6">
        <v>0.32</v>
      </c>
      <c r="O448" s="2" t="str">
        <f>IF(Append1[[#This Row],[weekday]]=0,"holiday",IF(AND(Append1[[#This Row],[weekday]]&gt;1,Append1[[#This Row],[weekday]]&lt;7),"working day","weekend"))</f>
        <v>working day</v>
      </c>
      <c r="P448" s="4" t="str">
        <f>IF(Append1[[#This Row],[weathersit]]=0,"sunny",IF(Append1[[#This Row],[weathersit]]=1,"mist",IF(Append1[[#This Row],[weathersit]]=2,"lightrain","extremerain")))</f>
        <v>lightrain</v>
      </c>
    </row>
    <row r="449" spans="1:16" x14ac:dyDescent="0.25">
      <c r="A449" s="4">
        <v>448</v>
      </c>
      <c r="B449" s="4">
        <v>0.30299999999999999</v>
      </c>
      <c r="C449" s="4">
        <v>0.49</v>
      </c>
      <c r="D449" s="4">
        <v>0.1343</v>
      </c>
      <c r="E449" s="4">
        <v>8</v>
      </c>
      <c r="F449" s="4">
        <v>83</v>
      </c>
      <c r="G449" s="4">
        <v>91</v>
      </c>
      <c r="H449" s="5">
        <v>40563</v>
      </c>
      <c r="I449" s="4">
        <v>1</v>
      </c>
      <c r="J449" s="4">
        <v>16</v>
      </c>
      <c r="K449" s="4" t="b">
        <f>IF(Append1[[#This Row],[days]]="working day",FALSE,TRUE)</f>
        <v>0</v>
      </c>
      <c r="L449" s="4">
        <v>4</v>
      </c>
      <c r="M449" s="4">
        <v>2</v>
      </c>
      <c r="N449" s="6">
        <v>0.3</v>
      </c>
      <c r="O449" s="2" t="str">
        <f>IF(Append1[[#This Row],[weekday]]=0,"holiday",IF(AND(Append1[[#This Row],[weekday]]&gt;1,Append1[[#This Row],[weekday]]&lt;7),"working day","weekend"))</f>
        <v>working day</v>
      </c>
      <c r="P449" s="4" t="str">
        <f>IF(Append1[[#This Row],[weathersit]]=0,"sunny",IF(Append1[[#This Row],[weathersit]]=1,"mist",IF(Append1[[#This Row],[weathersit]]=2,"lightrain","extremerain")))</f>
        <v>lightrain</v>
      </c>
    </row>
    <row r="450" spans="1:16" x14ac:dyDescent="0.25">
      <c r="A450" s="4">
        <v>449</v>
      </c>
      <c r="B450" s="4">
        <v>0.31819999999999998</v>
      </c>
      <c r="C450" s="4">
        <v>0.49</v>
      </c>
      <c r="D450" s="4">
        <v>0.1045</v>
      </c>
      <c r="E450" s="4">
        <v>8</v>
      </c>
      <c r="F450" s="4">
        <v>207</v>
      </c>
      <c r="G450" s="4">
        <v>215</v>
      </c>
      <c r="H450" s="5">
        <v>40563</v>
      </c>
      <c r="I450" s="4">
        <v>1</v>
      </c>
      <c r="J450" s="4">
        <v>17</v>
      </c>
      <c r="K450" s="4" t="b">
        <f>IF(Append1[[#This Row],[days]]="working day",FALSE,TRUE)</f>
        <v>0</v>
      </c>
      <c r="L450" s="4">
        <v>4</v>
      </c>
      <c r="M450" s="4">
        <v>2</v>
      </c>
      <c r="N450" s="6">
        <v>0.3</v>
      </c>
      <c r="O450" s="2" t="str">
        <f>IF(Append1[[#This Row],[weekday]]=0,"holiday",IF(AND(Append1[[#This Row],[weekday]]&gt;1,Append1[[#This Row],[weekday]]&lt;7),"working day","weekend"))</f>
        <v>working day</v>
      </c>
      <c r="P450" s="4" t="str">
        <f>IF(Append1[[#This Row],[weathersit]]=0,"sunny",IF(Append1[[#This Row],[weathersit]]=1,"mist",IF(Append1[[#This Row],[weathersit]]=2,"lightrain","extremerain")))</f>
        <v>lightrain</v>
      </c>
    </row>
    <row r="451" spans="1:16" x14ac:dyDescent="0.25">
      <c r="A451" s="4">
        <v>450</v>
      </c>
      <c r="B451" s="4">
        <v>0.2576</v>
      </c>
      <c r="C451" s="4">
        <v>0.56000000000000005</v>
      </c>
      <c r="D451" s="4">
        <v>0.19400000000000001</v>
      </c>
      <c r="E451" s="4">
        <v>1</v>
      </c>
      <c r="F451" s="4">
        <v>184</v>
      </c>
      <c r="G451" s="4">
        <v>185</v>
      </c>
      <c r="H451" s="5">
        <v>40563</v>
      </c>
      <c r="I451" s="4">
        <v>1</v>
      </c>
      <c r="J451" s="4">
        <v>18</v>
      </c>
      <c r="K451" s="4" t="b">
        <f>IF(Append1[[#This Row],[days]]="working day",FALSE,TRUE)</f>
        <v>0</v>
      </c>
      <c r="L451" s="4">
        <v>4</v>
      </c>
      <c r="M451" s="4">
        <v>2</v>
      </c>
      <c r="N451" s="6">
        <v>0.26</v>
      </c>
      <c r="O451" s="2" t="str">
        <f>IF(Append1[[#This Row],[weekday]]=0,"holiday",IF(AND(Append1[[#This Row],[weekday]]&gt;1,Append1[[#This Row],[weekday]]&lt;7),"working day","weekend"))</f>
        <v>working day</v>
      </c>
      <c r="P451" s="4" t="str">
        <f>IF(Append1[[#This Row],[weathersit]]=0,"sunny",IF(Append1[[#This Row],[weathersit]]=1,"mist",IF(Append1[[#This Row],[weathersit]]=2,"lightrain","extremerain")))</f>
        <v>lightrain</v>
      </c>
    </row>
    <row r="452" spans="1:16" x14ac:dyDescent="0.25">
      <c r="A452" s="4">
        <v>451</v>
      </c>
      <c r="B452" s="4">
        <v>0.2273</v>
      </c>
      <c r="C452" s="4">
        <v>0.56000000000000005</v>
      </c>
      <c r="D452" s="4">
        <v>0.32840000000000003</v>
      </c>
      <c r="E452" s="4">
        <v>6</v>
      </c>
      <c r="F452" s="4">
        <v>146</v>
      </c>
      <c r="G452" s="4">
        <v>152</v>
      </c>
      <c r="H452" s="5">
        <v>40563</v>
      </c>
      <c r="I452" s="4">
        <v>1</v>
      </c>
      <c r="J452" s="4">
        <v>19</v>
      </c>
      <c r="K452" s="4" t="b">
        <f>IF(Append1[[#This Row],[days]]="working day",FALSE,TRUE)</f>
        <v>0</v>
      </c>
      <c r="L452" s="4">
        <v>4</v>
      </c>
      <c r="M452" s="4">
        <v>1</v>
      </c>
      <c r="N452" s="6">
        <v>0.26</v>
      </c>
      <c r="O452" s="2" t="str">
        <f>IF(Append1[[#This Row],[weekday]]=0,"holiday",IF(AND(Append1[[#This Row],[weekday]]&gt;1,Append1[[#This Row],[weekday]]&lt;7),"working day","weekend"))</f>
        <v>working day</v>
      </c>
      <c r="P452" s="4" t="str">
        <f>IF(Append1[[#This Row],[weathersit]]=0,"sunny",IF(Append1[[#This Row],[weathersit]]=1,"mist",IF(Append1[[#This Row],[weathersit]]=2,"lightrain","extremerain")))</f>
        <v>mist</v>
      </c>
    </row>
    <row r="453" spans="1:16" x14ac:dyDescent="0.25">
      <c r="A453" s="4">
        <v>452</v>
      </c>
      <c r="B453" s="4">
        <v>0.2424</v>
      </c>
      <c r="C453" s="4">
        <v>0.6</v>
      </c>
      <c r="D453" s="4">
        <v>0.28360000000000002</v>
      </c>
      <c r="E453" s="4">
        <v>2</v>
      </c>
      <c r="F453" s="4">
        <v>124</v>
      </c>
      <c r="G453" s="4">
        <v>126</v>
      </c>
      <c r="H453" s="5">
        <v>40563</v>
      </c>
      <c r="I453" s="4">
        <v>1</v>
      </c>
      <c r="J453" s="4">
        <v>20</v>
      </c>
      <c r="K453" s="4" t="b">
        <f>IF(Append1[[#This Row],[days]]="working day",FALSE,TRUE)</f>
        <v>0</v>
      </c>
      <c r="L453" s="4">
        <v>4</v>
      </c>
      <c r="M453" s="4">
        <v>2</v>
      </c>
      <c r="N453" s="6">
        <v>0.26</v>
      </c>
      <c r="O453" s="2" t="str">
        <f>IF(Append1[[#This Row],[weekday]]=0,"holiday",IF(AND(Append1[[#This Row],[weekday]]&gt;1,Append1[[#This Row],[weekday]]&lt;7),"working day","weekend"))</f>
        <v>working day</v>
      </c>
      <c r="P453" s="4" t="str">
        <f>IF(Append1[[#This Row],[weathersit]]=0,"sunny",IF(Append1[[#This Row],[weathersit]]=1,"mist",IF(Append1[[#This Row],[weathersit]]=2,"lightrain","extremerain")))</f>
        <v>lightrain</v>
      </c>
    </row>
    <row r="454" spans="1:16" x14ac:dyDescent="0.25">
      <c r="A454" s="4">
        <v>453</v>
      </c>
      <c r="B454" s="4">
        <v>0.2273</v>
      </c>
      <c r="C454" s="4">
        <v>0.6</v>
      </c>
      <c r="D454" s="4">
        <v>0.25369999999999998</v>
      </c>
      <c r="E454" s="4">
        <v>3</v>
      </c>
      <c r="F454" s="4">
        <v>54</v>
      </c>
      <c r="G454" s="4">
        <v>57</v>
      </c>
      <c r="H454" s="5">
        <v>40563</v>
      </c>
      <c r="I454" s="4">
        <v>1</v>
      </c>
      <c r="J454" s="4">
        <v>21</v>
      </c>
      <c r="K454" s="4" t="b">
        <f>IF(Append1[[#This Row],[days]]="working day",FALSE,TRUE)</f>
        <v>0</v>
      </c>
      <c r="L454" s="4">
        <v>4</v>
      </c>
      <c r="M454" s="4">
        <v>2</v>
      </c>
      <c r="N454" s="6">
        <v>0.24</v>
      </c>
      <c r="O454" s="2" t="str">
        <f>IF(Append1[[#This Row],[weekday]]=0,"holiday",IF(AND(Append1[[#This Row],[weekday]]&gt;1,Append1[[#This Row],[weekday]]&lt;7),"working day","weekend"))</f>
        <v>working day</v>
      </c>
      <c r="P454" s="4" t="str">
        <f>IF(Append1[[#This Row],[weathersit]]=0,"sunny",IF(Append1[[#This Row],[weathersit]]=1,"mist",IF(Append1[[#This Row],[weathersit]]=2,"lightrain","extremerain")))</f>
        <v>lightrain</v>
      </c>
    </row>
    <row r="455" spans="1:16" x14ac:dyDescent="0.25">
      <c r="A455" s="4">
        <v>454</v>
      </c>
      <c r="B455" s="4">
        <v>0.21210000000000001</v>
      </c>
      <c r="C455" s="4">
        <v>0.65</v>
      </c>
      <c r="D455" s="4">
        <v>0.28360000000000002</v>
      </c>
      <c r="E455" s="4">
        <v>0</v>
      </c>
      <c r="F455" s="4">
        <v>56</v>
      </c>
      <c r="G455" s="4">
        <v>56</v>
      </c>
      <c r="H455" s="5">
        <v>40563</v>
      </c>
      <c r="I455" s="4">
        <v>1</v>
      </c>
      <c r="J455" s="4">
        <v>22</v>
      </c>
      <c r="K455" s="4" t="b">
        <f>IF(Append1[[#This Row],[days]]="working day",FALSE,TRUE)</f>
        <v>0</v>
      </c>
      <c r="L455" s="4">
        <v>4</v>
      </c>
      <c r="M455" s="4">
        <v>2</v>
      </c>
      <c r="N455" s="6">
        <v>0.24</v>
      </c>
      <c r="O455" s="2" t="str">
        <f>IF(Append1[[#This Row],[weekday]]=0,"holiday",IF(AND(Append1[[#This Row],[weekday]]&gt;1,Append1[[#This Row],[weekday]]&lt;7),"working day","weekend"))</f>
        <v>working day</v>
      </c>
      <c r="P455" s="4" t="str">
        <f>IF(Append1[[#This Row],[weathersit]]=0,"sunny",IF(Append1[[#This Row],[weathersit]]=1,"mist",IF(Append1[[#This Row],[weathersit]]=2,"lightrain","extremerain")))</f>
        <v>lightrain</v>
      </c>
    </row>
    <row r="456" spans="1:16" x14ac:dyDescent="0.25">
      <c r="A456" s="4">
        <v>455</v>
      </c>
      <c r="B456" s="4">
        <v>0.21210000000000001</v>
      </c>
      <c r="C456" s="4">
        <v>0.65</v>
      </c>
      <c r="D456" s="4">
        <v>0.32840000000000003</v>
      </c>
      <c r="E456" s="4">
        <v>3</v>
      </c>
      <c r="F456" s="4">
        <v>28</v>
      </c>
      <c r="G456" s="4">
        <v>31</v>
      </c>
      <c r="H456" s="5">
        <v>40563</v>
      </c>
      <c r="I456" s="4">
        <v>1</v>
      </c>
      <c r="J456" s="4">
        <v>23</v>
      </c>
      <c r="K456" s="4" t="b">
        <f>IF(Append1[[#This Row],[days]]="working day",FALSE,TRUE)</f>
        <v>0</v>
      </c>
      <c r="L456" s="4">
        <v>4</v>
      </c>
      <c r="M456" s="4">
        <v>2</v>
      </c>
      <c r="N456" s="6">
        <v>0.24</v>
      </c>
      <c r="O456" s="2" t="str">
        <f>IF(Append1[[#This Row],[weekday]]=0,"holiday",IF(AND(Append1[[#This Row],[weekday]]&gt;1,Append1[[#This Row],[weekday]]&lt;7),"working day","weekend"))</f>
        <v>working day</v>
      </c>
      <c r="P456" s="4" t="str">
        <f>IF(Append1[[#This Row],[weathersit]]=0,"sunny",IF(Append1[[#This Row],[weathersit]]=1,"mist",IF(Append1[[#This Row],[weathersit]]=2,"lightrain","extremerain")))</f>
        <v>lightrain</v>
      </c>
    </row>
    <row r="457" spans="1:16" x14ac:dyDescent="0.25">
      <c r="A457" s="4">
        <v>456</v>
      </c>
      <c r="B457" s="4">
        <v>0.2273</v>
      </c>
      <c r="C457" s="4">
        <v>0.7</v>
      </c>
      <c r="D457" s="4">
        <v>0.25369999999999998</v>
      </c>
      <c r="E457" s="4">
        <v>1</v>
      </c>
      <c r="F457" s="4">
        <v>20</v>
      </c>
      <c r="G457" s="4">
        <v>21</v>
      </c>
      <c r="H457" s="5">
        <v>40564</v>
      </c>
      <c r="I457" s="4">
        <v>1</v>
      </c>
      <c r="J457" s="4">
        <v>0</v>
      </c>
      <c r="K457" s="4" t="b">
        <f>IF(Append1[[#This Row],[days]]="working day",FALSE,TRUE)</f>
        <v>0</v>
      </c>
      <c r="L457" s="4">
        <v>5</v>
      </c>
      <c r="M457" s="4">
        <v>2</v>
      </c>
      <c r="N457" s="6">
        <v>0.24</v>
      </c>
      <c r="O457" s="2" t="str">
        <f>IF(Append1[[#This Row],[weekday]]=0,"holiday",IF(AND(Append1[[#This Row],[weekday]]&gt;1,Append1[[#This Row],[weekday]]&lt;7),"working day","weekend"))</f>
        <v>working day</v>
      </c>
      <c r="P457" s="4" t="str">
        <f>IF(Append1[[#This Row],[weathersit]]=0,"sunny",IF(Append1[[#This Row],[weathersit]]=1,"mist",IF(Append1[[#This Row],[weathersit]]=2,"lightrain","extremerain")))</f>
        <v>lightrain</v>
      </c>
    </row>
    <row r="458" spans="1:16" x14ac:dyDescent="0.25">
      <c r="A458" s="4">
        <v>457</v>
      </c>
      <c r="B458" s="4">
        <v>0.2273</v>
      </c>
      <c r="C458" s="4">
        <v>0.7</v>
      </c>
      <c r="D458" s="4">
        <v>0.25369999999999998</v>
      </c>
      <c r="E458" s="4">
        <v>0</v>
      </c>
      <c r="F458" s="4">
        <v>6</v>
      </c>
      <c r="G458" s="4">
        <v>6</v>
      </c>
      <c r="H458" s="5">
        <v>40564</v>
      </c>
      <c r="I458" s="4">
        <v>1</v>
      </c>
      <c r="J458" s="4">
        <v>1</v>
      </c>
      <c r="K458" s="4" t="b">
        <f>IF(Append1[[#This Row],[days]]="working day",FALSE,TRUE)</f>
        <v>0</v>
      </c>
      <c r="L458" s="4">
        <v>5</v>
      </c>
      <c r="M458" s="4">
        <v>2</v>
      </c>
      <c r="N458" s="6">
        <v>0.24</v>
      </c>
      <c r="O458" s="2" t="str">
        <f>IF(Append1[[#This Row],[weekday]]=0,"holiday",IF(AND(Append1[[#This Row],[weekday]]&gt;1,Append1[[#This Row],[weekday]]&lt;7),"working day","weekend"))</f>
        <v>working day</v>
      </c>
      <c r="P458" s="4" t="str">
        <f>IF(Append1[[#This Row],[weathersit]]=0,"sunny",IF(Append1[[#This Row],[weathersit]]=1,"mist",IF(Append1[[#This Row],[weathersit]]=2,"lightrain","extremerain")))</f>
        <v>lightrain</v>
      </c>
    </row>
    <row r="459" spans="1:16" x14ac:dyDescent="0.25">
      <c r="A459" s="4">
        <v>458</v>
      </c>
      <c r="B459" s="4">
        <v>0.2424</v>
      </c>
      <c r="C459" s="4">
        <v>0.75</v>
      </c>
      <c r="D459" s="4">
        <v>0.16420000000000001</v>
      </c>
      <c r="E459" s="4">
        <v>0</v>
      </c>
      <c r="F459" s="4">
        <v>2</v>
      </c>
      <c r="G459" s="4">
        <v>2</v>
      </c>
      <c r="H459" s="5">
        <v>40564</v>
      </c>
      <c r="I459" s="4">
        <v>1</v>
      </c>
      <c r="J459" s="4">
        <v>2</v>
      </c>
      <c r="K459" s="4" t="b">
        <f>IF(Append1[[#This Row],[days]]="working day",FALSE,TRUE)</f>
        <v>0</v>
      </c>
      <c r="L459" s="4">
        <v>5</v>
      </c>
      <c r="M459" s="4">
        <v>3</v>
      </c>
      <c r="N459" s="6">
        <v>0.24</v>
      </c>
      <c r="O459" s="2" t="str">
        <f>IF(Append1[[#This Row],[weekday]]=0,"holiday",IF(AND(Append1[[#This Row],[weekday]]&gt;1,Append1[[#This Row],[weekday]]&lt;7),"working day","weekend"))</f>
        <v>working day</v>
      </c>
      <c r="P459" s="4" t="str">
        <f>IF(Append1[[#This Row],[weathersit]]=0,"sunny",IF(Append1[[#This Row],[weathersit]]=1,"mist",IF(Append1[[#This Row],[weathersit]]=2,"lightrain","extremerain")))</f>
        <v>extremerain</v>
      </c>
    </row>
    <row r="460" spans="1:16" x14ac:dyDescent="0.25">
      <c r="A460" s="4">
        <v>459</v>
      </c>
      <c r="B460" s="4">
        <v>0.21210000000000001</v>
      </c>
      <c r="C460" s="4">
        <v>0.8</v>
      </c>
      <c r="D460" s="4">
        <v>0.29849999999999999</v>
      </c>
      <c r="E460" s="4">
        <v>0</v>
      </c>
      <c r="F460" s="4">
        <v>1</v>
      </c>
      <c r="G460" s="4">
        <v>1</v>
      </c>
      <c r="H460" s="5">
        <v>40564</v>
      </c>
      <c r="I460" s="4">
        <v>1</v>
      </c>
      <c r="J460" s="4">
        <v>3</v>
      </c>
      <c r="K460" s="4" t="b">
        <f>IF(Append1[[#This Row],[days]]="working day",FALSE,TRUE)</f>
        <v>0</v>
      </c>
      <c r="L460" s="4">
        <v>5</v>
      </c>
      <c r="M460" s="4">
        <v>3</v>
      </c>
      <c r="N460" s="6">
        <v>0.22</v>
      </c>
      <c r="O460" s="2" t="str">
        <f>IF(Append1[[#This Row],[weekday]]=0,"holiday",IF(AND(Append1[[#This Row],[weekday]]&gt;1,Append1[[#This Row],[weekday]]&lt;7),"working day","weekend"))</f>
        <v>working day</v>
      </c>
      <c r="P460" s="4" t="str">
        <f>IF(Append1[[#This Row],[weathersit]]=0,"sunny",IF(Append1[[#This Row],[weathersit]]=1,"mist",IF(Append1[[#This Row],[weathersit]]=2,"lightrain","extremerain")))</f>
        <v>extremerain</v>
      </c>
    </row>
    <row r="461" spans="1:16" x14ac:dyDescent="0.25">
      <c r="A461" s="4">
        <v>460</v>
      </c>
      <c r="B461" s="4">
        <v>0.2576</v>
      </c>
      <c r="C461" s="4">
        <v>0.87</v>
      </c>
      <c r="D461" s="4">
        <v>8.9599999999999999E-2</v>
      </c>
      <c r="E461" s="4">
        <v>0</v>
      </c>
      <c r="F461" s="4">
        <v>1</v>
      </c>
      <c r="G461" s="4">
        <v>1</v>
      </c>
      <c r="H461" s="5">
        <v>40564</v>
      </c>
      <c r="I461" s="4">
        <v>1</v>
      </c>
      <c r="J461" s="4">
        <v>4</v>
      </c>
      <c r="K461" s="4" t="b">
        <f>IF(Append1[[#This Row],[days]]="working day",FALSE,TRUE)</f>
        <v>0</v>
      </c>
      <c r="L461" s="4">
        <v>5</v>
      </c>
      <c r="M461" s="4">
        <v>2</v>
      </c>
      <c r="N461" s="6">
        <v>0.22</v>
      </c>
      <c r="O461" s="2" t="str">
        <f>IF(Append1[[#This Row],[weekday]]=0,"holiday",IF(AND(Append1[[#This Row],[weekday]]&gt;1,Append1[[#This Row],[weekday]]&lt;7),"working day","weekend"))</f>
        <v>working day</v>
      </c>
      <c r="P461" s="4" t="str">
        <f>IF(Append1[[#This Row],[weathersit]]=0,"sunny",IF(Append1[[#This Row],[weathersit]]=1,"mist",IF(Append1[[#This Row],[weathersit]]=2,"lightrain","extremerain")))</f>
        <v>lightrain</v>
      </c>
    </row>
    <row r="462" spans="1:16" x14ac:dyDescent="0.25">
      <c r="A462" s="4">
        <v>461</v>
      </c>
      <c r="B462" s="4">
        <v>0.19700000000000001</v>
      </c>
      <c r="C462" s="4">
        <v>0.6</v>
      </c>
      <c r="D462" s="4">
        <v>0.41789999999999999</v>
      </c>
      <c r="E462" s="4">
        <v>1</v>
      </c>
      <c r="F462" s="4">
        <v>4</v>
      </c>
      <c r="G462" s="4">
        <v>5</v>
      </c>
      <c r="H462" s="5">
        <v>40564</v>
      </c>
      <c r="I462" s="4">
        <v>1</v>
      </c>
      <c r="J462" s="4">
        <v>5</v>
      </c>
      <c r="K462" s="4" t="b">
        <f>IF(Append1[[#This Row],[days]]="working day",FALSE,TRUE)</f>
        <v>0</v>
      </c>
      <c r="L462" s="4">
        <v>5</v>
      </c>
      <c r="M462" s="4">
        <v>1</v>
      </c>
      <c r="N462" s="6">
        <v>0.24</v>
      </c>
      <c r="O462" s="2" t="str">
        <f>IF(Append1[[#This Row],[weekday]]=0,"holiday",IF(AND(Append1[[#This Row],[weekday]]&gt;1,Append1[[#This Row],[weekday]]&lt;7),"working day","weekend"))</f>
        <v>working day</v>
      </c>
      <c r="P462" s="4" t="str">
        <f>IF(Append1[[#This Row],[weathersit]]=0,"sunny",IF(Append1[[#This Row],[weathersit]]=1,"mist",IF(Append1[[#This Row],[weathersit]]=2,"lightrain","extremerain")))</f>
        <v>mist</v>
      </c>
    </row>
    <row r="463" spans="1:16" x14ac:dyDescent="0.25">
      <c r="A463" s="4">
        <v>462</v>
      </c>
      <c r="B463" s="4">
        <v>0.21210000000000001</v>
      </c>
      <c r="C463" s="4">
        <v>0.55000000000000004</v>
      </c>
      <c r="D463" s="4">
        <v>0.25369999999999998</v>
      </c>
      <c r="E463" s="4">
        <v>0</v>
      </c>
      <c r="F463" s="4">
        <v>27</v>
      </c>
      <c r="G463" s="4">
        <v>27</v>
      </c>
      <c r="H463" s="5">
        <v>40564</v>
      </c>
      <c r="I463" s="4">
        <v>1</v>
      </c>
      <c r="J463" s="4">
        <v>6</v>
      </c>
      <c r="K463" s="4" t="b">
        <f>IF(Append1[[#This Row],[days]]="working day",FALSE,TRUE)</f>
        <v>0</v>
      </c>
      <c r="L463" s="4">
        <v>5</v>
      </c>
      <c r="M463" s="4">
        <v>1</v>
      </c>
      <c r="N463" s="6">
        <v>0.22</v>
      </c>
      <c r="O463" s="2" t="str">
        <f>IF(Append1[[#This Row],[weekday]]=0,"holiday",IF(AND(Append1[[#This Row],[weekday]]&gt;1,Append1[[#This Row],[weekday]]&lt;7),"working day","weekend"))</f>
        <v>working day</v>
      </c>
      <c r="P463" s="4" t="str">
        <f>IF(Append1[[#This Row],[weathersit]]=0,"sunny",IF(Append1[[#This Row],[weathersit]]=1,"mist",IF(Append1[[#This Row],[weathersit]]=2,"lightrain","extremerain")))</f>
        <v>mist</v>
      </c>
    </row>
    <row r="464" spans="1:16" x14ac:dyDescent="0.25">
      <c r="A464" s="4">
        <v>463</v>
      </c>
      <c r="B464" s="4">
        <v>0.18179999999999999</v>
      </c>
      <c r="C464" s="4">
        <v>0.51</v>
      </c>
      <c r="D464" s="4">
        <v>0.28360000000000002</v>
      </c>
      <c r="E464" s="4">
        <v>2</v>
      </c>
      <c r="F464" s="4">
        <v>66</v>
      </c>
      <c r="G464" s="4">
        <v>68</v>
      </c>
      <c r="H464" s="5">
        <v>40564</v>
      </c>
      <c r="I464" s="4">
        <v>1</v>
      </c>
      <c r="J464" s="4">
        <v>7</v>
      </c>
      <c r="K464" s="4" t="b">
        <f>IF(Append1[[#This Row],[days]]="working day",FALSE,TRUE)</f>
        <v>0</v>
      </c>
      <c r="L464" s="4">
        <v>5</v>
      </c>
      <c r="M464" s="4">
        <v>1</v>
      </c>
      <c r="N464" s="6">
        <v>0.2</v>
      </c>
      <c r="O464" s="2" t="str">
        <f>IF(Append1[[#This Row],[weekday]]=0,"holiday",IF(AND(Append1[[#This Row],[weekday]]&gt;1,Append1[[#This Row],[weekday]]&lt;7),"working day","weekend"))</f>
        <v>working day</v>
      </c>
      <c r="P464" s="4" t="str">
        <f>IF(Append1[[#This Row],[weathersit]]=0,"sunny",IF(Append1[[#This Row],[weathersit]]=1,"mist",IF(Append1[[#This Row],[weathersit]]=2,"lightrain","extremerain")))</f>
        <v>mist</v>
      </c>
    </row>
    <row r="465" spans="1:16" x14ac:dyDescent="0.25">
      <c r="A465" s="4">
        <v>464</v>
      </c>
      <c r="B465" s="4">
        <v>0.18179999999999999</v>
      </c>
      <c r="C465" s="4">
        <v>0.47</v>
      </c>
      <c r="D465" s="4">
        <v>0.32840000000000003</v>
      </c>
      <c r="E465" s="4">
        <v>7</v>
      </c>
      <c r="F465" s="4">
        <v>210</v>
      </c>
      <c r="G465" s="4">
        <v>217</v>
      </c>
      <c r="H465" s="5">
        <v>40564</v>
      </c>
      <c r="I465" s="4">
        <v>1</v>
      </c>
      <c r="J465" s="4">
        <v>8</v>
      </c>
      <c r="K465" s="4" t="b">
        <f>IF(Append1[[#This Row],[days]]="working day",FALSE,TRUE)</f>
        <v>0</v>
      </c>
      <c r="L465" s="4">
        <v>5</v>
      </c>
      <c r="M465" s="4">
        <v>1</v>
      </c>
      <c r="N465" s="6">
        <v>0.2</v>
      </c>
      <c r="O465" s="2" t="str">
        <f>IF(Append1[[#This Row],[weekday]]=0,"holiday",IF(AND(Append1[[#This Row],[weekday]]&gt;1,Append1[[#This Row],[weekday]]&lt;7),"working day","weekend"))</f>
        <v>working day</v>
      </c>
      <c r="P465" s="4" t="str">
        <f>IF(Append1[[#This Row],[weathersit]]=0,"sunny",IF(Append1[[#This Row],[weathersit]]=1,"mist",IF(Append1[[#This Row],[weathersit]]=2,"lightrain","extremerain")))</f>
        <v>mist</v>
      </c>
    </row>
    <row r="466" spans="1:16" x14ac:dyDescent="0.25">
      <c r="A466" s="4">
        <v>465</v>
      </c>
      <c r="B466" s="4">
        <v>0.18179999999999999</v>
      </c>
      <c r="C466" s="4">
        <v>0.51</v>
      </c>
      <c r="D466" s="4">
        <v>0.35820000000000002</v>
      </c>
      <c r="E466" s="4">
        <v>7</v>
      </c>
      <c r="F466" s="4">
        <v>159</v>
      </c>
      <c r="G466" s="4">
        <v>166</v>
      </c>
      <c r="H466" s="5">
        <v>40564</v>
      </c>
      <c r="I466" s="4">
        <v>1</v>
      </c>
      <c r="J466" s="4">
        <v>9</v>
      </c>
      <c r="K466" s="4" t="b">
        <f>IF(Append1[[#This Row],[days]]="working day",FALSE,TRUE)</f>
        <v>0</v>
      </c>
      <c r="L466" s="4">
        <v>5</v>
      </c>
      <c r="M466" s="4">
        <v>1</v>
      </c>
      <c r="N466" s="6">
        <v>0.2</v>
      </c>
      <c r="O466" s="2" t="str">
        <f>IF(Append1[[#This Row],[weekday]]=0,"holiday",IF(AND(Append1[[#This Row],[weekday]]&gt;1,Append1[[#This Row],[weekday]]&lt;7),"working day","weekend"))</f>
        <v>working day</v>
      </c>
      <c r="P466" s="4" t="str">
        <f>IF(Append1[[#This Row],[weathersit]]=0,"sunny",IF(Append1[[#This Row],[weathersit]]=1,"mist",IF(Append1[[#This Row],[weathersit]]=2,"lightrain","extremerain")))</f>
        <v>mist</v>
      </c>
    </row>
    <row r="467" spans="1:16" x14ac:dyDescent="0.25">
      <c r="A467" s="4">
        <v>466</v>
      </c>
      <c r="B467" s="4">
        <v>0.16669999999999999</v>
      </c>
      <c r="C467" s="4">
        <v>0.47</v>
      </c>
      <c r="D467" s="4">
        <v>0.4627</v>
      </c>
      <c r="E467" s="4">
        <v>6</v>
      </c>
      <c r="F467" s="4">
        <v>57</v>
      </c>
      <c r="G467" s="4">
        <v>63</v>
      </c>
      <c r="H467" s="5">
        <v>40564</v>
      </c>
      <c r="I467" s="4">
        <v>1</v>
      </c>
      <c r="J467" s="4">
        <v>10</v>
      </c>
      <c r="K467" s="4" t="b">
        <f>IF(Append1[[#This Row],[days]]="working day",FALSE,TRUE)</f>
        <v>0</v>
      </c>
      <c r="L467" s="4">
        <v>5</v>
      </c>
      <c r="M467" s="4">
        <v>1</v>
      </c>
      <c r="N467" s="6">
        <v>0.2</v>
      </c>
      <c r="O467" s="2" t="str">
        <f>IF(Append1[[#This Row],[weekday]]=0,"holiday",IF(AND(Append1[[#This Row],[weekday]]&gt;1,Append1[[#This Row],[weekday]]&lt;7),"working day","weekend"))</f>
        <v>working day</v>
      </c>
      <c r="P467" s="4" t="str">
        <f>IF(Append1[[#This Row],[weathersit]]=0,"sunny",IF(Append1[[#This Row],[weathersit]]=1,"mist",IF(Append1[[#This Row],[weathersit]]=2,"lightrain","extremerain")))</f>
        <v>mist</v>
      </c>
    </row>
    <row r="468" spans="1:16" x14ac:dyDescent="0.25">
      <c r="A468" s="4">
        <v>467</v>
      </c>
      <c r="B468" s="4">
        <v>0.18179999999999999</v>
      </c>
      <c r="C468" s="4">
        <v>0.41</v>
      </c>
      <c r="D468" s="4">
        <v>0.4627</v>
      </c>
      <c r="E468" s="4">
        <v>6</v>
      </c>
      <c r="F468" s="4">
        <v>53</v>
      </c>
      <c r="G468" s="4">
        <v>59</v>
      </c>
      <c r="H468" s="5">
        <v>40564</v>
      </c>
      <c r="I468" s="4">
        <v>1</v>
      </c>
      <c r="J468" s="4">
        <v>11</v>
      </c>
      <c r="K468" s="4" t="b">
        <f>IF(Append1[[#This Row],[days]]="working day",FALSE,TRUE)</f>
        <v>0</v>
      </c>
      <c r="L468" s="4">
        <v>5</v>
      </c>
      <c r="M468" s="4">
        <v>1</v>
      </c>
      <c r="N468" s="6">
        <v>0.22</v>
      </c>
      <c r="O468" s="2" t="str">
        <f>IF(Append1[[#This Row],[weekday]]=0,"holiday",IF(AND(Append1[[#This Row],[weekday]]&gt;1,Append1[[#This Row],[weekday]]&lt;7),"working day","weekend"))</f>
        <v>working day</v>
      </c>
      <c r="P468" s="4" t="str">
        <f>IF(Append1[[#This Row],[weathersit]]=0,"sunny",IF(Append1[[#This Row],[weathersit]]=1,"mist",IF(Append1[[#This Row],[weathersit]]=2,"lightrain","extremerain")))</f>
        <v>mist</v>
      </c>
    </row>
    <row r="469" spans="1:16" x14ac:dyDescent="0.25">
      <c r="A469" s="4">
        <v>468</v>
      </c>
      <c r="B469" s="4">
        <v>0.18179999999999999</v>
      </c>
      <c r="C469" s="4">
        <v>0.27</v>
      </c>
      <c r="D469" s="4">
        <v>0.58209999999999995</v>
      </c>
      <c r="E469" s="4">
        <v>11</v>
      </c>
      <c r="F469" s="4">
        <v>67</v>
      </c>
      <c r="G469" s="4">
        <v>78</v>
      </c>
      <c r="H469" s="5">
        <v>40564</v>
      </c>
      <c r="I469" s="4">
        <v>1</v>
      </c>
      <c r="J469" s="4">
        <v>12</v>
      </c>
      <c r="K469" s="4" t="b">
        <f>IF(Append1[[#This Row],[days]]="working day",FALSE,TRUE)</f>
        <v>0</v>
      </c>
      <c r="L469" s="4">
        <v>5</v>
      </c>
      <c r="M469" s="4">
        <v>1</v>
      </c>
      <c r="N469" s="6">
        <v>0.22</v>
      </c>
      <c r="O469" s="2" t="str">
        <f>IF(Append1[[#This Row],[weekday]]=0,"holiday",IF(AND(Append1[[#This Row],[weekday]]&gt;1,Append1[[#This Row],[weekday]]&lt;7),"working day","weekend"))</f>
        <v>working day</v>
      </c>
      <c r="P469" s="4" t="str">
        <f>IF(Append1[[#This Row],[weathersit]]=0,"sunny",IF(Append1[[#This Row],[weathersit]]=1,"mist",IF(Append1[[#This Row],[weathersit]]=2,"lightrain","extremerain")))</f>
        <v>mist</v>
      </c>
    </row>
    <row r="470" spans="1:16" x14ac:dyDescent="0.25">
      <c r="A470" s="4">
        <v>469</v>
      </c>
      <c r="B470" s="4">
        <v>0.1515</v>
      </c>
      <c r="C470" s="4">
        <v>0.21</v>
      </c>
      <c r="D470" s="4">
        <v>0.58209999999999995</v>
      </c>
      <c r="E470" s="4">
        <v>8</v>
      </c>
      <c r="F470" s="4">
        <v>65</v>
      </c>
      <c r="G470" s="4">
        <v>73</v>
      </c>
      <c r="H470" s="5">
        <v>40564</v>
      </c>
      <c r="I470" s="4">
        <v>1</v>
      </c>
      <c r="J470" s="4">
        <v>13</v>
      </c>
      <c r="K470" s="4" t="b">
        <f>IF(Append1[[#This Row],[days]]="working day",FALSE,TRUE)</f>
        <v>0</v>
      </c>
      <c r="L470" s="4">
        <v>5</v>
      </c>
      <c r="M470" s="4">
        <v>1</v>
      </c>
      <c r="N470" s="6">
        <v>0.2</v>
      </c>
      <c r="O470" s="2" t="str">
        <f>IF(Append1[[#This Row],[weekday]]=0,"holiday",IF(AND(Append1[[#This Row],[weekday]]&gt;1,Append1[[#This Row],[weekday]]&lt;7),"working day","weekend"))</f>
        <v>working day</v>
      </c>
      <c r="P470" s="4" t="str">
        <f>IF(Append1[[#This Row],[weathersit]]=0,"sunny",IF(Append1[[#This Row],[weathersit]]=1,"mist",IF(Append1[[#This Row],[weathersit]]=2,"lightrain","extremerain")))</f>
        <v>mist</v>
      </c>
    </row>
    <row r="471" spans="1:16" x14ac:dyDescent="0.25">
      <c r="A471" s="4">
        <v>470</v>
      </c>
      <c r="B471" s="4">
        <v>0.1515</v>
      </c>
      <c r="C471" s="4">
        <v>0.25</v>
      </c>
      <c r="D471" s="4">
        <v>0.52239999999999998</v>
      </c>
      <c r="E471" s="4">
        <v>6</v>
      </c>
      <c r="F471" s="4">
        <v>56</v>
      </c>
      <c r="G471" s="4">
        <v>62</v>
      </c>
      <c r="H471" s="5">
        <v>40564</v>
      </c>
      <c r="I471" s="4">
        <v>1</v>
      </c>
      <c r="J471" s="4">
        <v>14</v>
      </c>
      <c r="K471" s="4" t="b">
        <f>IF(Append1[[#This Row],[days]]="working day",FALSE,TRUE)</f>
        <v>0</v>
      </c>
      <c r="L471" s="4">
        <v>5</v>
      </c>
      <c r="M471" s="4">
        <v>1</v>
      </c>
      <c r="N471" s="6">
        <v>0.2</v>
      </c>
      <c r="O471" s="2" t="str">
        <f>IF(Append1[[#This Row],[weekday]]=0,"holiday",IF(AND(Append1[[#This Row],[weekday]]&gt;1,Append1[[#This Row],[weekday]]&lt;7),"working day","weekend"))</f>
        <v>working day</v>
      </c>
      <c r="P471" s="4" t="str">
        <f>IF(Append1[[#This Row],[weathersit]]=0,"sunny",IF(Append1[[#This Row],[weathersit]]=1,"mist",IF(Append1[[#This Row],[weathersit]]=2,"lightrain","extremerain")))</f>
        <v>mist</v>
      </c>
    </row>
    <row r="472" spans="1:16" x14ac:dyDescent="0.25">
      <c r="A472" s="4">
        <v>471</v>
      </c>
      <c r="B472" s="4">
        <v>0.1212</v>
      </c>
      <c r="C472" s="4">
        <v>0.26</v>
      </c>
      <c r="D472" s="4">
        <v>0.44779999999999998</v>
      </c>
      <c r="E472" s="4">
        <v>4</v>
      </c>
      <c r="F472" s="4">
        <v>61</v>
      </c>
      <c r="G472" s="4">
        <v>65</v>
      </c>
      <c r="H472" s="5">
        <v>40564</v>
      </c>
      <c r="I472" s="4">
        <v>1</v>
      </c>
      <c r="J472" s="4">
        <v>15</v>
      </c>
      <c r="K472" s="4" t="b">
        <f>IF(Append1[[#This Row],[days]]="working day",FALSE,TRUE)</f>
        <v>0</v>
      </c>
      <c r="L472" s="4">
        <v>5</v>
      </c>
      <c r="M472" s="4">
        <v>1</v>
      </c>
      <c r="N472" s="6">
        <v>0.16</v>
      </c>
      <c r="O472" s="2" t="str">
        <f>IF(Append1[[#This Row],[weekday]]=0,"holiday",IF(AND(Append1[[#This Row],[weekday]]&gt;1,Append1[[#This Row],[weekday]]&lt;7),"working day","weekend"))</f>
        <v>working day</v>
      </c>
      <c r="P472" s="4" t="str">
        <f>IF(Append1[[#This Row],[weathersit]]=0,"sunny",IF(Append1[[#This Row],[weathersit]]=1,"mist",IF(Append1[[#This Row],[weathersit]]=2,"lightrain","extremerain")))</f>
        <v>mist</v>
      </c>
    </row>
    <row r="473" spans="1:16" x14ac:dyDescent="0.25">
      <c r="A473" s="4">
        <v>472</v>
      </c>
      <c r="B473" s="4">
        <v>0.13639999999999999</v>
      </c>
      <c r="C473" s="4">
        <v>0.26</v>
      </c>
      <c r="D473" s="4">
        <v>0.35820000000000002</v>
      </c>
      <c r="E473" s="4">
        <v>0</v>
      </c>
      <c r="F473" s="4">
        <v>97</v>
      </c>
      <c r="G473" s="4">
        <v>97</v>
      </c>
      <c r="H473" s="5">
        <v>40564</v>
      </c>
      <c r="I473" s="4">
        <v>1</v>
      </c>
      <c r="J473" s="4">
        <v>16</v>
      </c>
      <c r="K473" s="4" t="b">
        <f>IF(Append1[[#This Row],[days]]="working day",FALSE,TRUE)</f>
        <v>0</v>
      </c>
      <c r="L473" s="4">
        <v>5</v>
      </c>
      <c r="M473" s="4">
        <v>1</v>
      </c>
      <c r="N473" s="6">
        <v>0.16</v>
      </c>
      <c r="O473" s="2" t="str">
        <f>IF(Append1[[#This Row],[weekday]]=0,"holiday",IF(AND(Append1[[#This Row],[weekday]]&gt;1,Append1[[#This Row],[weekday]]&lt;7),"working day","weekend"))</f>
        <v>working day</v>
      </c>
      <c r="P473" s="4" t="str">
        <f>IF(Append1[[#This Row],[weathersit]]=0,"sunny",IF(Append1[[#This Row],[weathersit]]=1,"mist",IF(Append1[[#This Row],[weathersit]]=2,"lightrain","extremerain")))</f>
        <v>mist</v>
      </c>
    </row>
    <row r="474" spans="1:16" x14ac:dyDescent="0.25">
      <c r="A474" s="4">
        <v>473</v>
      </c>
      <c r="B474" s="4">
        <v>0.1212</v>
      </c>
      <c r="C474" s="4">
        <v>0.28000000000000003</v>
      </c>
      <c r="D474" s="4">
        <v>0.35820000000000002</v>
      </c>
      <c r="E474" s="4">
        <v>10</v>
      </c>
      <c r="F474" s="4">
        <v>151</v>
      </c>
      <c r="G474" s="4">
        <v>161</v>
      </c>
      <c r="H474" s="5">
        <v>40564</v>
      </c>
      <c r="I474" s="4">
        <v>1</v>
      </c>
      <c r="J474" s="4">
        <v>17</v>
      </c>
      <c r="K474" s="4" t="b">
        <f>IF(Append1[[#This Row],[days]]="working day",FALSE,TRUE)</f>
        <v>0</v>
      </c>
      <c r="L474" s="4">
        <v>5</v>
      </c>
      <c r="M474" s="4">
        <v>1</v>
      </c>
      <c r="N474" s="6">
        <v>0.14000000000000001</v>
      </c>
      <c r="O474" s="2" t="str">
        <f>IF(Append1[[#This Row],[weekday]]=0,"holiday",IF(AND(Append1[[#This Row],[weekday]]&gt;1,Append1[[#This Row],[weekday]]&lt;7),"working day","weekend"))</f>
        <v>working day</v>
      </c>
      <c r="P474" s="4" t="str">
        <f>IF(Append1[[#This Row],[weathersit]]=0,"sunny",IF(Append1[[#This Row],[weathersit]]=1,"mist",IF(Append1[[#This Row],[weathersit]]=2,"lightrain","extremerain")))</f>
        <v>mist</v>
      </c>
    </row>
    <row r="475" spans="1:16" x14ac:dyDescent="0.25">
      <c r="A475" s="4">
        <v>474</v>
      </c>
      <c r="B475" s="4">
        <v>0.1212</v>
      </c>
      <c r="C475" s="4">
        <v>0.3</v>
      </c>
      <c r="D475" s="4">
        <v>0.25369999999999998</v>
      </c>
      <c r="E475" s="4">
        <v>1</v>
      </c>
      <c r="F475" s="4">
        <v>119</v>
      </c>
      <c r="G475" s="4">
        <v>120</v>
      </c>
      <c r="H475" s="5">
        <v>40564</v>
      </c>
      <c r="I475" s="4">
        <v>1</v>
      </c>
      <c r="J475" s="4">
        <v>18</v>
      </c>
      <c r="K475" s="4" t="b">
        <f>IF(Append1[[#This Row],[days]]="working day",FALSE,TRUE)</f>
        <v>0</v>
      </c>
      <c r="L475" s="4">
        <v>5</v>
      </c>
      <c r="M475" s="4">
        <v>1</v>
      </c>
      <c r="N475" s="6">
        <v>0.12</v>
      </c>
      <c r="O475" s="2" t="str">
        <f>IF(Append1[[#This Row],[weekday]]=0,"holiday",IF(AND(Append1[[#This Row],[weekday]]&gt;1,Append1[[#This Row],[weekday]]&lt;7),"working day","weekend"))</f>
        <v>working day</v>
      </c>
      <c r="P475" s="4" t="str">
        <f>IF(Append1[[#This Row],[weathersit]]=0,"sunny",IF(Append1[[#This Row],[weathersit]]=1,"mist",IF(Append1[[#This Row],[weathersit]]=2,"lightrain","extremerain")))</f>
        <v>mist</v>
      </c>
    </row>
    <row r="476" spans="1:16" x14ac:dyDescent="0.25">
      <c r="A476" s="4">
        <v>475</v>
      </c>
      <c r="B476" s="4">
        <v>0.1061</v>
      </c>
      <c r="C476" s="4">
        <v>0.3</v>
      </c>
      <c r="D476" s="4">
        <v>0.32840000000000003</v>
      </c>
      <c r="E476" s="4">
        <v>3</v>
      </c>
      <c r="F476" s="4">
        <v>93</v>
      </c>
      <c r="G476" s="4">
        <v>96</v>
      </c>
      <c r="H476" s="5">
        <v>40564</v>
      </c>
      <c r="I476" s="4">
        <v>1</v>
      </c>
      <c r="J476" s="4">
        <v>19</v>
      </c>
      <c r="K476" s="4" t="b">
        <f>IF(Append1[[#This Row],[days]]="working day",FALSE,TRUE)</f>
        <v>0</v>
      </c>
      <c r="L476" s="4">
        <v>5</v>
      </c>
      <c r="M476" s="4">
        <v>1</v>
      </c>
      <c r="N476" s="6">
        <v>0.12</v>
      </c>
      <c r="O476" s="2" t="str">
        <f>IF(Append1[[#This Row],[weekday]]=0,"holiday",IF(AND(Append1[[#This Row],[weekday]]&gt;1,Append1[[#This Row],[weekday]]&lt;7),"working day","weekend"))</f>
        <v>working day</v>
      </c>
      <c r="P476" s="4" t="str">
        <f>IF(Append1[[#This Row],[weathersit]]=0,"sunny",IF(Append1[[#This Row],[weathersit]]=1,"mist",IF(Append1[[#This Row],[weathersit]]=2,"lightrain","extremerain")))</f>
        <v>mist</v>
      </c>
    </row>
    <row r="477" spans="1:16" x14ac:dyDescent="0.25">
      <c r="A477" s="4">
        <v>476</v>
      </c>
      <c r="B477" s="4">
        <v>7.5800000000000006E-2</v>
      </c>
      <c r="C477" s="4">
        <v>0.33</v>
      </c>
      <c r="D477" s="4">
        <v>0.41789999999999999</v>
      </c>
      <c r="E477" s="4">
        <v>1</v>
      </c>
      <c r="F477" s="4">
        <v>52</v>
      </c>
      <c r="G477" s="4">
        <v>53</v>
      </c>
      <c r="H477" s="5">
        <v>40564</v>
      </c>
      <c r="I477" s="4">
        <v>1</v>
      </c>
      <c r="J477" s="4">
        <v>20</v>
      </c>
      <c r="K477" s="4" t="b">
        <f>IF(Append1[[#This Row],[days]]="working day",FALSE,TRUE)</f>
        <v>0</v>
      </c>
      <c r="L477" s="4">
        <v>5</v>
      </c>
      <c r="M477" s="4">
        <v>1</v>
      </c>
      <c r="N477" s="6">
        <v>0.1</v>
      </c>
      <c r="O477" s="2" t="str">
        <f>IF(Append1[[#This Row],[weekday]]=0,"holiday",IF(AND(Append1[[#This Row],[weekday]]&gt;1,Append1[[#This Row],[weekday]]&lt;7),"working day","weekend"))</f>
        <v>working day</v>
      </c>
      <c r="P477" s="4" t="str">
        <f>IF(Append1[[#This Row],[weathersit]]=0,"sunny",IF(Append1[[#This Row],[weathersit]]=1,"mist",IF(Append1[[#This Row],[weathersit]]=2,"lightrain","extremerain")))</f>
        <v>mist</v>
      </c>
    </row>
    <row r="478" spans="1:16" x14ac:dyDescent="0.25">
      <c r="A478" s="4">
        <v>477</v>
      </c>
      <c r="B478" s="4">
        <v>7.5800000000000006E-2</v>
      </c>
      <c r="C478" s="4">
        <v>0.38</v>
      </c>
      <c r="D478" s="4">
        <v>0.28360000000000002</v>
      </c>
      <c r="E478" s="4">
        <v>0</v>
      </c>
      <c r="F478" s="4">
        <v>41</v>
      </c>
      <c r="G478" s="4">
        <v>41</v>
      </c>
      <c r="H478" s="5">
        <v>40564</v>
      </c>
      <c r="I478" s="4">
        <v>1</v>
      </c>
      <c r="J478" s="4">
        <v>21</v>
      </c>
      <c r="K478" s="4" t="b">
        <f>IF(Append1[[#This Row],[days]]="working day",FALSE,TRUE)</f>
        <v>0</v>
      </c>
      <c r="L478" s="4">
        <v>5</v>
      </c>
      <c r="M478" s="4">
        <v>1</v>
      </c>
      <c r="N478" s="6">
        <v>0.08</v>
      </c>
      <c r="O478" s="2" t="str">
        <f>IF(Append1[[#This Row],[weekday]]=0,"holiday",IF(AND(Append1[[#This Row],[weekday]]&gt;1,Append1[[#This Row],[weekday]]&lt;7),"working day","weekend"))</f>
        <v>working day</v>
      </c>
      <c r="P478" s="4" t="str">
        <f>IF(Append1[[#This Row],[weathersit]]=0,"sunny",IF(Append1[[#This Row],[weathersit]]=1,"mist",IF(Append1[[#This Row],[weathersit]]=2,"lightrain","extremerain")))</f>
        <v>mist</v>
      </c>
    </row>
    <row r="479" spans="1:16" x14ac:dyDescent="0.25">
      <c r="A479" s="4">
        <v>478</v>
      </c>
      <c r="B479" s="4">
        <v>3.0300000000000001E-2</v>
      </c>
      <c r="C479" s="4">
        <v>0.41</v>
      </c>
      <c r="D479" s="4">
        <v>0.3881</v>
      </c>
      <c r="E479" s="4">
        <v>1</v>
      </c>
      <c r="F479" s="4">
        <v>33</v>
      </c>
      <c r="G479" s="4">
        <v>34</v>
      </c>
      <c r="H479" s="5">
        <v>40564</v>
      </c>
      <c r="I479" s="4">
        <v>1</v>
      </c>
      <c r="J479" s="4">
        <v>22</v>
      </c>
      <c r="K479" s="4" t="b">
        <f>IF(Append1[[#This Row],[days]]="working day",FALSE,TRUE)</f>
        <v>0</v>
      </c>
      <c r="L479" s="4">
        <v>5</v>
      </c>
      <c r="M479" s="4">
        <v>1</v>
      </c>
      <c r="N479" s="6">
        <v>0.06</v>
      </c>
      <c r="O479" s="2" t="str">
        <f>IF(Append1[[#This Row],[weekday]]=0,"holiday",IF(AND(Append1[[#This Row],[weekday]]&gt;1,Append1[[#This Row],[weekday]]&lt;7),"working day","weekend"))</f>
        <v>working day</v>
      </c>
      <c r="P479" s="4" t="str">
        <f>IF(Append1[[#This Row],[weathersit]]=0,"sunny",IF(Append1[[#This Row],[weathersit]]=1,"mist",IF(Append1[[#This Row],[weathersit]]=2,"lightrain","extremerain")))</f>
        <v>mist</v>
      </c>
    </row>
    <row r="480" spans="1:16" x14ac:dyDescent="0.25">
      <c r="A480" s="4">
        <v>479</v>
      </c>
      <c r="B480" s="4">
        <v>4.5499999999999999E-2</v>
      </c>
      <c r="C480" s="4">
        <v>0.38</v>
      </c>
      <c r="D480" s="4">
        <v>0.32840000000000003</v>
      </c>
      <c r="E480" s="4">
        <v>0</v>
      </c>
      <c r="F480" s="4">
        <v>27</v>
      </c>
      <c r="G480" s="4">
        <v>27</v>
      </c>
      <c r="H480" s="5">
        <v>40564</v>
      </c>
      <c r="I480" s="4">
        <v>1</v>
      </c>
      <c r="J480" s="4">
        <v>23</v>
      </c>
      <c r="K480" s="4" t="b">
        <f>IF(Append1[[#This Row],[days]]="working day",FALSE,TRUE)</f>
        <v>0</v>
      </c>
      <c r="L480" s="4">
        <v>5</v>
      </c>
      <c r="M480" s="4">
        <v>1</v>
      </c>
      <c r="N480" s="6">
        <v>0.06</v>
      </c>
      <c r="O480" s="2" t="str">
        <f>IF(Append1[[#This Row],[weekday]]=0,"holiday",IF(AND(Append1[[#This Row],[weekday]]&gt;1,Append1[[#This Row],[weekday]]&lt;7),"working day","weekend"))</f>
        <v>working day</v>
      </c>
      <c r="P480" s="4" t="str">
        <f>IF(Append1[[#This Row],[weathersit]]=0,"sunny",IF(Append1[[#This Row],[weathersit]]=1,"mist",IF(Append1[[#This Row],[weathersit]]=2,"lightrain","extremerain")))</f>
        <v>mist</v>
      </c>
    </row>
    <row r="481" spans="1:16" x14ac:dyDescent="0.25">
      <c r="A481" s="4">
        <v>480</v>
      </c>
      <c r="B481" s="4">
        <v>3.0300000000000001E-2</v>
      </c>
      <c r="C481" s="4">
        <v>0.45</v>
      </c>
      <c r="D481" s="4">
        <v>0.25369999999999998</v>
      </c>
      <c r="E481" s="4">
        <v>0</v>
      </c>
      <c r="F481" s="4">
        <v>13</v>
      </c>
      <c r="G481" s="4">
        <v>13</v>
      </c>
      <c r="H481" s="5">
        <v>40565</v>
      </c>
      <c r="I481" s="4">
        <v>1</v>
      </c>
      <c r="J481" s="4">
        <v>0</v>
      </c>
      <c r="K481" s="4" t="b">
        <f>IF(Append1[[#This Row],[days]]="working day",FALSE,TRUE)</f>
        <v>0</v>
      </c>
      <c r="L481" s="4">
        <v>6</v>
      </c>
      <c r="M481" s="4">
        <v>1</v>
      </c>
      <c r="N481" s="6">
        <v>0.04</v>
      </c>
      <c r="O481" s="2" t="str">
        <f>IF(Append1[[#This Row],[weekday]]=0,"holiday",IF(AND(Append1[[#This Row],[weekday]]&gt;1,Append1[[#This Row],[weekday]]&lt;7),"working day","weekend"))</f>
        <v>working day</v>
      </c>
      <c r="P481" s="4" t="str">
        <f>IF(Append1[[#This Row],[weathersit]]=0,"sunny",IF(Append1[[#This Row],[weathersit]]=1,"mist",IF(Append1[[#This Row],[weathersit]]=2,"lightrain","extremerain")))</f>
        <v>mist</v>
      </c>
    </row>
    <row r="482" spans="1:16" x14ac:dyDescent="0.25">
      <c r="A482" s="4">
        <v>481</v>
      </c>
      <c r="B482" s="4">
        <v>0</v>
      </c>
      <c r="C482" s="4">
        <v>0.41</v>
      </c>
      <c r="D482" s="4">
        <v>0.3881</v>
      </c>
      <c r="E482" s="4">
        <v>3</v>
      </c>
      <c r="F482" s="4">
        <v>9</v>
      </c>
      <c r="G482" s="4">
        <v>12</v>
      </c>
      <c r="H482" s="5">
        <v>40565</v>
      </c>
      <c r="I482" s="4">
        <v>1</v>
      </c>
      <c r="J482" s="4">
        <v>1</v>
      </c>
      <c r="K482" s="4" t="b">
        <f>IF(Append1[[#This Row],[days]]="working day",FALSE,TRUE)</f>
        <v>0</v>
      </c>
      <c r="L482" s="4">
        <v>6</v>
      </c>
      <c r="M482" s="4">
        <v>2</v>
      </c>
      <c r="N482" s="6">
        <v>0.04</v>
      </c>
      <c r="O482" s="2" t="str">
        <f>IF(Append1[[#This Row],[weekday]]=0,"holiday",IF(AND(Append1[[#This Row],[weekday]]&gt;1,Append1[[#This Row],[weekday]]&lt;7),"working day","weekend"))</f>
        <v>working day</v>
      </c>
      <c r="P482" s="4" t="str">
        <f>IF(Append1[[#This Row],[weathersit]]=0,"sunny",IF(Append1[[#This Row],[weathersit]]=1,"mist",IF(Append1[[#This Row],[weathersit]]=2,"lightrain","extremerain")))</f>
        <v>lightrain</v>
      </c>
    </row>
    <row r="483" spans="1:16" x14ac:dyDescent="0.25">
      <c r="A483" s="4">
        <v>482</v>
      </c>
      <c r="B483" s="4">
        <v>3.0300000000000001E-2</v>
      </c>
      <c r="C483" s="4">
        <v>0.41</v>
      </c>
      <c r="D483" s="4">
        <v>0.25369999999999998</v>
      </c>
      <c r="E483" s="4">
        <v>0</v>
      </c>
      <c r="F483" s="4">
        <v>11</v>
      </c>
      <c r="G483" s="4">
        <v>11</v>
      </c>
      <c r="H483" s="5">
        <v>40565</v>
      </c>
      <c r="I483" s="4">
        <v>1</v>
      </c>
      <c r="J483" s="4">
        <v>2</v>
      </c>
      <c r="K483" s="4" t="b">
        <f>IF(Append1[[#This Row],[days]]="working day",FALSE,TRUE)</f>
        <v>0</v>
      </c>
      <c r="L483" s="4">
        <v>6</v>
      </c>
      <c r="M483" s="4">
        <v>2</v>
      </c>
      <c r="N483" s="6">
        <v>0.04</v>
      </c>
      <c r="O483" s="2" t="str">
        <f>IF(Append1[[#This Row],[weekday]]=0,"holiday",IF(AND(Append1[[#This Row],[weekday]]&gt;1,Append1[[#This Row],[weekday]]&lt;7),"working day","weekend"))</f>
        <v>working day</v>
      </c>
      <c r="P483" s="4" t="str">
        <f>IF(Append1[[#This Row],[weathersit]]=0,"sunny",IF(Append1[[#This Row],[weathersit]]=1,"mist",IF(Append1[[#This Row],[weathersit]]=2,"lightrain","extremerain")))</f>
        <v>lightrain</v>
      </c>
    </row>
    <row r="484" spans="1:16" x14ac:dyDescent="0.25">
      <c r="A484" s="4">
        <v>483</v>
      </c>
      <c r="B484" s="4">
        <v>3.0300000000000001E-2</v>
      </c>
      <c r="C484" s="4">
        <v>0.41</v>
      </c>
      <c r="D484" s="4">
        <v>0.28360000000000002</v>
      </c>
      <c r="E484" s="4">
        <v>1</v>
      </c>
      <c r="F484" s="4">
        <v>6</v>
      </c>
      <c r="G484" s="4">
        <v>7</v>
      </c>
      <c r="H484" s="5">
        <v>40565</v>
      </c>
      <c r="I484" s="4">
        <v>1</v>
      </c>
      <c r="J484" s="4">
        <v>3</v>
      </c>
      <c r="K484" s="4" t="b">
        <f>IF(Append1[[#This Row],[days]]="working day",FALSE,TRUE)</f>
        <v>0</v>
      </c>
      <c r="L484" s="4">
        <v>6</v>
      </c>
      <c r="M484" s="4">
        <v>2</v>
      </c>
      <c r="N484" s="6">
        <v>0.04</v>
      </c>
      <c r="O484" s="2" t="str">
        <f>IF(Append1[[#This Row],[weekday]]=0,"holiday",IF(AND(Append1[[#This Row],[weekday]]&gt;1,Append1[[#This Row],[weekday]]&lt;7),"working day","weekend"))</f>
        <v>working day</v>
      </c>
      <c r="P484" s="4" t="str">
        <f>IF(Append1[[#This Row],[weathersit]]=0,"sunny",IF(Append1[[#This Row],[weathersit]]=1,"mist",IF(Append1[[#This Row],[weathersit]]=2,"lightrain","extremerain")))</f>
        <v>lightrain</v>
      </c>
    </row>
    <row r="485" spans="1:16" x14ac:dyDescent="0.25">
      <c r="A485" s="4">
        <v>484</v>
      </c>
      <c r="B485" s="4">
        <v>1.52E-2</v>
      </c>
      <c r="C485" s="4">
        <v>0.48</v>
      </c>
      <c r="D485" s="4">
        <v>0.29849999999999999</v>
      </c>
      <c r="E485" s="4">
        <v>0</v>
      </c>
      <c r="F485" s="4">
        <v>3</v>
      </c>
      <c r="G485" s="4">
        <v>3</v>
      </c>
      <c r="H485" s="5">
        <v>40565</v>
      </c>
      <c r="I485" s="4">
        <v>1</v>
      </c>
      <c r="J485" s="4">
        <v>4</v>
      </c>
      <c r="K485" s="4" t="b">
        <f>IF(Append1[[#This Row],[days]]="working day",FALSE,TRUE)</f>
        <v>0</v>
      </c>
      <c r="L485" s="4">
        <v>6</v>
      </c>
      <c r="M485" s="4">
        <v>2</v>
      </c>
      <c r="N485" s="6">
        <v>0.02</v>
      </c>
      <c r="O485" s="2" t="str">
        <f>IF(Append1[[#This Row],[weekday]]=0,"holiday",IF(AND(Append1[[#This Row],[weekday]]&gt;1,Append1[[#This Row],[weekday]]&lt;7),"working day","weekend"))</f>
        <v>working day</v>
      </c>
      <c r="P485" s="4" t="str">
        <f>IF(Append1[[#This Row],[weathersit]]=0,"sunny",IF(Append1[[#This Row],[weathersit]]=1,"mist",IF(Append1[[#This Row],[weathersit]]=2,"lightrain","extremerain")))</f>
        <v>lightrain</v>
      </c>
    </row>
    <row r="486" spans="1:16" x14ac:dyDescent="0.25">
      <c r="A486" s="4">
        <v>485</v>
      </c>
      <c r="B486" s="4">
        <v>3.0300000000000001E-2</v>
      </c>
      <c r="C486" s="4">
        <v>0.44</v>
      </c>
      <c r="D486" s="4">
        <v>0.22389999999999999</v>
      </c>
      <c r="E486" s="4">
        <v>0</v>
      </c>
      <c r="F486" s="4">
        <v>2</v>
      </c>
      <c r="G486" s="4">
        <v>2</v>
      </c>
      <c r="H486" s="5">
        <v>40565</v>
      </c>
      <c r="I486" s="4">
        <v>1</v>
      </c>
      <c r="J486" s="4">
        <v>6</v>
      </c>
      <c r="K486" s="4" t="b">
        <f>IF(Append1[[#This Row],[days]]="working day",FALSE,TRUE)</f>
        <v>0</v>
      </c>
      <c r="L486" s="4">
        <v>6</v>
      </c>
      <c r="M486" s="4">
        <v>2</v>
      </c>
      <c r="N486" s="6">
        <v>0.02</v>
      </c>
      <c r="O486" s="2" t="str">
        <f>IF(Append1[[#This Row],[weekday]]=0,"holiday",IF(AND(Append1[[#This Row],[weekday]]&gt;1,Append1[[#This Row],[weekday]]&lt;7),"working day","weekend"))</f>
        <v>working day</v>
      </c>
      <c r="P486" s="4" t="str">
        <f>IF(Append1[[#This Row],[weathersit]]=0,"sunny",IF(Append1[[#This Row],[weathersit]]=1,"mist",IF(Append1[[#This Row],[weathersit]]=2,"lightrain","extremerain")))</f>
        <v>lightrain</v>
      </c>
    </row>
    <row r="487" spans="1:16" x14ac:dyDescent="0.25">
      <c r="A487" s="4">
        <v>486</v>
      </c>
      <c r="B487" s="4">
        <v>1.52E-2</v>
      </c>
      <c r="C487" s="4">
        <v>0.44</v>
      </c>
      <c r="D487" s="4">
        <v>0.28360000000000002</v>
      </c>
      <c r="E487" s="4">
        <v>0</v>
      </c>
      <c r="F487" s="4">
        <v>8</v>
      </c>
      <c r="G487" s="4">
        <v>8</v>
      </c>
      <c r="H487" s="5">
        <v>40565</v>
      </c>
      <c r="I487" s="4">
        <v>1</v>
      </c>
      <c r="J487" s="4">
        <v>7</v>
      </c>
      <c r="K487" s="4" t="b">
        <f>IF(Append1[[#This Row],[days]]="working day",FALSE,TRUE)</f>
        <v>0</v>
      </c>
      <c r="L487" s="4">
        <v>6</v>
      </c>
      <c r="M487" s="4">
        <v>1</v>
      </c>
      <c r="N487" s="6">
        <v>0.02</v>
      </c>
      <c r="O487" s="2" t="str">
        <f>IF(Append1[[#This Row],[weekday]]=0,"holiday",IF(AND(Append1[[#This Row],[weekday]]&gt;1,Append1[[#This Row],[weekday]]&lt;7),"working day","weekend"))</f>
        <v>working day</v>
      </c>
      <c r="P487" s="4" t="str">
        <f>IF(Append1[[#This Row],[weathersit]]=0,"sunny",IF(Append1[[#This Row],[weathersit]]=1,"mist",IF(Append1[[#This Row],[weathersit]]=2,"lightrain","extremerain")))</f>
        <v>mist</v>
      </c>
    </row>
    <row r="488" spans="1:16" x14ac:dyDescent="0.25">
      <c r="A488" s="4">
        <v>487</v>
      </c>
      <c r="B488" s="4">
        <v>0</v>
      </c>
      <c r="C488" s="4">
        <v>0.44</v>
      </c>
      <c r="D488" s="4">
        <v>0.32840000000000003</v>
      </c>
      <c r="E488" s="4">
        <v>1</v>
      </c>
      <c r="F488" s="4">
        <v>26</v>
      </c>
      <c r="G488" s="4">
        <v>27</v>
      </c>
      <c r="H488" s="5">
        <v>40565</v>
      </c>
      <c r="I488" s="4">
        <v>1</v>
      </c>
      <c r="J488" s="4">
        <v>8</v>
      </c>
      <c r="K488" s="4" t="b">
        <f>IF(Append1[[#This Row],[days]]="working day",FALSE,TRUE)</f>
        <v>0</v>
      </c>
      <c r="L488" s="4">
        <v>6</v>
      </c>
      <c r="M488" s="4">
        <v>1</v>
      </c>
      <c r="N488" s="6">
        <v>0.02</v>
      </c>
      <c r="O488" s="2" t="str">
        <f>IF(Append1[[#This Row],[weekday]]=0,"holiday",IF(AND(Append1[[#This Row],[weekday]]&gt;1,Append1[[#This Row],[weekday]]&lt;7),"working day","weekend"))</f>
        <v>working day</v>
      </c>
      <c r="P488" s="4" t="str">
        <f>IF(Append1[[#This Row],[weathersit]]=0,"sunny",IF(Append1[[#This Row],[weathersit]]=1,"mist",IF(Append1[[#This Row],[weathersit]]=2,"lightrain","extremerain")))</f>
        <v>mist</v>
      </c>
    </row>
    <row r="489" spans="1:16" x14ac:dyDescent="0.25">
      <c r="A489" s="4">
        <v>488</v>
      </c>
      <c r="B489" s="4">
        <v>3.0300000000000001E-2</v>
      </c>
      <c r="C489" s="4">
        <v>0.41</v>
      </c>
      <c r="D489" s="4">
        <v>0.25369999999999998</v>
      </c>
      <c r="E489" s="4">
        <v>3</v>
      </c>
      <c r="F489" s="4">
        <v>37</v>
      </c>
      <c r="G489" s="4">
        <v>40</v>
      </c>
      <c r="H489" s="5">
        <v>40565</v>
      </c>
      <c r="I489" s="4">
        <v>1</v>
      </c>
      <c r="J489" s="4">
        <v>9</v>
      </c>
      <c r="K489" s="4" t="b">
        <f>IF(Append1[[#This Row],[days]]="working day",FALSE,TRUE)</f>
        <v>0</v>
      </c>
      <c r="L489" s="4">
        <v>6</v>
      </c>
      <c r="M489" s="4">
        <v>1</v>
      </c>
      <c r="N489" s="6">
        <v>0.04</v>
      </c>
      <c r="O489" s="2" t="str">
        <f>IF(Append1[[#This Row],[weekday]]=0,"holiday",IF(AND(Append1[[#This Row],[weekday]]&gt;1,Append1[[#This Row],[weekday]]&lt;7),"working day","weekend"))</f>
        <v>working day</v>
      </c>
      <c r="P489" s="4" t="str">
        <f>IF(Append1[[#This Row],[weathersit]]=0,"sunny",IF(Append1[[#This Row],[weathersit]]=1,"mist",IF(Append1[[#This Row],[weathersit]]=2,"lightrain","extremerain")))</f>
        <v>mist</v>
      </c>
    </row>
    <row r="490" spans="1:16" x14ac:dyDescent="0.25">
      <c r="A490" s="4">
        <v>489</v>
      </c>
      <c r="B490" s="4">
        <v>6.0600000000000001E-2</v>
      </c>
      <c r="C490" s="4">
        <v>0.41</v>
      </c>
      <c r="D490" s="4">
        <v>0.16420000000000001</v>
      </c>
      <c r="E490" s="4">
        <v>3</v>
      </c>
      <c r="F490" s="4">
        <v>50</v>
      </c>
      <c r="G490" s="4">
        <v>53</v>
      </c>
      <c r="H490" s="5">
        <v>40565</v>
      </c>
      <c r="I490" s="4">
        <v>1</v>
      </c>
      <c r="J490" s="4">
        <v>10</v>
      </c>
      <c r="K490" s="4" t="b">
        <f>IF(Append1[[#This Row],[days]]="working day",FALSE,TRUE)</f>
        <v>0</v>
      </c>
      <c r="L490" s="4">
        <v>6</v>
      </c>
      <c r="M490" s="4">
        <v>2</v>
      </c>
      <c r="N490" s="6">
        <v>0.04</v>
      </c>
      <c r="O490" s="2" t="str">
        <f>IF(Append1[[#This Row],[weekday]]=0,"holiday",IF(AND(Append1[[#This Row],[weekday]]&gt;1,Append1[[#This Row],[weekday]]&lt;7),"working day","weekend"))</f>
        <v>working day</v>
      </c>
      <c r="P490" s="4" t="str">
        <f>IF(Append1[[#This Row],[weathersit]]=0,"sunny",IF(Append1[[#This Row],[weathersit]]=1,"mist",IF(Append1[[#This Row],[weathersit]]=2,"lightrain","extremerain")))</f>
        <v>lightrain</v>
      </c>
    </row>
    <row r="491" spans="1:16" x14ac:dyDescent="0.25">
      <c r="A491" s="4">
        <v>490</v>
      </c>
      <c r="B491" s="4">
        <v>7.5800000000000006E-2</v>
      </c>
      <c r="C491" s="4">
        <v>0.38</v>
      </c>
      <c r="D491" s="4">
        <v>0.1343</v>
      </c>
      <c r="E491" s="4">
        <v>4</v>
      </c>
      <c r="F491" s="4">
        <v>59</v>
      </c>
      <c r="G491" s="4">
        <v>63</v>
      </c>
      <c r="H491" s="5">
        <v>40565</v>
      </c>
      <c r="I491" s="4">
        <v>1</v>
      </c>
      <c r="J491" s="4">
        <v>11</v>
      </c>
      <c r="K491" s="4" t="b">
        <f>IF(Append1[[#This Row],[days]]="working day",FALSE,TRUE)</f>
        <v>0</v>
      </c>
      <c r="L491" s="4">
        <v>6</v>
      </c>
      <c r="M491" s="4">
        <v>2</v>
      </c>
      <c r="N491" s="6">
        <v>0.06</v>
      </c>
      <c r="O491" s="2" t="str">
        <f>IF(Append1[[#This Row],[weekday]]=0,"holiday",IF(AND(Append1[[#This Row],[weekday]]&gt;1,Append1[[#This Row],[weekday]]&lt;7),"working day","weekend"))</f>
        <v>working day</v>
      </c>
      <c r="P491" s="4" t="str">
        <f>IF(Append1[[#This Row],[weathersit]]=0,"sunny",IF(Append1[[#This Row],[weathersit]]=1,"mist",IF(Append1[[#This Row],[weathersit]]=2,"lightrain","extremerain")))</f>
        <v>lightrain</v>
      </c>
    </row>
    <row r="492" spans="1:16" x14ac:dyDescent="0.25">
      <c r="A492" s="4">
        <v>491</v>
      </c>
      <c r="B492" s="4">
        <v>0.1061</v>
      </c>
      <c r="C492" s="4">
        <v>0.38</v>
      </c>
      <c r="D492" s="4">
        <v>0.1045</v>
      </c>
      <c r="E492" s="4">
        <v>10</v>
      </c>
      <c r="F492" s="4">
        <v>60</v>
      </c>
      <c r="G492" s="4">
        <v>70</v>
      </c>
      <c r="H492" s="5">
        <v>40565</v>
      </c>
      <c r="I492" s="4">
        <v>1</v>
      </c>
      <c r="J492" s="4">
        <v>12</v>
      </c>
      <c r="K492" s="4" t="b">
        <f>IF(Append1[[#This Row],[days]]="working day",FALSE,TRUE)</f>
        <v>0</v>
      </c>
      <c r="L492" s="4">
        <v>6</v>
      </c>
      <c r="M492" s="4">
        <v>2</v>
      </c>
      <c r="N492" s="6">
        <v>0.06</v>
      </c>
      <c r="O492" s="2" t="str">
        <f>IF(Append1[[#This Row],[weekday]]=0,"holiday",IF(AND(Append1[[#This Row],[weekday]]&gt;1,Append1[[#This Row],[weekday]]&lt;7),"working day","weekend"))</f>
        <v>working day</v>
      </c>
      <c r="P492" s="4" t="str">
        <f>IF(Append1[[#This Row],[weathersit]]=0,"sunny",IF(Append1[[#This Row],[weathersit]]=1,"mist",IF(Append1[[#This Row],[weathersit]]=2,"lightrain","extremerain")))</f>
        <v>lightrain</v>
      </c>
    </row>
    <row r="493" spans="1:16" x14ac:dyDescent="0.25">
      <c r="A493" s="4">
        <v>492</v>
      </c>
      <c r="B493" s="4">
        <v>0.16669999999999999</v>
      </c>
      <c r="C493" s="4">
        <v>0.35</v>
      </c>
      <c r="D493" s="4">
        <v>0</v>
      </c>
      <c r="E493" s="4">
        <v>12</v>
      </c>
      <c r="F493" s="4">
        <v>72</v>
      </c>
      <c r="G493" s="4">
        <v>84</v>
      </c>
      <c r="H493" s="5">
        <v>40565</v>
      </c>
      <c r="I493" s="4">
        <v>1</v>
      </c>
      <c r="J493" s="4">
        <v>13</v>
      </c>
      <c r="K493" s="4" t="b">
        <f>IF(Append1[[#This Row],[days]]="working day",FALSE,TRUE)</f>
        <v>0</v>
      </c>
      <c r="L493" s="4">
        <v>6</v>
      </c>
      <c r="M493" s="4">
        <v>1</v>
      </c>
      <c r="N493" s="6">
        <v>0.08</v>
      </c>
      <c r="O493" s="2" t="str">
        <f>IF(Append1[[#This Row],[weekday]]=0,"holiday",IF(AND(Append1[[#This Row],[weekday]]&gt;1,Append1[[#This Row],[weekday]]&lt;7),"working day","weekend"))</f>
        <v>working day</v>
      </c>
      <c r="P493" s="4" t="str">
        <f>IF(Append1[[#This Row],[weathersit]]=0,"sunny",IF(Append1[[#This Row],[weathersit]]=1,"mist",IF(Append1[[#This Row],[weathersit]]=2,"lightrain","extremerain")))</f>
        <v>mist</v>
      </c>
    </row>
    <row r="494" spans="1:16" x14ac:dyDescent="0.25">
      <c r="A494" s="4">
        <v>493</v>
      </c>
      <c r="B494" s="4">
        <v>0.13639999999999999</v>
      </c>
      <c r="C494" s="4">
        <v>0.33</v>
      </c>
      <c r="D494" s="4">
        <v>0.1045</v>
      </c>
      <c r="E494" s="4">
        <v>11</v>
      </c>
      <c r="F494" s="4">
        <v>64</v>
      </c>
      <c r="G494" s="4">
        <v>75</v>
      </c>
      <c r="H494" s="5">
        <v>40565</v>
      </c>
      <c r="I494" s="4">
        <v>1</v>
      </c>
      <c r="J494" s="4">
        <v>14</v>
      </c>
      <c r="K494" s="4" t="b">
        <f>IF(Append1[[#This Row],[days]]="working day",FALSE,TRUE)</f>
        <v>0</v>
      </c>
      <c r="L494" s="4">
        <v>6</v>
      </c>
      <c r="M494" s="4">
        <v>1</v>
      </c>
      <c r="N494" s="6">
        <v>0.1</v>
      </c>
      <c r="O494" s="2" t="str">
        <f>IF(Append1[[#This Row],[weekday]]=0,"holiday",IF(AND(Append1[[#This Row],[weekday]]&gt;1,Append1[[#This Row],[weekday]]&lt;7),"working day","weekend"))</f>
        <v>working day</v>
      </c>
      <c r="P494" s="4" t="str">
        <f>IF(Append1[[#This Row],[weathersit]]=0,"sunny",IF(Append1[[#This Row],[weathersit]]=1,"mist",IF(Append1[[#This Row],[weathersit]]=2,"lightrain","extremerain")))</f>
        <v>mist</v>
      </c>
    </row>
    <row r="495" spans="1:16" x14ac:dyDescent="0.25">
      <c r="A495" s="4">
        <v>494</v>
      </c>
      <c r="B495" s="4">
        <v>0.1515</v>
      </c>
      <c r="C495" s="4">
        <v>0.28000000000000003</v>
      </c>
      <c r="D495" s="4">
        <v>0</v>
      </c>
      <c r="E495" s="4">
        <v>10</v>
      </c>
      <c r="F495" s="4">
        <v>93</v>
      </c>
      <c r="G495" s="4">
        <v>103</v>
      </c>
      <c r="H495" s="5">
        <v>40565</v>
      </c>
      <c r="I495" s="4">
        <v>1</v>
      </c>
      <c r="J495" s="4">
        <v>15</v>
      </c>
      <c r="K495" s="4" t="b">
        <f>IF(Append1[[#This Row],[days]]="working day",FALSE,TRUE)</f>
        <v>0</v>
      </c>
      <c r="L495" s="4">
        <v>6</v>
      </c>
      <c r="M495" s="4">
        <v>1</v>
      </c>
      <c r="N495" s="6">
        <v>0.12</v>
      </c>
      <c r="O495" s="2" t="str">
        <f>IF(Append1[[#This Row],[weekday]]=0,"holiday",IF(AND(Append1[[#This Row],[weekday]]&gt;1,Append1[[#This Row],[weekday]]&lt;7),"working day","weekend"))</f>
        <v>working day</v>
      </c>
      <c r="P495" s="4" t="str">
        <f>IF(Append1[[#This Row],[weathersit]]=0,"sunny",IF(Append1[[#This Row],[weathersit]]=1,"mist",IF(Append1[[#This Row],[weathersit]]=2,"lightrain","extremerain")))</f>
        <v>mist</v>
      </c>
    </row>
    <row r="496" spans="1:16" x14ac:dyDescent="0.25">
      <c r="A496" s="4">
        <v>495</v>
      </c>
      <c r="B496" s="4">
        <v>0.13639999999999999</v>
      </c>
      <c r="C496" s="4">
        <v>0.28000000000000003</v>
      </c>
      <c r="D496" s="4">
        <v>0.19400000000000001</v>
      </c>
      <c r="E496" s="4">
        <v>11</v>
      </c>
      <c r="F496" s="4">
        <v>72</v>
      </c>
      <c r="G496" s="4">
        <v>83</v>
      </c>
      <c r="H496" s="5">
        <v>40565</v>
      </c>
      <c r="I496" s="4">
        <v>1</v>
      </c>
      <c r="J496" s="4">
        <v>16</v>
      </c>
      <c r="K496" s="4" t="b">
        <f>IF(Append1[[#This Row],[days]]="working day",FALSE,TRUE)</f>
        <v>0</v>
      </c>
      <c r="L496" s="4">
        <v>6</v>
      </c>
      <c r="M496" s="4">
        <v>1</v>
      </c>
      <c r="N496" s="6">
        <v>0.12</v>
      </c>
      <c r="O496" s="2" t="str">
        <f>IF(Append1[[#This Row],[weekday]]=0,"holiday",IF(AND(Append1[[#This Row],[weekday]]&gt;1,Append1[[#This Row],[weekday]]&lt;7),"working day","weekend"))</f>
        <v>working day</v>
      </c>
      <c r="P496" s="4" t="str">
        <f>IF(Append1[[#This Row],[weathersit]]=0,"sunny",IF(Append1[[#This Row],[weathersit]]=1,"mist",IF(Append1[[#This Row],[weathersit]]=2,"lightrain","extremerain")))</f>
        <v>mist</v>
      </c>
    </row>
    <row r="497" spans="1:16" x14ac:dyDescent="0.25">
      <c r="A497" s="4">
        <v>496</v>
      </c>
      <c r="B497" s="4">
        <v>0.19700000000000001</v>
      </c>
      <c r="C497" s="4">
        <v>0.28000000000000003</v>
      </c>
      <c r="D497" s="4">
        <v>0</v>
      </c>
      <c r="E497" s="4">
        <v>8</v>
      </c>
      <c r="F497" s="4">
        <v>59</v>
      </c>
      <c r="G497" s="4">
        <v>67</v>
      </c>
      <c r="H497" s="5">
        <v>40565</v>
      </c>
      <c r="I497" s="4">
        <v>1</v>
      </c>
      <c r="J497" s="4">
        <v>17</v>
      </c>
      <c r="K497" s="4" t="b">
        <f>IF(Append1[[#This Row],[days]]="working day",FALSE,TRUE)</f>
        <v>0</v>
      </c>
      <c r="L497" s="4">
        <v>6</v>
      </c>
      <c r="M497" s="4">
        <v>1</v>
      </c>
      <c r="N497" s="6">
        <v>0.12</v>
      </c>
      <c r="O497" s="2" t="str">
        <f>IF(Append1[[#This Row],[weekday]]=0,"holiday",IF(AND(Append1[[#This Row],[weekday]]&gt;1,Append1[[#This Row],[weekday]]&lt;7),"working day","weekend"))</f>
        <v>working day</v>
      </c>
      <c r="P497" s="4" t="str">
        <f>IF(Append1[[#This Row],[weathersit]]=0,"sunny",IF(Append1[[#This Row],[weathersit]]=1,"mist",IF(Append1[[#This Row],[weathersit]]=2,"lightrain","extremerain")))</f>
        <v>mist</v>
      </c>
    </row>
    <row r="498" spans="1:16" x14ac:dyDescent="0.25">
      <c r="A498" s="4">
        <v>497</v>
      </c>
      <c r="B498" s="4">
        <v>9.0899999999999995E-2</v>
      </c>
      <c r="C498" s="4">
        <v>0.35</v>
      </c>
      <c r="D498" s="4">
        <v>0.19400000000000001</v>
      </c>
      <c r="E498" s="4">
        <v>0</v>
      </c>
      <c r="F498" s="4">
        <v>54</v>
      </c>
      <c r="G498" s="4">
        <v>54</v>
      </c>
      <c r="H498" s="5">
        <v>40565</v>
      </c>
      <c r="I498" s="4">
        <v>1</v>
      </c>
      <c r="J498" s="4">
        <v>18</v>
      </c>
      <c r="K498" s="4" t="b">
        <f>IF(Append1[[#This Row],[days]]="working day",FALSE,TRUE)</f>
        <v>0</v>
      </c>
      <c r="L498" s="4">
        <v>6</v>
      </c>
      <c r="M498" s="4">
        <v>1</v>
      </c>
      <c r="N498" s="6">
        <v>0.08</v>
      </c>
      <c r="O498" s="2" t="str">
        <f>IF(Append1[[#This Row],[weekday]]=0,"holiday",IF(AND(Append1[[#This Row],[weekday]]&gt;1,Append1[[#This Row],[weekday]]&lt;7),"working day","weekend"))</f>
        <v>working day</v>
      </c>
      <c r="P498" s="4" t="str">
        <f>IF(Append1[[#This Row],[weathersit]]=0,"sunny",IF(Append1[[#This Row],[weathersit]]=1,"mist",IF(Append1[[#This Row],[weathersit]]=2,"lightrain","extremerain")))</f>
        <v>mist</v>
      </c>
    </row>
    <row r="499" spans="1:16" x14ac:dyDescent="0.25">
      <c r="A499" s="4">
        <v>498</v>
      </c>
      <c r="B499" s="4">
        <v>0.1061</v>
      </c>
      <c r="C499" s="4">
        <v>0.35</v>
      </c>
      <c r="D499" s="4">
        <v>0.1343</v>
      </c>
      <c r="E499" s="4">
        <v>6</v>
      </c>
      <c r="F499" s="4">
        <v>53</v>
      </c>
      <c r="G499" s="4">
        <v>59</v>
      </c>
      <c r="H499" s="5">
        <v>40565</v>
      </c>
      <c r="I499" s="4">
        <v>1</v>
      </c>
      <c r="J499" s="4">
        <v>19</v>
      </c>
      <c r="K499" s="4" t="b">
        <f>IF(Append1[[#This Row],[days]]="working day",FALSE,TRUE)</f>
        <v>0</v>
      </c>
      <c r="L499" s="4">
        <v>6</v>
      </c>
      <c r="M499" s="4">
        <v>1</v>
      </c>
      <c r="N499" s="6">
        <v>0.08</v>
      </c>
      <c r="O499" s="2" t="str">
        <f>IF(Append1[[#This Row],[weekday]]=0,"holiday",IF(AND(Append1[[#This Row],[weekday]]&gt;1,Append1[[#This Row],[weekday]]&lt;7),"working day","weekend"))</f>
        <v>working day</v>
      </c>
      <c r="P499" s="4" t="str">
        <f>IF(Append1[[#This Row],[weathersit]]=0,"sunny",IF(Append1[[#This Row],[weathersit]]=1,"mist",IF(Append1[[#This Row],[weathersit]]=2,"lightrain","extremerain")))</f>
        <v>mist</v>
      </c>
    </row>
    <row r="500" spans="1:16" x14ac:dyDescent="0.25">
      <c r="A500" s="4">
        <v>499</v>
      </c>
      <c r="B500" s="4">
        <v>7.5800000000000006E-2</v>
      </c>
      <c r="C500" s="4">
        <v>0.45</v>
      </c>
      <c r="D500" s="4">
        <v>0.16420000000000001</v>
      </c>
      <c r="E500" s="4">
        <v>1</v>
      </c>
      <c r="F500" s="4">
        <v>44</v>
      </c>
      <c r="G500" s="4">
        <v>45</v>
      </c>
      <c r="H500" s="5">
        <v>40565</v>
      </c>
      <c r="I500" s="4">
        <v>1</v>
      </c>
      <c r="J500" s="4">
        <v>20</v>
      </c>
      <c r="K500" s="4" t="b">
        <f>IF(Append1[[#This Row],[days]]="working day",FALSE,TRUE)</f>
        <v>0</v>
      </c>
      <c r="L500" s="4">
        <v>6</v>
      </c>
      <c r="M500" s="4">
        <v>1</v>
      </c>
      <c r="N500" s="6">
        <v>0.06</v>
      </c>
      <c r="O500" s="2" t="str">
        <f>IF(Append1[[#This Row],[weekday]]=0,"holiday",IF(AND(Append1[[#This Row],[weekday]]&gt;1,Append1[[#This Row],[weekday]]&lt;7),"working day","weekend"))</f>
        <v>working day</v>
      </c>
      <c r="P500" s="4" t="str">
        <f>IF(Append1[[#This Row],[weathersit]]=0,"sunny",IF(Append1[[#This Row],[weathersit]]=1,"mist",IF(Append1[[#This Row],[weathersit]]=2,"lightrain","extremerain")))</f>
        <v>mist</v>
      </c>
    </row>
    <row r="501" spans="1:16" x14ac:dyDescent="0.25">
      <c r="A501" s="4">
        <v>500</v>
      </c>
      <c r="B501" s="4">
        <v>0.1061</v>
      </c>
      <c r="C501" s="4">
        <v>0.41</v>
      </c>
      <c r="D501" s="4">
        <v>8.9599999999999999E-2</v>
      </c>
      <c r="E501" s="4">
        <v>0</v>
      </c>
      <c r="F501" s="4">
        <v>39</v>
      </c>
      <c r="G501" s="4">
        <v>39</v>
      </c>
      <c r="H501" s="5">
        <v>40565</v>
      </c>
      <c r="I501" s="4">
        <v>1</v>
      </c>
      <c r="J501" s="4">
        <v>21</v>
      </c>
      <c r="K501" s="4" t="b">
        <f>IF(Append1[[#This Row],[days]]="working day",FALSE,TRUE)</f>
        <v>0</v>
      </c>
      <c r="L501" s="4">
        <v>6</v>
      </c>
      <c r="M501" s="4">
        <v>1</v>
      </c>
      <c r="N501" s="6">
        <v>0.06</v>
      </c>
      <c r="O501" s="2" t="str">
        <f>IF(Append1[[#This Row],[weekday]]=0,"holiday",IF(AND(Append1[[#This Row],[weekday]]&gt;1,Append1[[#This Row],[weekday]]&lt;7),"working day","weekend"))</f>
        <v>working day</v>
      </c>
      <c r="P501" s="4" t="str">
        <f>IF(Append1[[#This Row],[weathersit]]=0,"sunny",IF(Append1[[#This Row],[weathersit]]=1,"mist",IF(Append1[[#This Row],[weathersit]]=2,"lightrain","extremerain")))</f>
        <v>mist</v>
      </c>
    </row>
    <row r="502" spans="1:16" x14ac:dyDescent="0.25">
      <c r="A502" s="4">
        <v>501</v>
      </c>
      <c r="B502" s="4">
        <v>0.1515</v>
      </c>
      <c r="C502" s="4">
        <v>0.49</v>
      </c>
      <c r="D502" s="4">
        <v>0</v>
      </c>
      <c r="E502" s="4">
        <v>7</v>
      </c>
      <c r="F502" s="4">
        <v>23</v>
      </c>
      <c r="G502" s="4">
        <v>30</v>
      </c>
      <c r="H502" s="5">
        <v>40565</v>
      </c>
      <c r="I502" s="4">
        <v>1</v>
      </c>
      <c r="J502" s="4">
        <v>22</v>
      </c>
      <c r="K502" s="4" t="b">
        <f>IF(Append1[[#This Row],[days]]="working day",FALSE,TRUE)</f>
        <v>0</v>
      </c>
      <c r="L502" s="4">
        <v>6</v>
      </c>
      <c r="M502" s="4">
        <v>1</v>
      </c>
      <c r="N502" s="6">
        <v>0.06</v>
      </c>
      <c r="O502" s="2" t="str">
        <f>IF(Append1[[#This Row],[weekday]]=0,"holiday",IF(AND(Append1[[#This Row],[weekday]]&gt;1,Append1[[#This Row],[weekday]]&lt;7),"working day","weekend"))</f>
        <v>working day</v>
      </c>
      <c r="P502" s="4" t="str">
        <f>IF(Append1[[#This Row],[weathersit]]=0,"sunny",IF(Append1[[#This Row],[weathersit]]=1,"mist",IF(Append1[[#This Row],[weathersit]]=2,"lightrain","extremerain")))</f>
        <v>mist</v>
      </c>
    </row>
    <row r="503" spans="1:16" x14ac:dyDescent="0.25">
      <c r="A503" s="4">
        <v>502</v>
      </c>
      <c r="B503" s="4">
        <v>7.5800000000000006E-2</v>
      </c>
      <c r="C503" s="4">
        <v>0.56999999999999995</v>
      </c>
      <c r="D503" s="4">
        <v>0.1045</v>
      </c>
      <c r="E503" s="4">
        <v>2</v>
      </c>
      <c r="F503" s="4">
        <v>31</v>
      </c>
      <c r="G503" s="4">
        <v>33</v>
      </c>
      <c r="H503" s="5">
        <v>40565</v>
      </c>
      <c r="I503" s="4">
        <v>1</v>
      </c>
      <c r="J503" s="4">
        <v>23</v>
      </c>
      <c r="K503" s="4" t="b">
        <f>IF(Append1[[#This Row],[days]]="working day",FALSE,TRUE)</f>
        <v>0</v>
      </c>
      <c r="L503" s="4">
        <v>6</v>
      </c>
      <c r="M503" s="4">
        <v>1</v>
      </c>
      <c r="N503" s="6">
        <v>0.04</v>
      </c>
      <c r="O503" s="2" t="str">
        <f>IF(Append1[[#This Row],[weekday]]=0,"holiday",IF(AND(Append1[[#This Row],[weekday]]&gt;1,Append1[[#This Row],[weekday]]&lt;7),"working day","weekend"))</f>
        <v>working day</v>
      </c>
      <c r="P503" s="4" t="str">
        <f>IF(Append1[[#This Row],[weathersit]]=0,"sunny",IF(Append1[[#This Row],[weathersit]]=1,"mist",IF(Append1[[#This Row],[weathersit]]=2,"lightrain","extremerain")))</f>
        <v>mist</v>
      </c>
    </row>
    <row r="504" spans="1:16" x14ac:dyDescent="0.25">
      <c r="A504" s="4">
        <v>503</v>
      </c>
      <c r="B504" s="4">
        <v>7.5800000000000006E-2</v>
      </c>
      <c r="C504" s="4">
        <v>0.56999999999999995</v>
      </c>
      <c r="D504" s="4">
        <v>0.1045</v>
      </c>
      <c r="E504" s="4">
        <v>2</v>
      </c>
      <c r="F504" s="4">
        <v>20</v>
      </c>
      <c r="G504" s="4">
        <v>22</v>
      </c>
      <c r="H504" s="5">
        <v>40566</v>
      </c>
      <c r="I504" s="4">
        <v>1</v>
      </c>
      <c r="J504" s="4">
        <v>0</v>
      </c>
      <c r="K504" s="4" t="b">
        <f>IF(Append1[[#This Row],[days]]="working day",FALSE,TRUE)</f>
        <v>1</v>
      </c>
      <c r="L504" s="4">
        <v>0</v>
      </c>
      <c r="M504" s="4">
        <v>1</v>
      </c>
      <c r="N504" s="6">
        <v>0.04</v>
      </c>
      <c r="O504" s="2" t="str">
        <f>IF(Append1[[#This Row],[weekday]]=0,"holiday",IF(AND(Append1[[#This Row],[weekday]]&gt;1,Append1[[#This Row],[weekday]]&lt;7),"working day","weekend"))</f>
        <v>holiday</v>
      </c>
      <c r="P504" s="4" t="str">
        <f>IF(Append1[[#This Row],[weathersit]]=0,"sunny",IF(Append1[[#This Row],[weathersit]]=1,"mist",IF(Append1[[#This Row],[weathersit]]=2,"lightrain","extremerain")))</f>
        <v>mist</v>
      </c>
    </row>
    <row r="505" spans="1:16" x14ac:dyDescent="0.25">
      <c r="A505" s="4">
        <v>504</v>
      </c>
      <c r="B505" s="4">
        <v>7.5800000000000006E-2</v>
      </c>
      <c r="C505" s="4">
        <v>0.56999999999999995</v>
      </c>
      <c r="D505" s="4">
        <v>0.1045</v>
      </c>
      <c r="E505" s="4">
        <v>1</v>
      </c>
      <c r="F505" s="4">
        <v>12</v>
      </c>
      <c r="G505" s="4">
        <v>13</v>
      </c>
      <c r="H505" s="5">
        <v>40566</v>
      </c>
      <c r="I505" s="4">
        <v>1</v>
      </c>
      <c r="J505" s="4">
        <v>1</v>
      </c>
      <c r="K505" s="4" t="b">
        <f>IF(Append1[[#This Row],[days]]="working day",FALSE,TRUE)</f>
        <v>1</v>
      </c>
      <c r="L505" s="4">
        <v>0</v>
      </c>
      <c r="M505" s="4">
        <v>1</v>
      </c>
      <c r="N505" s="6">
        <v>0.04</v>
      </c>
      <c r="O505" s="2" t="str">
        <f>IF(Append1[[#This Row],[weekday]]=0,"holiday",IF(AND(Append1[[#This Row],[weekday]]&gt;1,Append1[[#This Row],[weekday]]&lt;7),"working day","weekend"))</f>
        <v>holiday</v>
      </c>
      <c r="P505" s="4" t="str">
        <f>IF(Append1[[#This Row],[weathersit]]=0,"sunny",IF(Append1[[#This Row],[weathersit]]=1,"mist",IF(Append1[[#This Row],[weathersit]]=2,"lightrain","extremerain")))</f>
        <v>mist</v>
      </c>
    </row>
    <row r="506" spans="1:16" x14ac:dyDescent="0.25">
      <c r="A506" s="4">
        <v>505</v>
      </c>
      <c r="B506" s="4">
        <v>6.0600000000000001E-2</v>
      </c>
      <c r="C506" s="4">
        <v>0.62</v>
      </c>
      <c r="D506" s="4">
        <v>0.1343</v>
      </c>
      <c r="E506" s="4">
        <v>3</v>
      </c>
      <c r="F506" s="4">
        <v>15</v>
      </c>
      <c r="G506" s="4">
        <v>18</v>
      </c>
      <c r="H506" s="5">
        <v>40566</v>
      </c>
      <c r="I506" s="4">
        <v>1</v>
      </c>
      <c r="J506" s="4">
        <v>2</v>
      </c>
      <c r="K506" s="4" t="b">
        <f>IF(Append1[[#This Row],[days]]="working day",FALSE,TRUE)</f>
        <v>1</v>
      </c>
      <c r="L506" s="4">
        <v>0</v>
      </c>
      <c r="M506" s="4">
        <v>1</v>
      </c>
      <c r="N506" s="6">
        <v>0.02</v>
      </c>
      <c r="O506" s="2" t="str">
        <f>IF(Append1[[#This Row],[weekday]]=0,"holiday",IF(AND(Append1[[#This Row],[weekday]]&gt;1,Append1[[#This Row],[weekday]]&lt;7),"working day","weekend"))</f>
        <v>holiday</v>
      </c>
      <c r="P506" s="4" t="str">
        <f>IF(Append1[[#This Row],[weathersit]]=0,"sunny",IF(Append1[[#This Row],[weathersit]]=1,"mist",IF(Append1[[#This Row],[weathersit]]=2,"lightrain","extremerain")))</f>
        <v>mist</v>
      </c>
    </row>
    <row r="507" spans="1:16" x14ac:dyDescent="0.25">
      <c r="A507" s="4">
        <v>506</v>
      </c>
      <c r="B507" s="4">
        <v>6.0600000000000001E-2</v>
      </c>
      <c r="C507" s="4">
        <v>0.62</v>
      </c>
      <c r="D507" s="4">
        <v>0.1343</v>
      </c>
      <c r="E507" s="4">
        <v>1</v>
      </c>
      <c r="F507" s="4">
        <v>4</v>
      </c>
      <c r="G507" s="4">
        <v>5</v>
      </c>
      <c r="H507" s="5">
        <v>40566</v>
      </c>
      <c r="I507" s="4">
        <v>1</v>
      </c>
      <c r="J507" s="4">
        <v>3</v>
      </c>
      <c r="K507" s="4" t="b">
        <f>IF(Append1[[#This Row],[days]]="working day",FALSE,TRUE)</f>
        <v>1</v>
      </c>
      <c r="L507" s="4">
        <v>0</v>
      </c>
      <c r="M507" s="4">
        <v>1</v>
      </c>
      <c r="N507" s="6">
        <v>0.02</v>
      </c>
      <c r="O507" s="2" t="str">
        <f>IF(Append1[[#This Row],[weekday]]=0,"holiday",IF(AND(Append1[[#This Row],[weekday]]&gt;1,Append1[[#This Row],[weekday]]&lt;7),"working day","weekend"))</f>
        <v>holiday</v>
      </c>
      <c r="P507" s="4" t="str">
        <f>IF(Append1[[#This Row],[weathersit]]=0,"sunny",IF(Append1[[#This Row],[weathersit]]=1,"mist",IF(Append1[[#This Row],[weathersit]]=2,"lightrain","extremerain")))</f>
        <v>mist</v>
      </c>
    </row>
    <row r="508" spans="1:16" x14ac:dyDescent="0.25">
      <c r="A508" s="4">
        <v>507</v>
      </c>
      <c r="B508" s="4">
        <v>7.5800000000000006E-2</v>
      </c>
      <c r="C508" s="4">
        <v>0.56999999999999995</v>
      </c>
      <c r="D508" s="4">
        <v>0.1045</v>
      </c>
      <c r="E508" s="4">
        <v>0</v>
      </c>
      <c r="F508" s="4">
        <v>3</v>
      </c>
      <c r="G508" s="4">
        <v>3</v>
      </c>
      <c r="H508" s="5">
        <v>40566</v>
      </c>
      <c r="I508" s="4">
        <v>1</v>
      </c>
      <c r="J508" s="4">
        <v>5</v>
      </c>
      <c r="K508" s="4" t="b">
        <f>IF(Append1[[#This Row],[days]]="working day",FALSE,TRUE)</f>
        <v>1</v>
      </c>
      <c r="L508" s="4">
        <v>0</v>
      </c>
      <c r="M508" s="4">
        <v>2</v>
      </c>
      <c r="N508" s="6">
        <v>0.04</v>
      </c>
      <c r="O508" s="2" t="str">
        <f>IF(Append1[[#This Row],[weekday]]=0,"holiday",IF(AND(Append1[[#This Row],[weekday]]&gt;1,Append1[[#This Row],[weekday]]&lt;7),"working day","weekend"))</f>
        <v>holiday</v>
      </c>
      <c r="P508" s="4" t="str">
        <f>IF(Append1[[#This Row],[weathersit]]=0,"sunny",IF(Append1[[#This Row],[weathersit]]=1,"mist",IF(Append1[[#This Row],[weathersit]]=2,"lightrain","extremerain")))</f>
        <v>lightrain</v>
      </c>
    </row>
    <row r="509" spans="1:16" x14ac:dyDescent="0.25">
      <c r="A509" s="4">
        <v>508</v>
      </c>
      <c r="B509" s="4">
        <v>7.5800000000000006E-2</v>
      </c>
      <c r="C509" s="4">
        <v>0.56999999999999995</v>
      </c>
      <c r="D509" s="4">
        <v>0.1045</v>
      </c>
      <c r="E509" s="4">
        <v>0</v>
      </c>
      <c r="F509" s="4">
        <v>1</v>
      </c>
      <c r="G509" s="4">
        <v>1</v>
      </c>
      <c r="H509" s="5">
        <v>40566</v>
      </c>
      <c r="I509" s="4">
        <v>1</v>
      </c>
      <c r="J509" s="4">
        <v>6</v>
      </c>
      <c r="K509" s="4" t="b">
        <f>IF(Append1[[#This Row],[days]]="working day",FALSE,TRUE)</f>
        <v>1</v>
      </c>
      <c r="L509" s="4">
        <v>0</v>
      </c>
      <c r="M509" s="4">
        <v>2</v>
      </c>
      <c r="N509" s="6">
        <v>0.04</v>
      </c>
      <c r="O509" s="2" t="str">
        <f>IF(Append1[[#This Row],[weekday]]=0,"holiday",IF(AND(Append1[[#This Row],[weekday]]&gt;1,Append1[[#This Row],[weekday]]&lt;7),"working day","weekend"))</f>
        <v>holiday</v>
      </c>
      <c r="P509" s="4" t="str">
        <f>IF(Append1[[#This Row],[weathersit]]=0,"sunny",IF(Append1[[#This Row],[weathersit]]=1,"mist",IF(Append1[[#This Row],[weathersit]]=2,"lightrain","extremerain")))</f>
        <v>lightrain</v>
      </c>
    </row>
    <row r="510" spans="1:16" x14ac:dyDescent="0.25">
      <c r="A510" s="4">
        <v>509</v>
      </c>
      <c r="B510" s="4">
        <v>0.1061</v>
      </c>
      <c r="C510" s="4">
        <v>0.57999999999999996</v>
      </c>
      <c r="D510" s="4">
        <v>0.16420000000000001</v>
      </c>
      <c r="E510" s="4">
        <v>1</v>
      </c>
      <c r="F510" s="4">
        <v>1</v>
      </c>
      <c r="G510" s="4">
        <v>2</v>
      </c>
      <c r="H510" s="5">
        <v>40566</v>
      </c>
      <c r="I510" s="4">
        <v>1</v>
      </c>
      <c r="J510" s="4">
        <v>7</v>
      </c>
      <c r="K510" s="4" t="b">
        <f>IF(Append1[[#This Row],[days]]="working day",FALSE,TRUE)</f>
        <v>1</v>
      </c>
      <c r="L510" s="4">
        <v>0</v>
      </c>
      <c r="M510" s="4">
        <v>1</v>
      </c>
      <c r="N510" s="6">
        <v>0.08</v>
      </c>
      <c r="O510" s="2" t="str">
        <f>IF(Append1[[#This Row],[weekday]]=0,"holiday",IF(AND(Append1[[#This Row],[weekday]]&gt;1,Append1[[#This Row],[weekday]]&lt;7),"working day","weekend"))</f>
        <v>holiday</v>
      </c>
      <c r="P510" s="4" t="str">
        <f>IF(Append1[[#This Row],[weathersit]]=0,"sunny",IF(Append1[[#This Row],[weathersit]]=1,"mist",IF(Append1[[#This Row],[weathersit]]=2,"lightrain","extremerain")))</f>
        <v>mist</v>
      </c>
    </row>
    <row r="511" spans="1:16" x14ac:dyDescent="0.25">
      <c r="A511" s="4">
        <v>510</v>
      </c>
      <c r="B511" s="4">
        <v>7.5800000000000006E-2</v>
      </c>
      <c r="C511" s="4">
        <v>0.62</v>
      </c>
      <c r="D511" s="4">
        <v>0.16420000000000001</v>
      </c>
      <c r="E511" s="4">
        <v>2</v>
      </c>
      <c r="F511" s="4">
        <v>17</v>
      </c>
      <c r="G511" s="4">
        <v>19</v>
      </c>
      <c r="H511" s="5">
        <v>40566</v>
      </c>
      <c r="I511" s="4">
        <v>1</v>
      </c>
      <c r="J511" s="4">
        <v>8</v>
      </c>
      <c r="K511" s="4" t="b">
        <f>IF(Append1[[#This Row],[days]]="working day",FALSE,TRUE)</f>
        <v>1</v>
      </c>
      <c r="L511" s="4">
        <v>0</v>
      </c>
      <c r="M511" s="4">
        <v>1</v>
      </c>
      <c r="N511" s="6">
        <v>0.06</v>
      </c>
      <c r="O511" s="2" t="str">
        <f>IF(Append1[[#This Row],[weekday]]=0,"holiday",IF(AND(Append1[[#This Row],[weekday]]&gt;1,Append1[[#This Row],[weekday]]&lt;7),"working day","weekend"))</f>
        <v>holiday</v>
      </c>
      <c r="P511" s="4" t="str">
        <f>IF(Append1[[#This Row],[weathersit]]=0,"sunny",IF(Append1[[#This Row],[weathersit]]=1,"mist",IF(Append1[[#This Row],[weathersit]]=2,"lightrain","extremerain")))</f>
        <v>mist</v>
      </c>
    </row>
    <row r="512" spans="1:16" x14ac:dyDescent="0.25">
      <c r="A512" s="4">
        <v>511</v>
      </c>
      <c r="B512" s="4">
        <v>7.5800000000000006E-2</v>
      </c>
      <c r="C512" s="4">
        <v>0.54</v>
      </c>
      <c r="D512" s="4">
        <v>0.35820000000000002</v>
      </c>
      <c r="E512" s="4">
        <v>3</v>
      </c>
      <c r="F512" s="4">
        <v>25</v>
      </c>
      <c r="G512" s="4">
        <v>28</v>
      </c>
      <c r="H512" s="5">
        <v>40566</v>
      </c>
      <c r="I512" s="4">
        <v>1</v>
      </c>
      <c r="J512" s="4">
        <v>9</v>
      </c>
      <c r="K512" s="4" t="b">
        <f>IF(Append1[[#This Row],[days]]="working day",FALSE,TRUE)</f>
        <v>1</v>
      </c>
      <c r="L512" s="4">
        <v>0</v>
      </c>
      <c r="M512" s="4">
        <v>1</v>
      </c>
      <c r="N512" s="6">
        <v>0.1</v>
      </c>
      <c r="O512" s="2" t="str">
        <f>IF(Append1[[#This Row],[weekday]]=0,"holiday",IF(AND(Append1[[#This Row],[weekday]]&gt;1,Append1[[#This Row],[weekday]]&lt;7),"working day","weekend"))</f>
        <v>holiday</v>
      </c>
      <c r="P512" s="4" t="str">
        <f>IF(Append1[[#This Row],[weathersit]]=0,"sunny",IF(Append1[[#This Row],[weathersit]]=1,"mist",IF(Append1[[#This Row],[weathersit]]=2,"lightrain","extremerain")))</f>
        <v>mist</v>
      </c>
    </row>
    <row r="513" spans="1:16" x14ac:dyDescent="0.25">
      <c r="A513" s="4">
        <v>512</v>
      </c>
      <c r="B513" s="4">
        <v>0.1061</v>
      </c>
      <c r="C513" s="4">
        <v>0.46</v>
      </c>
      <c r="D513" s="4">
        <v>0.3881</v>
      </c>
      <c r="E513" s="4">
        <v>7</v>
      </c>
      <c r="F513" s="4">
        <v>51</v>
      </c>
      <c r="G513" s="4">
        <v>58</v>
      </c>
      <c r="H513" s="5">
        <v>40566</v>
      </c>
      <c r="I513" s="4">
        <v>1</v>
      </c>
      <c r="J513" s="4">
        <v>10</v>
      </c>
      <c r="K513" s="4" t="b">
        <f>IF(Append1[[#This Row],[days]]="working day",FALSE,TRUE)</f>
        <v>1</v>
      </c>
      <c r="L513" s="4">
        <v>0</v>
      </c>
      <c r="M513" s="4">
        <v>1</v>
      </c>
      <c r="N513" s="6">
        <v>0.14000000000000001</v>
      </c>
      <c r="O513" s="2" t="str">
        <f>IF(Append1[[#This Row],[weekday]]=0,"holiday",IF(AND(Append1[[#This Row],[weekday]]&gt;1,Append1[[#This Row],[weekday]]&lt;7),"working day","weekend"))</f>
        <v>holiday</v>
      </c>
      <c r="P513" s="4" t="str">
        <f>IF(Append1[[#This Row],[weathersit]]=0,"sunny",IF(Append1[[#This Row],[weathersit]]=1,"mist",IF(Append1[[#This Row],[weathersit]]=2,"lightrain","extremerain")))</f>
        <v>mist</v>
      </c>
    </row>
    <row r="514" spans="1:16" x14ac:dyDescent="0.25">
      <c r="A514" s="4">
        <v>513</v>
      </c>
      <c r="B514" s="4">
        <v>0.13639999999999999</v>
      </c>
      <c r="C514" s="4">
        <v>0.43</v>
      </c>
      <c r="D514" s="4">
        <v>0.22389999999999999</v>
      </c>
      <c r="E514" s="4">
        <v>22</v>
      </c>
      <c r="F514" s="4">
        <v>77</v>
      </c>
      <c r="G514" s="4">
        <v>99</v>
      </c>
      <c r="H514" s="5">
        <v>40566</v>
      </c>
      <c r="I514" s="4">
        <v>1</v>
      </c>
      <c r="J514" s="4">
        <v>11</v>
      </c>
      <c r="K514" s="4" t="b">
        <f>IF(Append1[[#This Row],[days]]="working day",FALSE,TRUE)</f>
        <v>1</v>
      </c>
      <c r="L514" s="4">
        <v>0</v>
      </c>
      <c r="M514" s="4">
        <v>1</v>
      </c>
      <c r="N514" s="6">
        <v>0.14000000000000001</v>
      </c>
      <c r="O514" s="2" t="str">
        <f>IF(Append1[[#This Row],[weekday]]=0,"holiday",IF(AND(Append1[[#This Row],[weekday]]&gt;1,Append1[[#This Row],[weekday]]&lt;7),"working day","weekend"))</f>
        <v>holiday</v>
      </c>
      <c r="P514" s="4" t="str">
        <f>IF(Append1[[#This Row],[weathersit]]=0,"sunny",IF(Append1[[#This Row],[weathersit]]=1,"mist",IF(Append1[[#This Row],[weathersit]]=2,"lightrain","extremerain")))</f>
        <v>mist</v>
      </c>
    </row>
    <row r="515" spans="1:16" x14ac:dyDescent="0.25">
      <c r="A515" s="4">
        <v>514</v>
      </c>
      <c r="B515" s="4">
        <v>0.1212</v>
      </c>
      <c r="C515" s="4">
        <v>0.37</v>
      </c>
      <c r="D515" s="4">
        <v>0.4627</v>
      </c>
      <c r="E515" s="4">
        <v>24</v>
      </c>
      <c r="F515" s="4">
        <v>92</v>
      </c>
      <c r="G515" s="4">
        <v>116</v>
      </c>
      <c r="H515" s="5">
        <v>40566</v>
      </c>
      <c r="I515" s="4">
        <v>1</v>
      </c>
      <c r="J515" s="4">
        <v>12</v>
      </c>
      <c r="K515" s="4" t="b">
        <f>IF(Append1[[#This Row],[days]]="working day",FALSE,TRUE)</f>
        <v>1</v>
      </c>
      <c r="L515" s="4">
        <v>0</v>
      </c>
      <c r="M515" s="4">
        <v>1</v>
      </c>
      <c r="N515" s="6">
        <v>0.16</v>
      </c>
      <c r="O515" s="2" t="str">
        <f>IF(Append1[[#This Row],[weekday]]=0,"holiday",IF(AND(Append1[[#This Row],[weekday]]&gt;1,Append1[[#This Row],[weekday]]&lt;7),"working day","weekend"))</f>
        <v>holiday</v>
      </c>
      <c r="P515" s="4" t="str">
        <f>IF(Append1[[#This Row],[weathersit]]=0,"sunny",IF(Append1[[#This Row],[weathersit]]=1,"mist",IF(Append1[[#This Row],[weathersit]]=2,"lightrain","extremerain")))</f>
        <v>mist</v>
      </c>
    </row>
    <row r="516" spans="1:16" x14ac:dyDescent="0.25">
      <c r="A516" s="4">
        <v>515</v>
      </c>
      <c r="B516" s="4">
        <v>0.1061</v>
      </c>
      <c r="C516" s="4">
        <v>0.33</v>
      </c>
      <c r="D516" s="4">
        <v>0.3881</v>
      </c>
      <c r="E516" s="4">
        <v>12</v>
      </c>
      <c r="F516" s="4">
        <v>75</v>
      </c>
      <c r="G516" s="4">
        <v>87</v>
      </c>
      <c r="H516" s="5">
        <v>40566</v>
      </c>
      <c r="I516" s="4">
        <v>1</v>
      </c>
      <c r="J516" s="4">
        <v>13</v>
      </c>
      <c r="K516" s="4" t="b">
        <f>IF(Append1[[#This Row],[days]]="working day",FALSE,TRUE)</f>
        <v>1</v>
      </c>
      <c r="L516" s="4">
        <v>0</v>
      </c>
      <c r="M516" s="4">
        <v>1</v>
      </c>
      <c r="N516" s="6">
        <v>0.14000000000000001</v>
      </c>
      <c r="O516" s="2" t="str">
        <f>IF(Append1[[#This Row],[weekday]]=0,"holiday",IF(AND(Append1[[#This Row],[weekday]]&gt;1,Append1[[#This Row],[weekday]]&lt;7),"working day","weekend"))</f>
        <v>holiday</v>
      </c>
      <c r="P516" s="4" t="str">
        <f>IF(Append1[[#This Row],[weathersit]]=0,"sunny",IF(Append1[[#This Row],[weathersit]]=1,"mist",IF(Append1[[#This Row],[weathersit]]=2,"lightrain","extremerain")))</f>
        <v>mist</v>
      </c>
    </row>
    <row r="517" spans="1:16" x14ac:dyDescent="0.25">
      <c r="A517" s="4">
        <v>516</v>
      </c>
      <c r="B517" s="4">
        <v>0.13639999999999999</v>
      </c>
      <c r="C517" s="4">
        <v>0.28000000000000003</v>
      </c>
      <c r="D517" s="4">
        <v>0.35820000000000002</v>
      </c>
      <c r="E517" s="4">
        <v>17</v>
      </c>
      <c r="F517" s="4">
        <v>93</v>
      </c>
      <c r="G517" s="4">
        <v>110</v>
      </c>
      <c r="H517" s="5">
        <v>40566</v>
      </c>
      <c r="I517" s="4">
        <v>1</v>
      </c>
      <c r="J517" s="4">
        <v>14</v>
      </c>
      <c r="K517" s="4" t="b">
        <f>IF(Append1[[#This Row],[days]]="working day",FALSE,TRUE)</f>
        <v>1</v>
      </c>
      <c r="L517" s="4">
        <v>0</v>
      </c>
      <c r="M517" s="4">
        <v>1</v>
      </c>
      <c r="N517" s="6">
        <v>0.16</v>
      </c>
      <c r="O517" s="2" t="str">
        <f>IF(Append1[[#This Row],[weekday]]=0,"holiday",IF(AND(Append1[[#This Row],[weekday]]&gt;1,Append1[[#This Row],[weekday]]&lt;7),"working day","weekend"))</f>
        <v>holiday</v>
      </c>
      <c r="P517" s="4" t="str">
        <f>IF(Append1[[#This Row],[weathersit]]=0,"sunny",IF(Append1[[#This Row],[weathersit]]=1,"mist",IF(Append1[[#This Row],[weathersit]]=2,"lightrain","extremerain")))</f>
        <v>mist</v>
      </c>
    </row>
    <row r="518" spans="1:16" x14ac:dyDescent="0.25">
      <c r="A518" s="4">
        <v>517</v>
      </c>
      <c r="B518" s="4">
        <v>0.13639999999999999</v>
      </c>
      <c r="C518" s="4">
        <v>0.28000000000000003</v>
      </c>
      <c r="D518" s="4">
        <v>0.35820000000000002</v>
      </c>
      <c r="E518" s="4">
        <v>13</v>
      </c>
      <c r="F518" s="4">
        <v>64</v>
      </c>
      <c r="G518" s="4">
        <v>77</v>
      </c>
      <c r="H518" s="5">
        <v>40566</v>
      </c>
      <c r="I518" s="4">
        <v>1</v>
      </c>
      <c r="J518" s="4">
        <v>15</v>
      </c>
      <c r="K518" s="4" t="b">
        <f>IF(Append1[[#This Row],[days]]="working day",FALSE,TRUE)</f>
        <v>1</v>
      </c>
      <c r="L518" s="4">
        <v>0</v>
      </c>
      <c r="M518" s="4">
        <v>1</v>
      </c>
      <c r="N518" s="6">
        <v>0.16</v>
      </c>
      <c r="O518" s="2" t="str">
        <f>IF(Append1[[#This Row],[weekday]]=0,"holiday",IF(AND(Append1[[#This Row],[weekday]]&gt;1,Append1[[#This Row],[weekday]]&lt;7),"working day","weekend"))</f>
        <v>holiday</v>
      </c>
      <c r="P518" s="4" t="str">
        <f>IF(Append1[[#This Row],[weathersit]]=0,"sunny",IF(Append1[[#This Row],[weathersit]]=1,"mist",IF(Append1[[#This Row],[weathersit]]=2,"lightrain","extremerain")))</f>
        <v>mist</v>
      </c>
    </row>
    <row r="519" spans="1:16" x14ac:dyDescent="0.25">
      <c r="A519" s="4">
        <v>518</v>
      </c>
      <c r="B519" s="4">
        <v>0.13639999999999999</v>
      </c>
      <c r="C519" s="4">
        <v>0.26</v>
      </c>
      <c r="D519" s="4">
        <v>0.32840000000000003</v>
      </c>
      <c r="E519" s="4">
        <v>9</v>
      </c>
      <c r="F519" s="4">
        <v>56</v>
      </c>
      <c r="G519" s="4">
        <v>65</v>
      </c>
      <c r="H519" s="5">
        <v>40566</v>
      </c>
      <c r="I519" s="4">
        <v>1</v>
      </c>
      <c r="J519" s="4">
        <v>16</v>
      </c>
      <c r="K519" s="4" t="b">
        <f>IF(Append1[[#This Row],[days]]="working day",FALSE,TRUE)</f>
        <v>1</v>
      </c>
      <c r="L519" s="4">
        <v>0</v>
      </c>
      <c r="M519" s="4">
        <v>1</v>
      </c>
      <c r="N519" s="6">
        <v>0.16</v>
      </c>
      <c r="O519" s="2" t="str">
        <f>IF(Append1[[#This Row],[weekday]]=0,"holiday",IF(AND(Append1[[#This Row],[weekday]]&gt;1,Append1[[#This Row],[weekday]]&lt;7),"working day","weekend"))</f>
        <v>holiday</v>
      </c>
      <c r="P519" s="4" t="str">
        <f>IF(Append1[[#This Row],[weathersit]]=0,"sunny",IF(Append1[[#This Row],[weathersit]]=1,"mist",IF(Append1[[#This Row],[weathersit]]=2,"lightrain","extremerain")))</f>
        <v>mist</v>
      </c>
    </row>
    <row r="520" spans="1:16" x14ac:dyDescent="0.25">
      <c r="A520" s="4">
        <v>519</v>
      </c>
      <c r="B520" s="4">
        <v>0.1061</v>
      </c>
      <c r="C520" s="4">
        <v>0.26</v>
      </c>
      <c r="D520" s="4">
        <v>0.3881</v>
      </c>
      <c r="E520" s="4">
        <v>5</v>
      </c>
      <c r="F520" s="4">
        <v>50</v>
      </c>
      <c r="G520" s="4">
        <v>55</v>
      </c>
      <c r="H520" s="5">
        <v>40566</v>
      </c>
      <c r="I520" s="4">
        <v>1</v>
      </c>
      <c r="J520" s="4">
        <v>17</v>
      </c>
      <c r="K520" s="4" t="b">
        <f>IF(Append1[[#This Row],[days]]="working day",FALSE,TRUE)</f>
        <v>1</v>
      </c>
      <c r="L520" s="4">
        <v>0</v>
      </c>
      <c r="M520" s="4">
        <v>1</v>
      </c>
      <c r="N520" s="6">
        <v>0.14000000000000001</v>
      </c>
      <c r="O520" s="2" t="str">
        <f>IF(Append1[[#This Row],[weekday]]=0,"holiday",IF(AND(Append1[[#This Row],[weekday]]&gt;1,Append1[[#This Row],[weekday]]&lt;7),"working day","weekend"))</f>
        <v>holiday</v>
      </c>
      <c r="P520" s="4" t="str">
        <f>IF(Append1[[#This Row],[weathersit]]=0,"sunny",IF(Append1[[#This Row],[weathersit]]=1,"mist",IF(Append1[[#This Row],[weathersit]]=2,"lightrain","extremerain")))</f>
        <v>mist</v>
      </c>
    </row>
    <row r="521" spans="1:16" x14ac:dyDescent="0.25">
      <c r="A521" s="4">
        <v>520</v>
      </c>
      <c r="B521" s="4">
        <v>0.1212</v>
      </c>
      <c r="C521" s="4">
        <v>0.3</v>
      </c>
      <c r="D521" s="4">
        <v>0.25369999999999998</v>
      </c>
      <c r="E521" s="4">
        <v>5</v>
      </c>
      <c r="F521" s="4">
        <v>44</v>
      </c>
      <c r="G521" s="4">
        <v>49</v>
      </c>
      <c r="H521" s="5">
        <v>40566</v>
      </c>
      <c r="I521" s="4">
        <v>1</v>
      </c>
      <c r="J521" s="4">
        <v>18</v>
      </c>
      <c r="K521" s="4" t="b">
        <f>IF(Append1[[#This Row],[days]]="working day",FALSE,TRUE)</f>
        <v>1</v>
      </c>
      <c r="L521" s="4">
        <v>0</v>
      </c>
      <c r="M521" s="4">
        <v>1</v>
      </c>
      <c r="N521" s="6">
        <v>0.12</v>
      </c>
      <c r="O521" s="2" t="str">
        <f>IF(Append1[[#This Row],[weekday]]=0,"holiday",IF(AND(Append1[[#This Row],[weekday]]&gt;1,Append1[[#This Row],[weekday]]&lt;7),"working day","weekend"))</f>
        <v>holiday</v>
      </c>
      <c r="P521" s="4" t="str">
        <f>IF(Append1[[#This Row],[weathersit]]=0,"sunny",IF(Append1[[#This Row],[weathersit]]=1,"mist",IF(Append1[[#This Row],[weathersit]]=2,"lightrain","extremerain")))</f>
        <v>mist</v>
      </c>
    </row>
    <row r="522" spans="1:16" x14ac:dyDescent="0.25">
      <c r="A522" s="4">
        <v>521</v>
      </c>
      <c r="B522" s="4">
        <v>0.1212</v>
      </c>
      <c r="C522" s="4">
        <v>0.3</v>
      </c>
      <c r="D522" s="4">
        <v>0.28360000000000002</v>
      </c>
      <c r="E522" s="4">
        <v>5</v>
      </c>
      <c r="F522" s="4">
        <v>45</v>
      </c>
      <c r="G522" s="4">
        <v>50</v>
      </c>
      <c r="H522" s="5">
        <v>40566</v>
      </c>
      <c r="I522" s="4">
        <v>1</v>
      </c>
      <c r="J522" s="4">
        <v>19</v>
      </c>
      <c r="K522" s="4" t="b">
        <f>IF(Append1[[#This Row],[days]]="working day",FALSE,TRUE)</f>
        <v>1</v>
      </c>
      <c r="L522" s="4">
        <v>0</v>
      </c>
      <c r="M522" s="4">
        <v>1</v>
      </c>
      <c r="N522" s="6">
        <v>0.12</v>
      </c>
      <c r="O522" s="2" t="str">
        <f>IF(Append1[[#This Row],[weekday]]=0,"holiday",IF(AND(Append1[[#This Row],[weekday]]&gt;1,Append1[[#This Row],[weekday]]&lt;7),"working day","weekend"))</f>
        <v>holiday</v>
      </c>
      <c r="P522" s="4" t="str">
        <f>IF(Append1[[#This Row],[weathersit]]=0,"sunny",IF(Append1[[#This Row],[weathersit]]=1,"mist",IF(Append1[[#This Row],[weathersit]]=2,"lightrain","extremerain")))</f>
        <v>mist</v>
      </c>
    </row>
    <row r="523" spans="1:16" x14ac:dyDescent="0.25">
      <c r="A523" s="4">
        <v>522</v>
      </c>
      <c r="B523" s="4">
        <v>0.1061</v>
      </c>
      <c r="C523" s="4">
        <v>0.36</v>
      </c>
      <c r="D523" s="4">
        <v>0.25369999999999998</v>
      </c>
      <c r="E523" s="4">
        <v>4</v>
      </c>
      <c r="F523" s="4">
        <v>31</v>
      </c>
      <c r="G523" s="4">
        <v>35</v>
      </c>
      <c r="H523" s="5">
        <v>40566</v>
      </c>
      <c r="I523" s="4">
        <v>1</v>
      </c>
      <c r="J523" s="4">
        <v>20</v>
      </c>
      <c r="K523" s="4" t="b">
        <f>IF(Append1[[#This Row],[days]]="working day",FALSE,TRUE)</f>
        <v>1</v>
      </c>
      <c r="L523" s="4">
        <v>0</v>
      </c>
      <c r="M523" s="4">
        <v>1</v>
      </c>
      <c r="N523" s="6">
        <v>0.1</v>
      </c>
      <c r="O523" s="2" t="str">
        <f>IF(Append1[[#This Row],[weekday]]=0,"holiday",IF(AND(Append1[[#This Row],[weekday]]&gt;1,Append1[[#This Row],[weekday]]&lt;7),"working day","weekend"))</f>
        <v>holiday</v>
      </c>
      <c r="P523" s="4" t="str">
        <f>IF(Append1[[#This Row],[weathersit]]=0,"sunny",IF(Append1[[#This Row],[weathersit]]=1,"mist",IF(Append1[[#This Row],[weathersit]]=2,"lightrain","extremerain")))</f>
        <v>mist</v>
      </c>
    </row>
    <row r="524" spans="1:16" x14ac:dyDescent="0.25">
      <c r="A524" s="4">
        <v>523</v>
      </c>
      <c r="B524" s="4">
        <v>0.1061</v>
      </c>
      <c r="C524" s="4">
        <v>0.36</v>
      </c>
      <c r="D524" s="4">
        <v>0.19400000000000001</v>
      </c>
      <c r="E524" s="4">
        <v>5</v>
      </c>
      <c r="F524" s="4">
        <v>20</v>
      </c>
      <c r="G524" s="4">
        <v>25</v>
      </c>
      <c r="H524" s="5">
        <v>40566</v>
      </c>
      <c r="I524" s="4">
        <v>1</v>
      </c>
      <c r="J524" s="4">
        <v>21</v>
      </c>
      <c r="K524" s="4" t="b">
        <f>IF(Append1[[#This Row],[days]]="working day",FALSE,TRUE)</f>
        <v>1</v>
      </c>
      <c r="L524" s="4">
        <v>0</v>
      </c>
      <c r="M524" s="4">
        <v>1</v>
      </c>
      <c r="N524" s="6">
        <v>0.1</v>
      </c>
      <c r="O524" s="2" t="str">
        <f>IF(Append1[[#This Row],[weekday]]=0,"holiday",IF(AND(Append1[[#This Row],[weekday]]&gt;1,Append1[[#This Row],[weekday]]&lt;7),"working day","weekend"))</f>
        <v>holiday</v>
      </c>
      <c r="P524" s="4" t="str">
        <f>IF(Append1[[#This Row],[weathersit]]=0,"sunny",IF(Append1[[#This Row],[weathersit]]=1,"mist",IF(Append1[[#This Row],[weathersit]]=2,"lightrain","extremerain")))</f>
        <v>mist</v>
      </c>
    </row>
    <row r="525" spans="1:16" x14ac:dyDescent="0.25">
      <c r="A525" s="4">
        <v>524</v>
      </c>
      <c r="B525" s="4">
        <v>9.0899999999999995E-2</v>
      </c>
      <c r="C525" s="4">
        <v>0.38</v>
      </c>
      <c r="D525" s="4">
        <v>0.19400000000000001</v>
      </c>
      <c r="E525" s="4">
        <v>5</v>
      </c>
      <c r="F525" s="4">
        <v>23</v>
      </c>
      <c r="G525" s="4">
        <v>28</v>
      </c>
      <c r="H525" s="5">
        <v>40566</v>
      </c>
      <c r="I525" s="4">
        <v>1</v>
      </c>
      <c r="J525" s="4">
        <v>22</v>
      </c>
      <c r="K525" s="4" t="b">
        <f>IF(Append1[[#This Row],[days]]="working day",FALSE,TRUE)</f>
        <v>1</v>
      </c>
      <c r="L525" s="4">
        <v>0</v>
      </c>
      <c r="M525" s="4">
        <v>1</v>
      </c>
      <c r="N525" s="6">
        <v>0.08</v>
      </c>
      <c r="O525" s="2" t="str">
        <f>IF(Append1[[#This Row],[weekday]]=0,"holiday",IF(AND(Append1[[#This Row],[weekday]]&gt;1,Append1[[#This Row],[weekday]]&lt;7),"working day","weekend"))</f>
        <v>holiday</v>
      </c>
      <c r="P525" s="4" t="str">
        <f>IF(Append1[[#This Row],[weathersit]]=0,"sunny",IF(Append1[[#This Row],[weathersit]]=1,"mist",IF(Append1[[#This Row],[weathersit]]=2,"lightrain","extremerain")))</f>
        <v>mist</v>
      </c>
    </row>
    <row r="526" spans="1:16" x14ac:dyDescent="0.25">
      <c r="A526" s="4">
        <v>525</v>
      </c>
      <c r="B526" s="4">
        <v>6.0600000000000001E-2</v>
      </c>
      <c r="C526" s="4">
        <v>0.41</v>
      </c>
      <c r="D526" s="4">
        <v>0.22389999999999999</v>
      </c>
      <c r="E526" s="4">
        <v>4</v>
      </c>
      <c r="F526" s="4">
        <v>17</v>
      </c>
      <c r="G526" s="4">
        <v>21</v>
      </c>
      <c r="H526" s="5">
        <v>40566</v>
      </c>
      <c r="I526" s="4">
        <v>1</v>
      </c>
      <c r="J526" s="4">
        <v>23</v>
      </c>
      <c r="K526" s="4" t="b">
        <f>IF(Append1[[#This Row],[days]]="working day",FALSE,TRUE)</f>
        <v>1</v>
      </c>
      <c r="L526" s="4">
        <v>0</v>
      </c>
      <c r="M526" s="4">
        <v>1</v>
      </c>
      <c r="N526" s="6">
        <v>0.06</v>
      </c>
      <c r="O526" s="2" t="str">
        <f>IF(Append1[[#This Row],[weekday]]=0,"holiday",IF(AND(Append1[[#This Row],[weekday]]&gt;1,Append1[[#This Row],[weekday]]&lt;7),"working day","weekend"))</f>
        <v>holiday</v>
      </c>
      <c r="P526" s="4" t="str">
        <f>IF(Append1[[#This Row],[weathersit]]=0,"sunny",IF(Append1[[#This Row],[weathersit]]=1,"mist",IF(Append1[[#This Row],[weathersit]]=2,"lightrain","extremerain")))</f>
        <v>mist</v>
      </c>
    </row>
    <row r="527" spans="1:16" x14ac:dyDescent="0.25">
      <c r="A527" s="4">
        <v>526</v>
      </c>
      <c r="B527" s="4">
        <v>6.0600000000000001E-2</v>
      </c>
      <c r="C527" s="4">
        <v>0.41</v>
      </c>
      <c r="D527" s="4">
        <v>0.19400000000000001</v>
      </c>
      <c r="E527" s="4">
        <v>0</v>
      </c>
      <c r="F527" s="4">
        <v>7</v>
      </c>
      <c r="G527" s="4">
        <v>7</v>
      </c>
      <c r="H527" s="5">
        <v>40567</v>
      </c>
      <c r="I527" s="4">
        <v>1</v>
      </c>
      <c r="J527" s="4">
        <v>0</v>
      </c>
      <c r="K527" s="4" t="b">
        <f>IF(Append1[[#This Row],[days]]="working day",FALSE,TRUE)</f>
        <v>1</v>
      </c>
      <c r="L527" s="4">
        <v>1</v>
      </c>
      <c r="M527" s="4">
        <v>1</v>
      </c>
      <c r="N527" s="6">
        <v>0.06</v>
      </c>
      <c r="O527" s="2" t="str">
        <f>IF(Append1[[#This Row],[weekday]]=0,"holiday",IF(AND(Append1[[#This Row],[weekday]]&gt;1,Append1[[#This Row],[weekday]]&lt;7),"working day","weekend"))</f>
        <v>weekend</v>
      </c>
      <c r="P527" s="4" t="str">
        <f>IF(Append1[[#This Row],[weathersit]]=0,"sunny",IF(Append1[[#This Row],[weathersit]]=1,"mist",IF(Append1[[#This Row],[weathersit]]=2,"lightrain","extremerain")))</f>
        <v>mist</v>
      </c>
    </row>
    <row r="528" spans="1:16" x14ac:dyDescent="0.25">
      <c r="A528" s="4">
        <v>527</v>
      </c>
      <c r="B528" s="4">
        <v>4.5499999999999999E-2</v>
      </c>
      <c r="C528" s="4">
        <v>0.45</v>
      </c>
      <c r="D528" s="4">
        <v>0.19400000000000001</v>
      </c>
      <c r="E528" s="4">
        <v>0</v>
      </c>
      <c r="F528" s="4">
        <v>1</v>
      </c>
      <c r="G528" s="4">
        <v>1</v>
      </c>
      <c r="H528" s="5">
        <v>40567</v>
      </c>
      <c r="I528" s="4">
        <v>1</v>
      </c>
      <c r="J528" s="4">
        <v>1</v>
      </c>
      <c r="K528" s="4" t="b">
        <f>IF(Append1[[#This Row],[days]]="working day",FALSE,TRUE)</f>
        <v>1</v>
      </c>
      <c r="L528" s="4">
        <v>1</v>
      </c>
      <c r="M528" s="4">
        <v>1</v>
      </c>
      <c r="N528" s="6">
        <v>0.04</v>
      </c>
      <c r="O528" s="2" t="str">
        <f>IF(Append1[[#This Row],[weekday]]=0,"holiday",IF(AND(Append1[[#This Row],[weekday]]&gt;1,Append1[[#This Row],[weekday]]&lt;7),"working day","weekend"))</f>
        <v>weekend</v>
      </c>
      <c r="P528" s="4" t="str">
        <f>IF(Append1[[#This Row],[weathersit]]=0,"sunny",IF(Append1[[#This Row],[weathersit]]=1,"mist",IF(Append1[[#This Row],[weathersit]]=2,"lightrain","extremerain")))</f>
        <v>mist</v>
      </c>
    </row>
    <row r="529" spans="1:16" x14ac:dyDescent="0.25">
      <c r="A529" s="4">
        <v>528</v>
      </c>
      <c r="B529" s="4">
        <v>3.0300000000000001E-2</v>
      </c>
      <c r="C529" s="4">
        <v>0.45</v>
      </c>
      <c r="D529" s="4">
        <v>0.25369999999999998</v>
      </c>
      <c r="E529" s="4">
        <v>0</v>
      </c>
      <c r="F529" s="4">
        <v>1</v>
      </c>
      <c r="G529" s="4">
        <v>1</v>
      </c>
      <c r="H529" s="5">
        <v>40567</v>
      </c>
      <c r="I529" s="4">
        <v>1</v>
      </c>
      <c r="J529" s="4">
        <v>3</v>
      </c>
      <c r="K529" s="4" t="b">
        <f>IF(Append1[[#This Row],[days]]="working day",FALSE,TRUE)</f>
        <v>1</v>
      </c>
      <c r="L529" s="4">
        <v>1</v>
      </c>
      <c r="M529" s="4">
        <v>1</v>
      </c>
      <c r="N529" s="6">
        <v>0.04</v>
      </c>
      <c r="O529" s="2" t="str">
        <f>IF(Append1[[#This Row],[weekday]]=0,"holiday",IF(AND(Append1[[#This Row],[weekday]]&gt;1,Append1[[#This Row],[weekday]]&lt;7),"working day","weekend"))</f>
        <v>weekend</v>
      </c>
      <c r="P529" s="4" t="str">
        <f>IF(Append1[[#This Row],[weathersit]]=0,"sunny",IF(Append1[[#This Row],[weathersit]]=1,"mist",IF(Append1[[#This Row],[weathersit]]=2,"lightrain","extremerain")))</f>
        <v>mist</v>
      </c>
    </row>
    <row r="530" spans="1:16" x14ac:dyDescent="0.25">
      <c r="A530" s="4">
        <v>529</v>
      </c>
      <c r="B530" s="4">
        <v>6.0600000000000001E-2</v>
      </c>
      <c r="C530" s="4">
        <v>0.48</v>
      </c>
      <c r="D530" s="4">
        <v>0.1343</v>
      </c>
      <c r="E530" s="4">
        <v>0</v>
      </c>
      <c r="F530" s="4">
        <v>1</v>
      </c>
      <c r="G530" s="4">
        <v>1</v>
      </c>
      <c r="H530" s="5">
        <v>40567</v>
      </c>
      <c r="I530" s="4">
        <v>1</v>
      </c>
      <c r="J530" s="4">
        <v>4</v>
      </c>
      <c r="K530" s="4" t="b">
        <f>IF(Append1[[#This Row],[days]]="working day",FALSE,TRUE)</f>
        <v>1</v>
      </c>
      <c r="L530" s="4">
        <v>1</v>
      </c>
      <c r="M530" s="4">
        <v>1</v>
      </c>
      <c r="N530" s="6">
        <v>0.02</v>
      </c>
      <c r="O530" s="2" t="str">
        <f>IF(Append1[[#This Row],[weekday]]=0,"holiday",IF(AND(Append1[[#This Row],[weekday]]&gt;1,Append1[[#This Row],[weekday]]&lt;7),"working day","weekend"))</f>
        <v>weekend</v>
      </c>
      <c r="P530" s="4" t="str">
        <f>IF(Append1[[#This Row],[weathersit]]=0,"sunny",IF(Append1[[#This Row],[weathersit]]=1,"mist",IF(Append1[[#This Row],[weathersit]]=2,"lightrain","extremerain")))</f>
        <v>mist</v>
      </c>
    </row>
    <row r="531" spans="1:16" x14ac:dyDescent="0.25">
      <c r="A531" s="4">
        <v>530</v>
      </c>
      <c r="B531" s="4">
        <v>6.0600000000000001E-2</v>
      </c>
      <c r="C531" s="4">
        <v>0.48</v>
      </c>
      <c r="D531" s="4">
        <v>0.1343</v>
      </c>
      <c r="E531" s="4">
        <v>0</v>
      </c>
      <c r="F531" s="4">
        <v>5</v>
      </c>
      <c r="G531" s="4">
        <v>5</v>
      </c>
      <c r="H531" s="5">
        <v>40567</v>
      </c>
      <c r="I531" s="4">
        <v>1</v>
      </c>
      <c r="J531" s="4">
        <v>5</v>
      </c>
      <c r="K531" s="4" t="b">
        <f>IF(Append1[[#This Row],[days]]="working day",FALSE,TRUE)</f>
        <v>1</v>
      </c>
      <c r="L531" s="4">
        <v>1</v>
      </c>
      <c r="M531" s="4">
        <v>1</v>
      </c>
      <c r="N531" s="6">
        <v>0.02</v>
      </c>
      <c r="O531" s="2" t="str">
        <f>IF(Append1[[#This Row],[weekday]]=0,"holiday",IF(AND(Append1[[#This Row],[weekday]]&gt;1,Append1[[#This Row],[weekday]]&lt;7),"working day","weekend"))</f>
        <v>weekend</v>
      </c>
      <c r="P531" s="4" t="str">
        <f>IF(Append1[[#This Row],[weathersit]]=0,"sunny",IF(Append1[[#This Row],[weathersit]]=1,"mist",IF(Append1[[#This Row],[weathersit]]=2,"lightrain","extremerain")))</f>
        <v>mist</v>
      </c>
    </row>
    <row r="532" spans="1:16" x14ac:dyDescent="0.25">
      <c r="A532" s="4">
        <v>531</v>
      </c>
      <c r="B532" s="4">
        <v>7.5800000000000006E-2</v>
      </c>
      <c r="C532" s="4">
        <v>0.48</v>
      </c>
      <c r="D532" s="4">
        <v>8.9599999999999999E-2</v>
      </c>
      <c r="E532" s="4">
        <v>0</v>
      </c>
      <c r="F532" s="4">
        <v>15</v>
      </c>
      <c r="G532" s="4">
        <v>15</v>
      </c>
      <c r="H532" s="5">
        <v>40567</v>
      </c>
      <c r="I532" s="4">
        <v>1</v>
      </c>
      <c r="J532" s="4">
        <v>6</v>
      </c>
      <c r="K532" s="4" t="b">
        <f>IF(Append1[[#This Row],[days]]="working day",FALSE,TRUE)</f>
        <v>1</v>
      </c>
      <c r="L532" s="4">
        <v>1</v>
      </c>
      <c r="M532" s="4">
        <v>1</v>
      </c>
      <c r="N532" s="6">
        <v>0.02</v>
      </c>
      <c r="O532" s="2" t="str">
        <f>IF(Append1[[#This Row],[weekday]]=0,"holiday",IF(AND(Append1[[#This Row],[weekday]]&gt;1,Append1[[#This Row],[weekday]]&lt;7),"working day","weekend"))</f>
        <v>weekend</v>
      </c>
      <c r="P532" s="4" t="str">
        <f>IF(Append1[[#This Row],[weathersit]]=0,"sunny",IF(Append1[[#This Row],[weathersit]]=1,"mist",IF(Append1[[#This Row],[weathersit]]=2,"lightrain","extremerain")))</f>
        <v>mist</v>
      </c>
    </row>
    <row r="533" spans="1:16" x14ac:dyDescent="0.25">
      <c r="A533" s="4">
        <v>532</v>
      </c>
      <c r="B533" s="4">
        <v>0.1212</v>
      </c>
      <c r="C533" s="4">
        <v>0.48</v>
      </c>
      <c r="D533" s="4">
        <v>0</v>
      </c>
      <c r="E533" s="4">
        <v>5</v>
      </c>
      <c r="F533" s="4">
        <v>79</v>
      </c>
      <c r="G533" s="4">
        <v>84</v>
      </c>
      <c r="H533" s="5">
        <v>40567</v>
      </c>
      <c r="I533" s="4">
        <v>1</v>
      </c>
      <c r="J533" s="4">
        <v>7</v>
      </c>
      <c r="K533" s="4" t="b">
        <f>IF(Append1[[#This Row],[days]]="working day",FALSE,TRUE)</f>
        <v>1</v>
      </c>
      <c r="L533" s="4">
        <v>1</v>
      </c>
      <c r="M533" s="4">
        <v>1</v>
      </c>
      <c r="N533" s="6">
        <v>0.02</v>
      </c>
      <c r="O533" s="2" t="str">
        <f>IF(Append1[[#This Row],[weekday]]=0,"holiday",IF(AND(Append1[[#This Row],[weekday]]&gt;1,Append1[[#This Row],[weekday]]&lt;7),"working day","weekend"))</f>
        <v>weekend</v>
      </c>
      <c r="P533" s="4" t="str">
        <f>IF(Append1[[#This Row],[weathersit]]=0,"sunny",IF(Append1[[#This Row],[weathersit]]=1,"mist",IF(Append1[[#This Row],[weathersit]]=2,"lightrain","extremerain")))</f>
        <v>mist</v>
      </c>
    </row>
    <row r="534" spans="1:16" x14ac:dyDescent="0.25">
      <c r="A534" s="4">
        <v>533</v>
      </c>
      <c r="B534" s="4">
        <v>0.13639999999999999</v>
      </c>
      <c r="C534" s="4">
        <v>0.49</v>
      </c>
      <c r="D534" s="4">
        <v>0</v>
      </c>
      <c r="E534" s="4">
        <v>6</v>
      </c>
      <c r="F534" s="4">
        <v>171</v>
      </c>
      <c r="G534" s="4">
        <v>177</v>
      </c>
      <c r="H534" s="5">
        <v>40567</v>
      </c>
      <c r="I534" s="4">
        <v>1</v>
      </c>
      <c r="J534" s="4">
        <v>8</v>
      </c>
      <c r="K534" s="4" t="b">
        <f>IF(Append1[[#This Row],[days]]="working day",FALSE,TRUE)</f>
        <v>1</v>
      </c>
      <c r="L534" s="4">
        <v>1</v>
      </c>
      <c r="M534" s="4">
        <v>1</v>
      </c>
      <c r="N534" s="6">
        <v>0.04</v>
      </c>
      <c r="O534" s="2" t="str">
        <f>IF(Append1[[#This Row],[weekday]]=0,"holiday",IF(AND(Append1[[#This Row],[weekday]]&gt;1,Append1[[#This Row],[weekday]]&lt;7),"working day","weekend"))</f>
        <v>weekend</v>
      </c>
      <c r="P534" s="4" t="str">
        <f>IF(Append1[[#This Row],[weathersit]]=0,"sunny",IF(Append1[[#This Row],[weathersit]]=1,"mist",IF(Append1[[#This Row],[weathersit]]=2,"lightrain","extremerain")))</f>
        <v>mist</v>
      </c>
    </row>
    <row r="535" spans="1:16" x14ac:dyDescent="0.25">
      <c r="A535" s="4">
        <v>534</v>
      </c>
      <c r="B535" s="4">
        <v>0.1515</v>
      </c>
      <c r="C535" s="4">
        <v>0.41</v>
      </c>
      <c r="D535" s="4">
        <v>0</v>
      </c>
      <c r="E535" s="4">
        <v>4</v>
      </c>
      <c r="F535" s="4">
        <v>98</v>
      </c>
      <c r="G535" s="4">
        <v>102</v>
      </c>
      <c r="H535" s="5">
        <v>40567</v>
      </c>
      <c r="I535" s="4">
        <v>1</v>
      </c>
      <c r="J535" s="4">
        <v>9</v>
      </c>
      <c r="K535" s="4" t="b">
        <f>IF(Append1[[#This Row],[days]]="working day",FALSE,TRUE)</f>
        <v>1</v>
      </c>
      <c r="L535" s="4">
        <v>1</v>
      </c>
      <c r="M535" s="4">
        <v>1</v>
      </c>
      <c r="N535" s="6">
        <v>0.06</v>
      </c>
      <c r="O535" s="2" t="str">
        <f>IF(Append1[[#This Row],[weekday]]=0,"holiday",IF(AND(Append1[[#This Row],[weekday]]&gt;1,Append1[[#This Row],[weekday]]&lt;7),"working day","weekend"))</f>
        <v>weekend</v>
      </c>
      <c r="P535" s="4" t="str">
        <f>IF(Append1[[#This Row],[weathersit]]=0,"sunny",IF(Append1[[#This Row],[weathersit]]=1,"mist",IF(Append1[[#This Row],[weathersit]]=2,"lightrain","extremerain")))</f>
        <v>mist</v>
      </c>
    </row>
    <row r="536" spans="1:16" x14ac:dyDescent="0.25">
      <c r="A536" s="4">
        <v>535</v>
      </c>
      <c r="B536" s="4">
        <v>0.13639999999999999</v>
      </c>
      <c r="C536" s="4">
        <v>0.42</v>
      </c>
      <c r="D536" s="4">
        <v>0</v>
      </c>
      <c r="E536" s="4">
        <v>6</v>
      </c>
      <c r="F536" s="4">
        <v>34</v>
      </c>
      <c r="G536" s="4">
        <v>40</v>
      </c>
      <c r="H536" s="5">
        <v>40567</v>
      </c>
      <c r="I536" s="4">
        <v>1</v>
      </c>
      <c r="J536" s="4">
        <v>10</v>
      </c>
      <c r="K536" s="4" t="b">
        <f>IF(Append1[[#This Row],[days]]="working day",FALSE,TRUE)</f>
        <v>1</v>
      </c>
      <c r="L536" s="4">
        <v>1</v>
      </c>
      <c r="M536" s="4">
        <v>1</v>
      </c>
      <c r="N536" s="6">
        <v>0.1</v>
      </c>
      <c r="O536" s="2" t="str">
        <f>IF(Append1[[#This Row],[weekday]]=0,"holiday",IF(AND(Append1[[#This Row],[weekday]]&gt;1,Append1[[#This Row],[weekday]]&lt;7),"working day","weekend"))</f>
        <v>weekend</v>
      </c>
      <c r="P536" s="4" t="str">
        <f>IF(Append1[[#This Row],[weathersit]]=0,"sunny",IF(Append1[[#This Row],[weathersit]]=1,"mist",IF(Append1[[#This Row],[weathersit]]=2,"lightrain","extremerain")))</f>
        <v>mist</v>
      </c>
    </row>
    <row r="537" spans="1:16" x14ac:dyDescent="0.25">
      <c r="A537" s="4">
        <v>536</v>
      </c>
      <c r="B537" s="4">
        <v>0.1212</v>
      </c>
      <c r="C537" s="4">
        <v>0.46</v>
      </c>
      <c r="D537" s="4">
        <v>0.1343</v>
      </c>
      <c r="E537" s="4">
        <v>3</v>
      </c>
      <c r="F537" s="4">
        <v>43</v>
      </c>
      <c r="G537" s="4">
        <v>46</v>
      </c>
      <c r="H537" s="5">
        <v>40567</v>
      </c>
      <c r="I537" s="4">
        <v>1</v>
      </c>
      <c r="J537" s="4">
        <v>11</v>
      </c>
      <c r="K537" s="4" t="b">
        <f>IF(Append1[[#This Row],[days]]="working day",FALSE,TRUE)</f>
        <v>1</v>
      </c>
      <c r="L537" s="4">
        <v>1</v>
      </c>
      <c r="M537" s="4">
        <v>1</v>
      </c>
      <c r="N537" s="6">
        <v>0.1</v>
      </c>
      <c r="O537" s="2" t="str">
        <f>IF(Append1[[#This Row],[weekday]]=0,"holiday",IF(AND(Append1[[#This Row],[weekday]]&gt;1,Append1[[#This Row],[weekday]]&lt;7),"working day","weekend"))</f>
        <v>weekend</v>
      </c>
      <c r="P537" s="4" t="str">
        <f>IF(Append1[[#This Row],[weathersit]]=0,"sunny",IF(Append1[[#This Row],[weathersit]]=1,"mist",IF(Append1[[#This Row],[weathersit]]=2,"lightrain","extremerain")))</f>
        <v>mist</v>
      </c>
    </row>
    <row r="538" spans="1:16" x14ac:dyDescent="0.25">
      <c r="A538" s="4">
        <v>537</v>
      </c>
      <c r="B538" s="4">
        <v>0.13639999999999999</v>
      </c>
      <c r="C538" s="4">
        <v>0.42</v>
      </c>
      <c r="D538" s="4">
        <v>0.19400000000000001</v>
      </c>
      <c r="E538" s="4">
        <v>11</v>
      </c>
      <c r="F538" s="4">
        <v>52</v>
      </c>
      <c r="G538" s="4">
        <v>63</v>
      </c>
      <c r="H538" s="5">
        <v>40567</v>
      </c>
      <c r="I538" s="4">
        <v>1</v>
      </c>
      <c r="J538" s="4">
        <v>12</v>
      </c>
      <c r="K538" s="4" t="b">
        <f>IF(Append1[[#This Row],[days]]="working day",FALSE,TRUE)</f>
        <v>1</v>
      </c>
      <c r="L538" s="4">
        <v>1</v>
      </c>
      <c r="M538" s="4">
        <v>2</v>
      </c>
      <c r="N538" s="6">
        <v>0.12</v>
      </c>
      <c r="O538" s="2" t="str">
        <f>IF(Append1[[#This Row],[weekday]]=0,"holiday",IF(AND(Append1[[#This Row],[weekday]]&gt;1,Append1[[#This Row],[weekday]]&lt;7),"working day","weekend"))</f>
        <v>weekend</v>
      </c>
      <c r="P538" s="4" t="str">
        <f>IF(Append1[[#This Row],[weathersit]]=0,"sunny",IF(Append1[[#This Row],[weathersit]]=1,"mist",IF(Append1[[#This Row],[weathersit]]=2,"lightrain","extremerain")))</f>
        <v>lightrain</v>
      </c>
    </row>
    <row r="539" spans="1:16" x14ac:dyDescent="0.25">
      <c r="A539" s="4">
        <v>538</v>
      </c>
      <c r="B539" s="4">
        <v>0.13639999999999999</v>
      </c>
      <c r="C539" s="4">
        <v>0.43</v>
      </c>
      <c r="D539" s="4">
        <v>0.22389999999999999</v>
      </c>
      <c r="E539" s="4">
        <v>6</v>
      </c>
      <c r="F539" s="4">
        <v>54</v>
      </c>
      <c r="G539" s="4">
        <v>60</v>
      </c>
      <c r="H539" s="5">
        <v>40567</v>
      </c>
      <c r="I539" s="4">
        <v>1</v>
      </c>
      <c r="J539" s="4">
        <v>13</v>
      </c>
      <c r="K539" s="4" t="b">
        <f>IF(Append1[[#This Row],[days]]="working day",FALSE,TRUE)</f>
        <v>1</v>
      </c>
      <c r="L539" s="4">
        <v>1</v>
      </c>
      <c r="M539" s="4">
        <v>2</v>
      </c>
      <c r="N539" s="6">
        <v>0.14000000000000001</v>
      </c>
      <c r="O539" s="2" t="str">
        <f>IF(Append1[[#This Row],[weekday]]=0,"holiday",IF(AND(Append1[[#This Row],[weekday]]&gt;1,Append1[[#This Row],[weekday]]&lt;7),"working day","weekend"))</f>
        <v>weekend</v>
      </c>
      <c r="P539" s="4" t="str">
        <f>IF(Append1[[#This Row],[weathersit]]=0,"sunny",IF(Append1[[#This Row],[weathersit]]=1,"mist",IF(Append1[[#This Row],[weathersit]]=2,"lightrain","extremerain")))</f>
        <v>lightrain</v>
      </c>
    </row>
    <row r="540" spans="1:16" x14ac:dyDescent="0.25">
      <c r="A540" s="4">
        <v>539</v>
      </c>
      <c r="B540" s="4">
        <v>0.13639999999999999</v>
      </c>
      <c r="C540" s="4">
        <v>0.46</v>
      </c>
      <c r="D540" s="4">
        <v>0.22389999999999999</v>
      </c>
      <c r="E540" s="4">
        <v>2</v>
      </c>
      <c r="F540" s="4">
        <v>43</v>
      </c>
      <c r="G540" s="4">
        <v>45</v>
      </c>
      <c r="H540" s="5">
        <v>40567</v>
      </c>
      <c r="I540" s="4">
        <v>1</v>
      </c>
      <c r="J540" s="4">
        <v>14</v>
      </c>
      <c r="K540" s="4" t="b">
        <f>IF(Append1[[#This Row],[days]]="working day",FALSE,TRUE)</f>
        <v>1</v>
      </c>
      <c r="L540" s="4">
        <v>1</v>
      </c>
      <c r="M540" s="4">
        <v>2</v>
      </c>
      <c r="N540" s="6">
        <v>0.14000000000000001</v>
      </c>
      <c r="O540" s="2" t="str">
        <f>IF(Append1[[#This Row],[weekday]]=0,"holiday",IF(AND(Append1[[#This Row],[weekday]]&gt;1,Append1[[#This Row],[weekday]]&lt;7),"working day","weekend"))</f>
        <v>weekend</v>
      </c>
      <c r="P540" s="4" t="str">
        <f>IF(Append1[[#This Row],[weathersit]]=0,"sunny",IF(Append1[[#This Row],[weathersit]]=1,"mist",IF(Append1[[#This Row],[weathersit]]=2,"lightrain","extremerain")))</f>
        <v>lightrain</v>
      </c>
    </row>
    <row r="541" spans="1:16" x14ac:dyDescent="0.25">
      <c r="A541" s="4">
        <v>540</v>
      </c>
      <c r="B541" s="4">
        <v>0.16669999999999999</v>
      </c>
      <c r="C541" s="4">
        <v>0.4</v>
      </c>
      <c r="D541" s="4">
        <v>0.16420000000000001</v>
      </c>
      <c r="E541" s="4">
        <v>7</v>
      </c>
      <c r="F541" s="4">
        <v>50</v>
      </c>
      <c r="G541" s="4">
        <v>57</v>
      </c>
      <c r="H541" s="5">
        <v>40567</v>
      </c>
      <c r="I541" s="4">
        <v>1</v>
      </c>
      <c r="J541" s="4">
        <v>15</v>
      </c>
      <c r="K541" s="4" t="b">
        <f>IF(Append1[[#This Row],[days]]="working day",FALSE,TRUE)</f>
        <v>1</v>
      </c>
      <c r="L541" s="4">
        <v>1</v>
      </c>
      <c r="M541" s="4">
        <v>1</v>
      </c>
      <c r="N541" s="6">
        <v>0.16</v>
      </c>
      <c r="O541" s="2" t="str">
        <f>IF(Append1[[#This Row],[weekday]]=0,"holiday",IF(AND(Append1[[#This Row],[weekday]]&gt;1,Append1[[#This Row],[weekday]]&lt;7),"working day","weekend"))</f>
        <v>weekend</v>
      </c>
      <c r="P541" s="4" t="str">
        <f>IF(Append1[[#This Row],[weathersit]]=0,"sunny",IF(Append1[[#This Row],[weathersit]]=1,"mist",IF(Append1[[#This Row],[weathersit]]=2,"lightrain","extremerain")))</f>
        <v>mist</v>
      </c>
    </row>
    <row r="542" spans="1:16" x14ac:dyDescent="0.25">
      <c r="A542" s="4">
        <v>541</v>
      </c>
      <c r="B542" s="4">
        <v>0.1515</v>
      </c>
      <c r="C542" s="4">
        <v>0.47</v>
      </c>
      <c r="D542" s="4">
        <v>0.25369999999999998</v>
      </c>
      <c r="E542" s="4">
        <v>4</v>
      </c>
      <c r="F542" s="4">
        <v>66</v>
      </c>
      <c r="G542" s="4">
        <v>70</v>
      </c>
      <c r="H542" s="5">
        <v>40567</v>
      </c>
      <c r="I542" s="4">
        <v>1</v>
      </c>
      <c r="J542" s="4">
        <v>16</v>
      </c>
      <c r="K542" s="4" t="b">
        <f>IF(Append1[[#This Row],[days]]="working day",FALSE,TRUE)</f>
        <v>1</v>
      </c>
      <c r="L542" s="4">
        <v>1</v>
      </c>
      <c r="M542" s="4">
        <v>1</v>
      </c>
      <c r="N542" s="6">
        <v>0.16</v>
      </c>
      <c r="O542" s="2" t="str">
        <f>IF(Append1[[#This Row],[weekday]]=0,"holiday",IF(AND(Append1[[#This Row],[weekday]]&gt;1,Append1[[#This Row],[weekday]]&lt;7),"working day","weekend"))</f>
        <v>weekend</v>
      </c>
      <c r="P542" s="4" t="str">
        <f>IF(Append1[[#This Row],[weathersit]]=0,"sunny",IF(Append1[[#This Row],[weathersit]]=1,"mist",IF(Append1[[#This Row],[weathersit]]=2,"lightrain","extremerain")))</f>
        <v>mist</v>
      </c>
    </row>
    <row r="543" spans="1:16" x14ac:dyDescent="0.25">
      <c r="A543" s="4">
        <v>542</v>
      </c>
      <c r="B543" s="4">
        <v>0.1212</v>
      </c>
      <c r="C543" s="4">
        <v>0.5</v>
      </c>
      <c r="D543" s="4">
        <v>0.25369999999999998</v>
      </c>
      <c r="E543" s="4">
        <v>6</v>
      </c>
      <c r="F543" s="4">
        <v>178</v>
      </c>
      <c r="G543" s="4">
        <v>184</v>
      </c>
      <c r="H543" s="5">
        <v>40567</v>
      </c>
      <c r="I543" s="4">
        <v>1</v>
      </c>
      <c r="J543" s="4">
        <v>17</v>
      </c>
      <c r="K543" s="4" t="b">
        <f>IF(Append1[[#This Row],[days]]="working day",FALSE,TRUE)</f>
        <v>1</v>
      </c>
      <c r="L543" s="4">
        <v>1</v>
      </c>
      <c r="M543" s="4">
        <v>1</v>
      </c>
      <c r="N543" s="6">
        <v>0.14000000000000001</v>
      </c>
      <c r="O543" s="2" t="str">
        <f>IF(Append1[[#This Row],[weekday]]=0,"holiday",IF(AND(Append1[[#This Row],[weekday]]&gt;1,Append1[[#This Row],[weekday]]&lt;7),"working day","weekend"))</f>
        <v>weekend</v>
      </c>
      <c r="P543" s="4" t="str">
        <f>IF(Append1[[#This Row],[weathersit]]=0,"sunny",IF(Append1[[#This Row],[weathersit]]=1,"mist",IF(Append1[[#This Row],[weathersit]]=2,"lightrain","extremerain")))</f>
        <v>mist</v>
      </c>
    </row>
    <row r="544" spans="1:16" x14ac:dyDescent="0.25">
      <c r="A544" s="4">
        <v>543</v>
      </c>
      <c r="B544" s="4">
        <v>0.13639999999999999</v>
      </c>
      <c r="C544" s="4">
        <v>0.59</v>
      </c>
      <c r="D544" s="4">
        <v>0.19400000000000001</v>
      </c>
      <c r="E544" s="4">
        <v>8</v>
      </c>
      <c r="F544" s="4">
        <v>145</v>
      </c>
      <c r="G544" s="4">
        <v>153</v>
      </c>
      <c r="H544" s="5">
        <v>40567</v>
      </c>
      <c r="I544" s="4">
        <v>1</v>
      </c>
      <c r="J544" s="4">
        <v>18</v>
      </c>
      <c r="K544" s="4" t="b">
        <f>IF(Append1[[#This Row],[days]]="working day",FALSE,TRUE)</f>
        <v>1</v>
      </c>
      <c r="L544" s="4">
        <v>1</v>
      </c>
      <c r="M544" s="4">
        <v>1</v>
      </c>
      <c r="N544" s="6">
        <v>0.14000000000000001</v>
      </c>
      <c r="O544" s="2" t="str">
        <f>IF(Append1[[#This Row],[weekday]]=0,"holiday",IF(AND(Append1[[#This Row],[weekday]]&gt;1,Append1[[#This Row],[weekday]]&lt;7),"working day","weekend"))</f>
        <v>weekend</v>
      </c>
      <c r="P544" s="4" t="str">
        <f>IF(Append1[[#This Row],[weathersit]]=0,"sunny",IF(Append1[[#This Row],[weathersit]]=1,"mist",IF(Append1[[#This Row],[weathersit]]=2,"lightrain","extremerain")))</f>
        <v>mist</v>
      </c>
    </row>
    <row r="545" spans="1:16" x14ac:dyDescent="0.25">
      <c r="A545" s="4">
        <v>544</v>
      </c>
      <c r="B545" s="4">
        <v>0.1515</v>
      </c>
      <c r="C545" s="4">
        <v>0.54</v>
      </c>
      <c r="D545" s="4">
        <v>0.16420000000000001</v>
      </c>
      <c r="E545" s="4">
        <v>5</v>
      </c>
      <c r="F545" s="4">
        <v>101</v>
      </c>
      <c r="G545" s="4">
        <v>106</v>
      </c>
      <c r="H545" s="5">
        <v>40567</v>
      </c>
      <c r="I545" s="4">
        <v>1</v>
      </c>
      <c r="J545" s="4">
        <v>19</v>
      </c>
      <c r="K545" s="4" t="b">
        <f>IF(Append1[[#This Row],[days]]="working day",FALSE,TRUE)</f>
        <v>1</v>
      </c>
      <c r="L545" s="4">
        <v>1</v>
      </c>
      <c r="M545" s="4">
        <v>1</v>
      </c>
      <c r="N545" s="6">
        <v>0.14000000000000001</v>
      </c>
      <c r="O545" s="2" t="str">
        <f>IF(Append1[[#This Row],[weekday]]=0,"holiday",IF(AND(Append1[[#This Row],[weekday]]&gt;1,Append1[[#This Row],[weekday]]&lt;7),"working day","weekend"))</f>
        <v>weekend</v>
      </c>
      <c r="P545" s="4" t="str">
        <f>IF(Append1[[#This Row],[weathersit]]=0,"sunny",IF(Append1[[#This Row],[weathersit]]=1,"mist",IF(Append1[[#This Row],[weathersit]]=2,"lightrain","extremerain")))</f>
        <v>mist</v>
      </c>
    </row>
    <row r="546" spans="1:16" x14ac:dyDescent="0.25">
      <c r="A546" s="4">
        <v>545</v>
      </c>
      <c r="B546" s="4">
        <v>0.13639999999999999</v>
      </c>
      <c r="C546" s="4">
        <v>0.59</v>
      </c>
      <c r="D546" s="4">
        <v>0.19400000000000001</v>
      </c>
      <c r="E546" s="4">
        <v>1</v>
      </c>
      <c r="F546" s="4">
        <v>80</v>
      </c>
      <c r="G546" s="4">
        <v>81</v>
      </c>
      <c r="H546" s="5">
        <v>40567</v>
      </c>
      <c r="I546" s="4">
        <v>1</v>
      </c>
      <c r="J546" s="4">
        <v>20</v>
      </c>
      <c r="K546" s="4" t="b">
        <f>IF(Append1[[#This Row],[days]]="working day",FALSE,TRUE)</f>
        <v>1</v>
      </c>
      <c r="L546" s="4">
        <v>1</v>
      </c>
      <c r="M546" s="4">
        <v>1</v>
      </c>
      <c r="N546" s="6">
        <v>0.14000000000000001</v>
      </c>
      <c r="O546" s="2" t="str">
        <f>IF(Append1[[#This Row],[weekday]]=0,"holiday",IF(AND(Append1[[#This Row],[weekday]]&gt;1,Append1[[#This Row],[weekday]]&lt;7),"working day","weekend"))</f>
        <v>weekend</v>
      </c>
      <c r="P546" s="4" t="str">
        <f>IF(Append1[[#This Row],[weathersit]]=0,"sunny",IF(Append1[[#This Row],[weathersit]]=1,"mist",IF(Append1[[#This Row],[weathersit]]=2,"lightrain","extremerain")))</f>
        <v>mist</v>
      </c>
    </row>
    <row r="547" spans="1:16" x14ac:dyDescent="0.25">
      <c r="A547" s="4">
        <v>546</v>
      </c>
      <c r="B547" s="4">
        <v>0.1515</v>
      </c>
      <c r="C547" s="4">
        <v>0.63</v>
      </c>
      <c r="D547" s="4">
        <v>0.16420000000000001</v>
      </c>
      <c r="E547" s="4">
        <v>6</v>
      </c>
      <c r="F547" s="4">
        <v>53</v>
      </c>
      <c r="G547" s="4">
        <v>59</v>
      </c>
      <c r="H547" s="5">
        <v>40567</v>
      </c>
      <c r="I547" s="4">
        <v>1</v>
      </c>
      <c r="J547" s="4">
        <v>21</v>
      </c>
      <c r="K547" s="4" t="b">
        <f>IF(Append1[[#This Row],[days]]="working day",FALSE,TRUE)</f>
        <v>1</v>
      </c>
      <c r="L547" s="4">
        <v>1</v>
      </c>
      <c r="M547" s="4">
        <v>1</v>
      </c>
      <c r="N547" s="6">
        <v>0.14000000000000001</v>
      </c>
      <c r="O547" s="2" t="str">
        <f>IF(Append1[[#This Row],[weekday]]=0,"holiday",IF(AND(Append1[[#This Row],[weekday]]&gt;1,Append1[[#This Row],[weekday]]&lt;7),"working day","weekend"))</f>
        <v>weekend</v>
      </c>
      <c r="P547" s="4" t="str">
        <f>IF(Append1[[#This Row],[weathersit]]=0,"sunny",IF(Append1[[#This Row],[weathersit]]=1,"mist",IF(Append1[[#This Row],[weathersit]]=2,"lightrain","extremerain")))</f>
        <v>mist</v>
      </c>
    </row>
    <row r="548" spans="1:16" x14ac:dyDescent="0.25">
      <c r="A548" s="4">
        <v>547</v>
      </c>
      <c r="B548" s="4">
        <v>0.13639999999999999</v>
      </c>
      <c r="C548" s="4">
        <v>0.63</v>
      </c>
      <c r="D548" s="4">
        <v>0.22389999999999999</v>
      </c>
      <c r="E548" s="4">
        <v>3</v>
      </c>
      <c r="F548" s="4">
        <v>32</v>
      </c>
      <c r="G548" s="4">
        <v>35</v>
      </c>
      <c r="H548" s="5">
        <v>40567</v>
      </c>
      <c r="I548" s="4">
        <v>1</v>
      </c>
      <c r="J548" s="4">
        <v>22</v>
      </c>
      <c r="K548" s="4" t="b">
        <f>IF(Append1[[#This Row],[days]]="working day",FALSE,TRUE)</f>
        <v>1</v>
      </c>
      <c r="L548" s="4">
        <v>1</v>
      </c>
      <c r="M548" s="4">
        <v>2</v>
      </c>
      <c r="N548" s="6">
        <v>0.14000000000000001</v>
      </c>
      <c r="O548" s="2" t="str">
        <f>IF(Append1[[#This Row],[weekday]]=0,"holiday",IF(AND(Append1[[#This Row],[weekday]]&gt;1,Append1[[#This Row],[weekday]]&lt;7),"working day","weekend"))</f>
        <v>weekend</v>
      </c>
      <c r="P548" s="4" t="str">
        <f>IF(Append1[[#This Row],[weathersit]]=0,"sunny",IF(Append1[[#This Row],[weathersit]]=1,"mist",IF(Append1[[#This Row],[weathersit]]=2,"lightrain","extremerain")))</f>
        <v>lightrain</v>
      </c>
    </row>
    <row r="549" spans="1:16" x14ac:dyDescent="0.25">
      <c r="A549" s="4">
        <v>548</v>
      </c>
      <c r="B549" s="4">
        <v>0.1515</v>
      </c>
      <c r="C549" s="4">
        <v>0.64</v>
      </c>
      <c r="D549" s="4">
        <v>0.25369999999999998</v>
      </c>
      <c r="E549" s="4">
        <v>3</v>
      </c>
      <c r="F549" s="4">
        <v>21</v>
      </c>
      <c r="G549" s="4">
        <v>24</v>
      </c>
      <c r="H549" s="5">
        <v>40567</v>
      </c>
      <c r="I549" s="4">
        <v>1</v>
      </c>
      <c r="J549" s="4">
        <v>23</v>
      </c>
      <c r="K549" s="4" t="b">
        <f>IF(Append1[[#This Row],[days]]="working day",FALSE,TRUE)</f>
        <v>1</v>
      </c>
      <c r="L549" s="4">
        <v>1</v>
      </c>
      <c r="M549" s="4">
        <v>2</v>
      </c>
      <c r="N549" s="6">
        <v>0.16</v>
      </c>
      <c r="O549" s="2" t="str">
        <f>IF(Append1[[#This Row],[weekday]]=0,"holiday",IF(AND(Append1[[#This Row],[weekday]]&gt;1,Append1[[#This Row],[weekday]]&lt;7),"working day","weekend"))</f>
        <v>weekend</v>
      </c>
      <c r="P549" s="4" t="str">
        <f>IF(Append1[[#This Row],[weathersit]]=0,"sunny",IF(Append1[[#This Row],[weathersit]]=1,"mist",IF(Append1[[#This Row],[weathersit]]=2,"lightrain","extremerain")))</f>
        <v>lightrain</v>
      </c>
    </row>
    <row r="550" spans="1:16" x14ac:dyDescent="0.25">
      <c r="A550" s="4">
        <v>549</v>
      </c>
      <c r="B550" s="4">
        <v>0.13639999999999999</v>
      </c>
      <c r="C550" s="4">
        <v>0.69</v>
      </c>
      <c r="D550" s="4">
        <v>0.28360000000000002</v>
      </c>
      <c r="E550" s="4">
        <v>3</v>
      </c>
      <c r="F550" s="4">
        <v>6</v>
      </c>
      <c r="G550" s="4">
        <v>9</v>
      </c>
      <c r="H550" s="5">
        <v>40568</v>
      </c>
      <c r="I550" s="4">
        <v>1</v>
      </c>
      <c r="J550" s="4">
        <v>0</v>
      </c>
      <c r="K550" s="4" t="b">
        <f>IF(Append1[[#This Row],[days]]="working day",FALSE,TRUE)</f>
        <v>0</v>
      </c>
      <c r="L550" s="4">
        <v>2</v>
      </c>
      <c r="M550" s="4">
        <v>2</v>
      </c>
      <c r="N550" s="6">
        <v>0.16</v>
      </c>
      <c r="O550" s="2" t="str">
        <f>IF(Append1[[#This Row],[weekday]]=0,"holiday",IF(AND(Append1[[#This Row],[weekday]]&gt;1,Append1[[#This Row],[weekday]]&lt;7),"working day","weekend"))</f>
        <v>working day</v>
      </c>
      <c r="P550" s="4" t="str">
        <f>IF(Append1[[#This Row],[weathersit]]=0,"sunny",IF(Append1[[#This Row],[weathersit]]=1,"mist",IF(Append1[[#This Row],[weathersit]]=2,"lightrain","extremerain")))</f>
        <v>lightrain</v>
      </c>
    </row>
    <row r="551" spans="1:16" x14ac:dyDescent="0.25">
      <c r="A551" s="4">
        <v>550</v>
      </c>
      <c r="B551" s="4">
        <v>0.16669999999999999</v>
      </c>
      <c r="C551" s="4">
        <v>0.69</v>
      </c>
      <c r="D551" s="4">
        <v>0.16420000000000001</v>
      </c>
      <c r="E551" s="4">
        <v>0</v>
      </c>
      <c r="F551" s="4">
        <v>5</v>
      </c>
      <c r="G551" s="4">
        <v>5</v>
      </c>
      <c r="H551" s="5">
        <v>40568</v>
      </c>
      <c r="I551" s="4">
        <v>1</v>
      </c>
      <c r="J551" s="4">
        <v>1</v>
      </c>
      <c r="K551" s="4" t="b">
        <f>IF(Append1[[#This Row],[days]]="working day",FALSE,TRUE)</f>
        <v>0</v>
      </c>
      <c r="L551" s="4">
        <v>2</v>
      </c>
      <c r="M551" s="4">
        <v>2</v>
      </c>
      <c r="N551" s="6">
        <v>0.16</v>
      </c>
      <c r="O551" s="2" t="str">
        <f>IF(Append1[[#This Row],[weekday]]=0,"holiday",IF(AND(Append1[[#This Row],[weekday]]&gt;1,Append1[[#This Row],[weekday]]&lt;7),"working day","weekend"))</f>
        <v>working day</v>
      </c>
      <c r="P551" s="4" t="str">
        <f>IF(Append1[[#This Row],[weathersit]]=0,"sunny",IF(Append1[[#This Row],[weathersit]]=1,"mist",IF(Append1[[#This Row],[weathersit]]=2,"lightrain","extremerain")))</f>
        <v>lightrain</v>
      </c>
    </row>
    <row r="552" spans="1:16" x14ac:dyDescent="0.25">
      <c r="A552" s="4">
        <v>551</v>
      </c>
      <c r="B552" s="4">
        <v>0.1515</v>
      </c>
      <c r="C552" s="4">
        <v>0.69</v>
      </c>
      <c r="D552" s="4">
        <v>0.22389999999999999</v>
      </c>
      <c r="E552" s="4">
        <v>0</v>
      </c>
      <c r="F552" s="4">
        <v>2</v>
      </c>
      <c r="G552" s="4">
        <v>2</v>
      </c>
      <c r="H552" s="5">
        <v>40568</v>
      </c>
      <c r="I552" s="4">
        <v>1</v>
      </c>
      <c r="J552" s="4">
        <v>2</v>
      </c>
      <c r="K552" s="4" t="b">
        <f>IF(Append1[[#This Row],[days]]="working day",FALSE,TRUE)</f>
        <v>0</v>
      </c>
      <c r="L552" s="4">
        <v>2</v>
      </c>
      <c r="M552" s="4">
        <v>1</v>
      </c>
      <c r="N552" s="6">
        <v>0.16</v>
      </c>
      <c r="O552" s="2" t="str">
        <f>IF(Append1[[#This Row],[weekday]]=0,"holiday",IF(AND(Append1[[#This Row],[weekday]]&gt;1,Append1[[#This Row],[weekday]]&lt;7),"working day","weekend"))</f>
        <v>working day</v>
      </c>
      <c r="P552" s="4" t="str">
        <f>IF(Append1[[#This Row],[weathersit]]=0,"sunny",IF(Append1[[#This Row],[weathersit]]=1,"mist",IF(Append1[[#This Row],[weathersit]]=2,"lightrain","extremerain")))</f>
        <v>mist</v>
      </c>
    </row>
    <row r="553" spans="1:16" x14ac:dyDescent="0.25">
      <c r="A553" s="4">
        <v>552</v>
      </c>
      <c r="B553" s="4">
        <v>0.16669999999999999</v>
      </c>
      <c r="C553" s="4">
        <v>0.74</v>
      </c>
      <c r="D553" s="4">
        <v>0.1045</v>
      </c>
      <c r="E553" s="4">
        <v>0</v>
      </c>
      <c r="F553" s="4">
        <v>1</v>
      </c>
      <c r="G553" s="4">
        <v>1</v>
      </c>
      <c r="H553" s="5">
        <v>40568</v>
      </c>
      <c r="I553" s="4">
        <v>1</v>
      </c>
      <c r="J553" s="4">
        <v>4</v>
      </c>
      <c r="K553" s="4" t="b">
        <f>IF(Append1[[#This Row],[days]]="working day",FALSE,TRUE)</f>
        <v>0</v>
      </c>
      <c r="L553" s="4">
        <v>2</v>
      </c>
      <c r="M553" s="4">
        <v>1</v>
      </c>
      <c r="N553" s="6">
        <v>0.14000000000000001</v>
      </c>
      <c r="O553" s="2" t="str">
        <f>IF(Append1[[#This Row],[weekday]]=0,"holiday",IF(AND(Append1[[#This Row],[weekday]]&gt;1,Append1[[#This Row],[weekday]]&lt;7),"working day","weekend"))</f>
        <v>working day</v>
      </c>
      <c r="P553" s="4" t="str">
        <f>IF(Append1[[#This Row],[weathersit]]=0,"sunny",IF(Append1[[#This Row],[weathersit]]=1,"mist",IF(Append1[[#This Row],[weathersit]]=2,"lightrain","extremerain")))</f>
        <v>mist</v>
      </c>
    </row>
    <row r="554" spans="1:16" x14ac:dyDescent="0.25">
      <c r="A554" s="4">
        <v>553</v>
      </c>
      <c r="B554" s="4">
        <v>0.13639999999999999</v>
      </c>
      <c r="C554" s="4">
        <v>0.74</v>
      </c>
      <c r="D554" s="4">
        <v>0.22389999999999999</v>
      </c>
      <c r="E554" s="4">
        <v>0</v>
      </c>
      <c r="F554" s="4">
        <v>9</v>
      </c>
      <c r="G554" s="4">
        <v>9</v>
      </c>
      <c r="H554" s="5">
        <v>40568</v>
      </c>
      <c r="I554" s="4">
        <v>1</v>
      </c>
      <c r="J554" s="4">
        <v>5</v>
      </c>
      <c r="K554" s="4" t="b">
        <f>IF(Append1[[#This Row],[days]]="working day",FALSE,TRUE)</f>
        <v>0</v>
      </c>
      <c r="L554" s="4">
        <v>2</v>
      </c>
      <c r="M554" s="4">
        <v>1</v>
      </c>
      <c r="N554" s="6">
        <v>0.14000000000000001</v>
      </c>
      <c r="O554" s="2" t="str">
        <f>IF(Append1[[#This Row],[weekday]]=0,"holiday",IF(AND(Append1[[#This Row],[weekday]]&gt;1,Append1[[#This Row],[weekday]]&lt;7),"working day","weekend"))</f>
        <v>working day</v>
      </c>
      <c r="P554" s="4" t="str">
        <f>IF(Append1[[#This Row],[weathersit]]=0,"sunny",IF(Append1[[#This Row],[weathersit]]=1,"mist",IF(Append1[[#This Row],[weathersit]]=2,"lightrain","extremerain")))</f>
        <v>mist</v>
      </c>
    </row>
    <row r="555" spans="1:16" x14ac:dyDescent="0.25">
      <c r="A555" s="4">
        <v>554</v>
      </c>
      <c r="B555" s="4">
        <v>0.18179999999999999</v>
      </c>
      <c r="C555" s="4">
        <v>0.74</v>
      </c>
      <c r="D555" s="4">
        <v>0.1045</v>
      </c>
      <c r="E555" s="4">
        <v>1</v>
      </c>
      <c r="F555" s="4">
        <v>35</v>
      </c>
      <c r="G555" s="4">
        <v>36</v>
      </c>
      <c r="H555" s="5">
        <v>40568</v>
      </c>
      <c r="I555" s="4">
        <v>1</v>
      </c>
      <c r="J555" s="4">
        <v>6</v>
      </c>
      <c r="K555" s="4" t="b">
        <f>IF(Append1[[#This Row],[days]]="working day",FALSE,TRUE)</f>
        <v>0</v>
      </c>
      <c r="L555" s="4">
        <v>2</v>
      </c>
      <c r="M555" s="4">
        <v>1</v>
      </c>
      <c r="N555" s="6">
        <v>0.16</v>
      </c>
      <c r="O555" s="2" t="str">
        <f>IF(Append1[[#This Row],[weekday]]=0,"holiday",IF(AND(Append1[[#This Row],[weekday]]&gt;1,Append1[[#This Row],[weekday]]&lt;7),"working day","weekend"))</f>
        <v>working day</v>
      </c>
      <c r="P555" s="4" t="str">
        <f>IF(Append1[[#This Row],[weathersit]]=0,"sunny",IF(Append1[[#This Row],[weathersit]]=1,"mist",IF(Append1[[#This Row],[weathersit]]=2,"lightrain","extremerain")))</f>
        <v>mist</v>
      </c>
    </row>
    <row r="556" spans="1:16" x14ac:dyDescent="0.25">
      <c r="A556" s="4">
        <v>555</v>
      </c>
      <c r="B556" s="4">
        <v>0.1515</v>
      </c>
      <c r="C556" s="4">
        <v>0.74</v>
      </c>
      <c r="D556" s="4">
        <v>0.22389999999999999</v>
      </c>
      <c r="E556" s="4">
        <v>5</v>
      </c>
      <c r="F556" s="4">
        <v>103</v>
      </c>
      <c r="G556" s="4">
        <v>108</v>
      </c>
      <c r="H556" s="5">
        <v>40568</v>
      </c>
      <c r="I556" s="4">
        <v>1</v>
      </c>
      <c r="J556" s="4">
        <v>7</v>
      </c>
      <c r="K556" s="4" t="b">
        <f>IF(Append1[[#This Row],[days]]="working day",FALSE,TRUE)</f>
        <v>0</v>
      </c>
      <c r="L556" s="4">
        <v>2</v>
      </c>
      <c r="M556" s="4">
        <v>1</v>
      </c>
      <c r="N556" s="6">
        <v>0.16</v>
      </c>
      <c r="O556" s="2" t="str">
        <f>IF(Append1[[#This Row],[weekday]]=0,"holiday",IF(AND(Append1[[#This Row],[weekday]]&gt;1,Append1[[#This Row],[weekday]]&lt;7),"working day","weekend"))</f>
        <v>working day</v>
      </c>
      <c r="P556" s="4" t="str">
        <f>IF(Append1[[#This Row],[weathersit]]=0,"sunny",IF(Append1[[#This Row],[weathersit]]=1,"mist",IF(Append1[[#This Row],[weathersit]]=2,"lightrain","extremerain")))</f>
        <v>mist</v>
      </c>
    </row>
    <row r="557" spans="1:16" x14ac:dyDescent="0.25">
      <c r="A557" s="4">
        <v>556</v>
      </c>
      <c r="B557" s="4">
        <v>0.18179999999999999</v>
      </c>
      <c r="C557" s="4">
        <v>0.74</v>
      </c>
      <c r="D557" s="4">
        <v>0.1343</v>
      </c>
      <c r="E557" s="4">
        <v>5</v>
      </c>
      <c r="F557" s="4">
        <v>233</v>
      </c>
      <c r="G557" s="4">
        <v>238</v>
      </c>
      <c r="H557" s="5">
        <v>40568</v>
      </c>
      <c r="I557" s="4">
        <v>1</v>
      </c>
      <c r="J557" s="4">
        <v>8</v>
      </c>
      <c r="K557" s="4" t="b">
        <f>IF(Append1[[#This Row],[days]]="working day",FALSE,TRUE)</f>
        <v>0</v>
      </c>
      <c r="L557" s="4">
        <v>2</v>
      </c>
      <c r="M557" s="4">
        <v>2</v>
      </c>
      <c r="N557" s="6">
        <v>0.16</v>
      </c>
      <c r="O557" s="2" t="str">
        <f>IF(Append1[[#This Row],[weekday]]=0,"holiday",IF(AND(Append1[[#This Row],[weekday]]&gt;1,Append1[[#This Row],[weekday]]&lt;7),"working day","weekend"))</f>
        <v>working day</v>
      </c>
      <c r="P557" s="4" t="str">
        <f>IF(Append1[[#This Row],[weathersit]]=0,"sunny",IF(Append1[[#This Row],[weathersit]]=1,"mist",IF(Append1[[#This Row],[weathersit]]=2,"lightrain","extremerain")))</f>
        <v>lightrain</v>
      </c>
    </row>
    <row r="558" spans="1:16" x14ac:dyDescent="0.25">
      <c r="A558" s="4">
        <v>557</v>
      </c>
      <c r="B558" s="4">
        <v>0.2273</v>
      </c>
      <c r="C558" s="4">
        <v>0.64</v>
      </c>
      <c r="D558" s="4">
        <v>8.9599999999999999E-2</v>
      </c>
      <c r="E558" s="4">
        <v>10</v>
      </c>
      <c r="F558" s="4">
        <v>134</v>
      </c>
      <c r="G558" s="4">
        <v>144</v>
      </c>
      <c r="H558" s="5">
        <v>40568</v>
      </c>
      <c r="I558" s="4">
        <v>1</v>
      </c>
      <c r="J558" s="4">
        <v>9</v>
      </c>
      <c r="K558" s="4" t="b">
        <f>IF(Append1[[#This Row],[days]]="working day",FALSE,TRUE)</f>
        <v>0</v>
      </c>
      <c r="L558" s="4">
        <v>2</v>
      </c>
      <c r="M558" s="4">
        <v>2</v>
      </c>
      <c r="N558" s="6">
        <v>0.2</v>
      </c>
      <c r="O558" s="2" t="str">
        <f>IF(Append1[[#This Row],[weekday]]=0,"holiday",IF(AND(Append1[[#This Row],[weekday]]&gt;1,Append1[[#This Row],[weekday]]&lt;7),"working day","weekend"))</f>
        <v>working day</v>
      </c>
      <c r="P558" s="4" t="str">
        <f>IF(Append1[[#This Row],[weathersit]]=0,"sunny",IF(Append1[[#This Row],[weathersit]]=1,"mist",IF(Append1[[#This Row],[weathersit]]=2,"lightrain","extremerain")))</f>
        <v>lightrain</v>
      </c>
    </row>
    <row r="559" spans="1:16" x14ac:dyDescent="0.25">
      <c r="A559" s="4">
        <v>558</v>
      </c>
      <c r="B559" s="4">
        <v>0.2424</v>
      </c>
      <c r="C559" s="4">
        <v>0.6</v>
      </c>
      <c r="D559" s="4">
        <v>0.1045</v>
      </c>
      <c r="E559" s="4">
        <v>6</v>
      </c>
      <c r="F559" s="4">
        <v>49</v>
      </c>
      <c r="G559" s="4">
        <v>55</v>
      </c>
      <c r="H559" s="5">
        <v>40568</v>
      </c>
      <c r="I559" s="4">
        <v>1</v>
      </c>
      <c r="J559" s="4">
        <v>10</v>
      </c>
      <c r="K559" s="4" t="b">
        <f>IF(Append1[[#This Row],[days]]="working day",FALSE,TRUE)</f>
        <v>0</v>
      </c>
      <c r="L559" s="4">
        <v>2</v>
      </c>
      <c r="M559" s="4">
        <v>2</v>
      </c>
      <c r="N559" s="6">
        <v>0.22</v>
      </c>
      <c r="O559" s="2" t="str">
        <f>IF(Append1[[#This Row],[weekday]]=0,"holiday",IF(AND(Append1[[#This Row],[weekday]]&gt;1,Append1[[#This Row],[weekday]]&lt;7),"working day","weekend"))</f>
        <v>working day</v>
      </c>
      <c r="P559" s="4" t="str">
        <f>IF(Append1[[#This Row],[weathersit]]=0,"sunny",IF(Append1[[#This Row],[weathersit]]=1,"mist",IF(Append1[[#This Row],[weathersit]]=2,"lightrain","extremerain")))</f>
        <v>lightrain</v>
      </c>
    </row>
    <row r="560" spans="1:16" x14ac:dyDescent="0.25">
      <c r="A560" s="4">
        <v>559</v>
      </c>
      <c r="B560" s="4">
        <v>0.2424</v>
      </c>
      <c r="C560" s="4">
        <v>0.6</v>
      </c>
      <c r="D560" s="4">
        <v>0.1343</v>
      </c>
      <c r="E560" s="4">
        <v>6</v>
      </c>
      <c r="F560" s="4">
        <v>55</v>
      </c>
      <c r="G560" s="4">
        <v>61</v>
      </c>
      <c r="H560" s="5">
        <v>40568</v>
      </c>
      <c r="I560" s="4">
        <v>1</v>
      </c>
      <c r="J560" s="4">
        <v>11</v>
      </c>
      <c r="K560" s="4" t="b">
        <f>IF(Append1[[#This Row],[days]]="working day",FALSE,TRUE)</f>
        <v>0</v>
      </c>
      <c r="L560" s="4">
        <v>2</v>
      </c>
      <c r="M560" s="4">
        <v>2</v>
      </c>
      <c r="N560" s="6">
        <v>0.24</v>
      </c>
      <c r="O560" s="2" t="str">
        <f>IF(Append1[[#This Row],[weekday]]=0,"holiday",IF(AND(Append1[[#This Row],[weekday]]&gt;1,Append1[[#This Row],[weekday]]&lt;7),"working day","weekend"))</f>
        <v>working day</v>
      </c>
      <c r="P560" s="4" t="str">
        <f>IF(Append1[[#This Row],[weathersit]]=0,"sunny",IF(Append1[[#This Row],[weathersit]]=1,"mist",IF(Append1[[#This Row],[weathersit]]=2,"lightrain","extremerain")))</f>
        <v>lightrain</v>
      </c>
    </row>
    <row r="561" spans="1:16" x14ac:dyDescent="0.25">
      <c r="A561" s="4">
        <v>560</v>
      </c>
      <c r="B561" s="4">
        <v>0.28789999999999999</v>
      </c>
      <c r="C561" s="4">
        <v>0.56000000000000005</v>
      </c>
      <c r="D561" s="4">
        <v>8.9599999999999999E-2</v>
      </c>
      <c r="E561" s="4">
        <v>21</v>
      </c>
      <c r="F561" s="4">
        <v>85</v>
      </c>
      <c r="G561" s="4">
        <v>106</v>
      </c>
      <c r="H561" s="5">
        <v>40568</v>
      </c>
      <c r="I561" s="4">
        <v>1</v>
      </c>
      <c r="J561" s="4">
        <v>12</v>
      </c>
      <c r="K561" s="4" t="b">
        <f>IF(Append1[[#This Row],[days]]="working day",FALSE,TRUE)</f>
        <v>0</v>
      </c>
      <c r="L561" s="4">
        <v>2</v>
      </c>
      <c r="M561" s="4">
        <v>2</v>
      </c>
      <c r="N561" s="6">
        <v>0.26</v>
      </c>
      <c r="O561" s="2" t="str">
        <f>IF(Append1[[#This Row],[weekday]]=0,"holiday",IF(AND(Append1[[#This Row],[weekday]]&gt;1,Append1[[#This Row],[weekday]]&lt;7),"working day","weekend"))</f>
        <v>working day</v>
      </c>
      <c r="P561" s="4" t="str">
        <f>IF(Append1[[#This Row],[weathersit]]=0,"sunny",IF(Append1[[#This Row],[weathersit]]=1,"mist",IF(Append1[[#This Row],[weathersit]]=2,"lightrain","extremerain")))</f>
        <v>lightrain</v>
      </c>
    </row>
    <row r="562" spans="1:16" x14ac:dyDescent="0.25">
      <c r="A562" s="4">
        <v>561</v>
      </c>
      <c r="B562" s="4">
        <v>0.2727</v>
      </c>
      <c r="C562" s="4">
        <v>0.56000000000000005</v>
      </c>
      <c r="D562" s="4">
        <v>0.1343</v>
      </c>
      <c r="E562" s="4">
        <v>21</v>
      </c>
      <c r="F562" s="4">
        <v>72</v>
      </c>
      <c r="G562" s="4">
        <v>93</v>
      </c>
      <c r="H562" s="5">
        <v>40568</v>
      </c>
      <c r="I562" s="4">
        <v>1</v>
      </c>
      <c r="J562" s="4">
        <v>13</v>
      </c>
      <c r="K562" s="4" t="b">
        <f>IF(Append1[[#This Row],[days]]="working day",FALSE,TRUE)</f>
        <v>0</v>
      </c>
      <c r="L562" s="4">
        <v>2</v>
      </c>
      <c r="M562" s="4">
        <v>2</v>
      </c>
      <c r="N562" s="6">
        <v>0.26</v>
      </c>
      <c r="O562" s="2" t="str">
        <f>IF(Append1[[#This Row],[weekday]]=0,"holiday",IF(AND(Append1[[#This Row],[weekday]]&gt;1,Append1[[#This Row],[weekday]]&lt;7),"working day","weekend"))</f>
        <v>working day</v>
      </c>
      <c r="P562" s="4" t="str">
        <f>IF(Append1[[#This Row],[weathersit]]=0,"sunny",IF(Append1[[#This Row],[weathersit]]=1,"mist",IF(Append1[[#This Row],[weathersit]]=2,"lightrain","extremerain")))</f>
        <v>lightrain</v>
      </c>
    </row>
    <row r="563" spans="1:16" x14ac:dyDescent="0.25">
      <c r="A563" s="4">
        <v>562</v>
      </c>
      <c r="B563" s="4">
        <v>0.33329999999999999</v>
      </c>
      <c r="C563" s="4">
        <v>0.45</v>
      </c>
      <c r="D563" s="4">
        <v>0</v>
      </c>
      <c r="E563" s="4">
        <v>11</v>
      </c>
      <c r="F563" s="4">
        <v>57</v>
      </c>
      <c r="G563" s="4">
        <v>68</v>
      </c>
      <c r="H563" s="5">
        <v>40568</v>
      </c>
      <c r="I563" s="4">
        <v>1</v>
      </c>
      <c r="J563" s="4">
        <v>14</v>
      </c>
      <c r="K563" s="4" t="b">
        <f>IF(Append1[[#This Row],[days]]="working day",FALSE,TRUE)</f>
        <v>0</v>
      </c>
      <c r="L563" s="4">
        <v>2</v>
      </c>
      <c r="M563" s="4">
        <v>2</v>
      </c>
      <c r="N563" s="6">
        <v>0.3</v>
      </c>
      <c r="O563" s="2" t="str">
        <f>IF(Append1[[#This Row],[weekday]]=0,"holiday",IF(AND(Append1[[#This Row],[weekday]]&gt;1,Append1[[#This Row],[weekday]]&lt;7),"working day","weekend"))</f>
        <v>working day</v>
      </c>
      <c r="P563" s="4" t="str">
        <f>IF(Append1[[#This Row],[weathersit]]=0,"sunny",IF(Append1[[#This Row],[weathersit]]=1,"mist",IF(Append1[[#This Row],[weathersit]]=2,"lightrain","extremerain")))</f>
        <v>lightrain</v>
      </c>
    </row>
    <row r="564" spans="1:16" x14ac:dyDescent="0.25">
      <c r="A564" s="4">
        <v>563</v>
      </c>
      <c r="B564" s="4">
        <v>0.34849999999999998</v>
      </c>
      <c r="C564" s="4">
        <v>0.42</v>
      </c>
      <c r="D564" s="4">
        <v>0</v>
      </c>
      <c r="E564" s="4">
        <v>21</v>
      </c>
      <c r="F564" s="4">
        <v>63</v>
      </c>
      <c r="G564" s="4">
        <v>84</v>
      </c>
      <c r="H564" s="5">
        <v>40568</v>
      </c>
      <c r="I564" s="4">
        <v>1</v>
      </c>
      <c r="J564" s="4">
        <v>15</v>
      </c>
      <c r="K564" s="4" t="b">
        <f>IF(Append1[[#This Row],[days]]="working day",FALSE,TRUE)</f>
        <v>0</v>
      </c>
      <c r="L564" s="4">
        <v>2</v>
      </c>
      <c r="M564" s="4">
        <v>2</v>
      </c>
      <c r="N564" s="6">
        <v>0.32</v>
      </c>
      <c r="O564" s="2" t="str">
        <f>IF(Append1[[#This Row],[weekday]]=0,"holiday",IF(AND(Append1[[#This Row],[weekday]]&gt;1,Append1[[#This Row],[weekday]]&lt;7),"working day","weekend"))</f>
        <v>working day</v>
      </c>
      <c r="P564" s="4" t="str">
        <f>IF(Append1[[#This Row],[weathersit]]=0,"sunny",IF(Append1[[#This Row],[weathersit]]=1,"mist",IF(Append1[[#This Row],[weathersit]]=2,"lightrain","extremerain")))</f>
        <v>lightrain</v>
      </c>
    </row>
    <row r="565" spans="1:16" x14ac:dyDescent="0.25">
      <c r="A565" s="4">
        <v>564</v>
      </c>
      <c r="B565" s="4">
        <v>0.34849999999999998</v>
      </c>
      <c r="C565" s="4">
        <v>0.42</v>
      </c>
      <c r="D565" s="4">
        <v>0</v>
      </c>
      <c r="E565" s="4">
        <v>14</v>
      </c>
      <c r="F565" s="4">
        <v>102</v>
      </c>
      <c r="G565" s="4">
        <v>116</v>
      </c>
      <c r="H565" s="5">
        <v>40568</v>
      </c>
      <c r="I565" s="4">
        <v>1</v>
      </c>
      <c r="J565" s="4">
        <v>16</v>
      </c>
      <c r="K565" s="4" t="b">
        <f>IF(Append1[[#This Row],[days]]="working day",FALSE,TRUE)</f>
        <v>0</v>
      </c>
      <c r="L565" s="4">
        <v>2</v>
      </c>
      <c r="M565" s="4">
        <v>2</v>
      </c>
      <c r="N565" s="6">
        <v>0.32</v>
      </c>
      <c r="O565" s="2" t="str">
        <f>IF(Append1[[#This Row],[weekday]]=0,"holiday",IF(AND(Append1[[#This Row],[weekday]]&gt;1,Append1[[#This Row],[weekday]]&lt;7),"working day","weekend"))</f>
        <v>working day</v>
      </c>
      <c r="P565" s="4" t="str">
        <f>IF(Append1[[#This Row],[weathersit]]=0,"sunny",IF(Append1[[#This Row],[weathersit]]=1,"mist",IF(Append1[[#This Row],[weathersit]]=2,"lightrain","extremerain")))</f>
        <v>lightrain</v>
      </c>
    </row>
    <row r="566" spans="1:16" x14ac:dyDescent="0.25">
      <c r="A566" s="4">
        <v>565</v>
      </c>
      <c r="B566" s="4">
        <v>0.33329999999999999</v>
      </c>
      <c r="C566" s="4">
        <v>0.45</v>
      </c>
      <c r="D566" s="4">
        <v>0</v>
      </c>
      <c r="E566" s="4">
        <v>14</v>
      </c>
      <c r="F566" s="4">
        <v>208</v>
      </c>
      <c r="G566" s="4">
        <v>222</v>
      </c>
      <c r="H566" s="5">
        <v>40568</v>
      </c>
      <c r="I566" s="4">
        <v>1</v>
      </c>
      <c r="J566" s="4">
        <v>17</v>
      </c>
      <c r="K566" s="4" t="b">
        <f>IF(Append1[[#This Row],[days]]="working day",FALSE,TRUE)</f>
        <v>0</v>
      </c>
      <c r="L566" s="4">
        <v>2</v>
      </c>
      <c r="M566" s="4">
        <v>1</v>
      </c>
      <c r="N566" s="6">
        <v>0.3</v>
      </c>
      <c r="O566" s="2" t="str">
        <f>IF(Append1[[#This Row],[weekday]]=0,"holiday",IF(AND(Append1[[#This Row],[weekday]]&gt;1,Append1[[#This Row],[weekday]]&lt;7),"working day","weekend"))</f>
        <v>working day</v>
      </c>
      <c r="P566" s="4" t="str">
        <f>IF(Append1[[#This Row],[weathersit]]=0,"sunny",IF(Append1[[#This Row],[weathersit]]=1,"mist",IF(Append1[[#This Row],[weathersit]]=2,"lightrain","extremerain")))</f>
        <v>mist</v>
      </c>
    </row>
    <row r="567" spans="1:16" x14ac:dyDescent="0.25">
      <c r="A567" s="4">
        <v>566</v>
      </c>
      <c r="B567" s="4">
        <v>0.31819999999999998</v>
      </c>
      <c r="C567" s="4">
        <v>0.49</v>
      </c>
      <c r="D567" s="4">
        <v>8.9599999999999999E-2</v>
      </c>
      <c r="E567" s="4">
        <v>7</v>
      </c>
      <c r="F567" s="4">
        <v>218</v>
      </c>
      <c r="G567" s="4">
        <v>225</v>
      </c>
      <c r="H567" s="5">
        <v>40568</v>
      </c>
      <c r="I567" s="4">
        <v>1</v>
      </c>
      <c r="J567" s="4">
        <v>18</v>
      </c>
      <c r="K567" s="4" t="b">
        <f>IF(Append1[[#This Row],[days]]="working day",FALSE,TRUE)</f>
        <v>0</v>
      </c>
      <c r="L567" s="4">
        <v>2</v>
      </c>
      <c r="M567" s="4">
        <v>2</v>
      </c>
      <c r="N567" s="6">
        <v>0.3</v>
      </c>
      <c r="O567" s="2" t="str">
        <f>IF(Append1[[#This Row],[weekday]]=0,"holiday",IF(AND(Append1[[#This Row],[weekday]]&gt;1,Append1[[#This Row],[weekday]]&lt;7),"working day","weekend"))</f>
        <v>working day</v>
      </c>
      <c r="P567" s="4" t="str">
        <f>IF(Append1[[#This Row],[weathersit]]=0,"sunny",IF(Append1[[#This Row],[weathersit]]=1,"mist",IF(Append1[[#This Row],[weathersit]]=2,"lightrain","extremerain")))</f>
        <v>lightrain</v>
      </c>
    </row>
    <row r="568" spans="1:16" x14ac:dyDescent="0.25">
      <c r="A568" s="4">
        <v>567</v>
      </c>
      <c r="B568" s="4">
        <v>0.2576</v>
      </c>
      <c r="C568" s="4">
        <v>0.65</v>
      </c>
      <c r="D568" s="4">
        <v>0.16420000000000001</v>
      </c>
      <c r="E568" s="4">
        <v>13</v>
      </c>
      <c r="F568" s="4">
        <v>133</v>
      </c>
      <c r="G568" s="4">
        <v>146</v>
      </c>
      <c r="H568" s="5">
        <v>40568</v>
      </c>
      <c r="I568" s="4">
        <v>1</v>
      </c>
      <c r="J568" s="4">
        <v>19</v>
      </c>
      <c r="K568" s="4" t="b">
        <f>IF(Append1[[#This Row],[days]]="working day",FALSE,TRUE)</f>
        <v>0</v>
      </c>
      <c r="L568" s="4">
        <v>2</v>
      </c>
      <c r="M568" s="4">
        <v>2</v>
      </c>
      <c r="N568" s="6">
        <v>0.26</v>
      </c>
      <c r="O568" s="2" t="str">
        <f>IF(Append1[[#This Row],[weekday]]=0,"holiday",IF(AND(Append1[[#This Row],[weekday]]&gt;1,Append1[[#This Row],[weekday]]&lt;7),"working day","weekend"))</f>
        <v>working day</v>
      </c>
      <c r="P568" s="4" t="str">
        <f>IF(Append1[[#This Row],[weathersit]]=0,"sunny",IF(Append1[[#This Row],[weathersit]]=1,"mist",IF(Append1[[#This Row],[weathersit]]=2,"lightrain","extremerain")))</f>
        <v>lightrain</v>
      </c>
    </row>
    <row r="569" spans="1:16" x14ac:dyDescent="0.25">
      <c r="A569" s="4">
        <v>568</v>
      </c>
      <c r="B569" s="4">
        <v>0.2273</v>
      </c>
      <c r="C569" s="4">
        <v>0.65</v>
      </c>
      <c r="D569" s="4">
        <v>0.19400000000000001</v>
      </c>
      <c r="E569" s="4">
        <v>16</v>
      </c>
      <c r="F569" s="4">
        <v>103</v>
      </c>
      <c r="G569" s="4">
        <v>119</v>
      </c>
      <c r="H569" s="5">
        <v>40568</v>
      </c>
      <c r="I569" s="4">
        <v>1</v>
      </c>
      <c r="J569" s="4">
        <v>20</v>
      </c>
      <c r="K569" s="4" t="b">
        <f>IF(Append1[[#This Row],[days]]="working day",FALSE,TRUE)</f>
        <v>0</v>
      </c>
      <c r="L569" s="4">
        <v>2</v>
      </c>
      <c r="M569" s="4">
        <v>1</v>
      </c>
      <c r="N569" s="6">
        <v>0.24</v>
      </c>
      <c r="O569" s="2" t="str">
        <f>IF(Append1[[#This Row],[weekday]]=0,"holiday",IF(AND(Append1[[#This Row],[weekday]]&gt;1,Append1[[#This Row],[weekday]]&lt;7),"working day","weekend"))</f>
        <v>working day</v>
      </c>
      <c r="P569" s="4" t="str">
        <f>IF(Append1[[#This Row],[weathersit]]=0,"sunny",IF(Append1[[#This Row],[weathersit]]=1,"mist",IF(Append1[[#This Row],[weathersit]]=2,"lightrain","extremerain")))</f>
        <v>mist</v>
      </c>
    </row>
    <row r="570" spans="1:16" x14ac:dyDescent="0.25">
      <c r="A570" s="4">
        <v>569</v>
      </c>
      <c r="B570" s="4">
        <v>0.2273</v>
      </c>
      <c r="C570" s="4">
        <v>0.65</v>
      </c>
      <c r="D570" s="4">
        <v>0.19400000000000001</v>
      </c>
      <c r="E570" s="4">
        <v>5</v>
      </c>
      <c r="F570" s="4">
        <v>40</v>
      </c>
      <c r="G570" s="4">
        <v>45</v>
      </c>
      <c r="H570" s="5">
        <v>40568</v>
      </c>
      <c r="I570" s="4">
        <v>1</v>
      </c>
      <c r="J570" s="4">
        <v>21</v>
      </c>
      <c r="K570" s="4" t="b">
        <f>IF(Append1[[#This Row],[days]]="working day",FALSE,TRUE)</f>
        <v>0</v>
      </c>
      <c r="L570" s="4">
        <v>2</v>
      </c>
      <c r="M570" s="4">
        <v>1</v>
      </c>
      <c r="N570" s="6">
        <v>0.24</v>
      </c>
      <c r="O570" s="2" t="str">
        <f>IF(Append1[[#This Row],[weekday]]=0,"holiday",IF(AND(Append1[[#This Row],[weekday]]&gt;1,Append1[[#This Row],[weekday]]&lt;7),"working day","weekend"))</f>
        <v>working day</v>
      </c>
      <c r="P570" s="4" t="str">
        <f>IF(Append1[[#This Row],[weathersit]]=0,"sunny",IF(Append1[[#This Row],[weathersit]]=1,"mist",IF(Append1[[#This Row],[weathersit]]=2,"lightrain","extremerain")))</f>
        <v>mist</v>
      </c>
    </row>
    <row r="571" spans="1:16" x14ac:dyDescent="0.25">
      <c r="A571" s="4">
        <v>570</v>
      </c>
      <c r="B571" s="4">
        <v>0.2273</v>
      </c>
      <c r="C571" s="4">
        <v>0.64</v>
      </c>
      <c r="D571" s="4">
        <v>0.16420000000000001</v>
      </c>
      <c r="E571" s="4">
        <v>4</v>
      </c>
      <c r="F571" s="4">
        <v>49</v>
      </c>
      <c r="G571" s="4">
        <v>53</v>
      </c>
      <c r="H571" s="5">
        <v>40568</v>
      </c>
      <c r="I571" s="4">
        <v>1</v>
      </c>
      <c r="J571" s="4">
        <v>22</v>
      </c>
      <c r="K571" s="4" t="b">
        <f>IF(Append1[[#This Row],[days]]="working day",FALSE,TRUE)</f>
        <v>0</v>
      </c>
      <c r="L571" s="4">
        <v>2</v>
      </c>
      <c r="M571" s="4">
        <v>1</v>
      </c>
      <c r="N571" s="6">
        <v>0.22</v>
      </c>
      <c r="O571" s="2" t="str">
        <f>IF(Append1[[#This Row],[weekday]]=0,"holiday",IF(AND(Append1[[#This Row],[weekday]]&gt;1,Append1[[#This Row],[weekday]]&lt;7),"working day","weekend"))</f>
        <v>working day</v>
      </c>
      <c r="P571" s="4" t="str">
        <f>IF(Append1[[#This Row],[weathersit]]=0,"sunny",IF(Append1[[#This Row],[weathersit]]=1,"mist",IF(Append1[[#This Row],[weathersit]]=2,"lightrain","extremerain")))</f>
        <v>mist</v>
      </c>
    </row>
    <row r="572" spans="1:16" x14ac:dyDescent="0.25">
      <c r="A572" s="4">
        <v>571</v>
      </c>
      <c r="B572" s="4">
        <v>0.2273</v>
      </c>
      <c r="C572" s="4">
        <v>0.64</v>
      </c>
      <c r="D572" s="4">
        <v>0.16420000000000001</v>
      </c>
      <c r="E572" s="4">
        <v>3</v>
      </c>
      <c r="F572" s="4">
        <v>37</v>
      </c>
      <c r="G572" s="4">
        <v>40</v>
      </c>
      <c r="H572" s="5">
        <v>40568</v>
      </c>
      <c r="I572" s="4">
        <v>1</v>
      </c>
      <c r="J572" s="4">
        <v>23</v>
      </c>
      <c r="K572" s="4" t="b">
        <f>IF(Append1[[#This Row],[days]]="working day",FALSE,TRUE)</f>
        <v>0</v>
      </c>
      <c r="L572" s="4">
        <v>2</v>
      </c>
      <c r="M572" s="4">
        <v>2</v>
      </c>
      <c r="N572" s="6">
        <v>0.22</v>
      </c>
      <c r="O572" s="2" t="str">
        <f>IF(Append1[[#This Row],[weekday]]=0,"holiday",IF(AND(Append1[[#This Row],[weekday]]&gt;1,Append1[[#This Row],[weekday]]&lt;7),"working day","weekend"))</f>
        <v>working day</v>
      </c>
      <c r="P572" s="4" t="str">
        <f>IF(Append1[[#This Row],[weathersit]]=0,"sunny",IF(Append1[[#This Row],[weathersit]]=1,"mist",IF(Append1[[#This Row],[weathersit]]=2,"lightrain","extremerain")))</f>
        <v>lightrain</v>
      </c>
    </row>
    <row r="573" spans="1:16" x14ac:dyDescent="0.25">
      <c r="A573" s="4">
        <v>572</v>
      </c>
      <c r="B573" s="4">
        <v>0.2273</v>
      </c>
      <c r="C573" s="4">
        <v>0.69</v>
      </c>
      <c r="D573" s="4">
        <v>0.1343</v>
      </c>
      <c r="E573" s="4">
        <v>3</v>
      </c>
      <c r="F573" s="4">
        <v>14</v>
      </c>
      <c r="G573" s="4">
        <v>17</v>
      </c>
      <c r="H573" s="5">
        <v>40569</v>
      </c>
      <c r="I573" s="4">
        <v>1</v>
      </c>
      <c r="J573" s="4">
        <v>0</v>
      </c>
      <c r="K573" s="4" t="b">
        <f>IF(Append1[[#This Row],[days]]="working day",FALSE,TRUE)</f>
        <v>0</v>
      </c>
      <c r="L573" s="4">
        <v>3</v>
      </c>
      <c r="M573" s="4">
        <v>2</v>
      </c>
      <c r="N573" s="6">
        <v>0.22</v>
      </c>
      <c r="O573" s="2" t="str">
        <f>IF(Append1[[#This Row],[weekday]]=0,"holiday",IF(AND(Append1[[#This Row],[weekday]]&gt;1,Append1[[#This Row],[weekday]]&lt;7),"working day","weekend"))</f>
        <v>working day</v>
      </c>
      <c r="P573" s="4" t="str">
        <f>IF(Append1[[#This Row],[weathersit]]=0,"sunny",IF(Append1[[#This Row],[weathersit]]=1,"mist",IF(Append1[[#This Row],[weathersit]]=2,"lightrain","extremerain")))</f>
        <v>lightrain</v>
      </c>
    </row>
    <row r="574" spans="1:16" x14ac:dyDescent="0.25">
      <c r="A574" s="4">
        <v>573</v>
      </c>
      <c r="B574" s="4">
        <v>0.2424</v>
      </c>
      <c r="C574" s="4">
        <v>0.65</v>
      </c>
      <c r="D574" s="4">
        <v>0.1343</v>
      </c>
      <c r="E574" s="4">
        <v>0</v>
      </c>
      <c r="F574" s="4">
        <v>5</v>
      </c>
      <c r="G574" s="4">
        <v>5</v>
      </c>
      <c r="H574" s="5">
        <v>40569</v>
      </c>
      <c r="I574" s="4">
        <v>1</v>
      </c>
      <c r="J574" s="4">
        <v>1</v>
      </c>
      <c r="K574" s="4" t="b">
        <f>IF(Append1[[#This Row],[days]]="working day",FALSE,TRUE)</f>
        <v>0</v>
      </c>
      <c r="L574" s="4">
        <v>3</v>
      </c>
      <c r="M574" s="4">
        <v>2</v>
      </c>
      <c r="N574" s="6">
        <v>0.24</v>
      </c>
      <c r="O574" s="2" t="str">
        <f>IF(Append1[[#This Row],[weekday]]=0,"holiday",IF(AND(Append1[[#This Row],[weekday]]&gt;1,Append1[[#This Row],[weekday]]&lt;7),"working day","weekend"))</f>
        <v>working day</v>
      </c>
      <c r="P574" s="4" t="str">
        <f>IF(Append1[[#This Row],[weathersit]]=0,"sunny",IF(Append1[[#This Row],[weathersit]]=1,"mist",IF(Append1[[#This Row],[weathersit]]=2,"lightrain","extremerain")))</f>
        <v>lightrain</v>
      </c>
    </row>
    <row r="575" spans="1:16" x14ac:dyDescent="0.25">
      <c r="A575" s="4">
        <v>574</v>
      </c>
      <c r="B575" s="4">
        <v>0.2273</v>
      </c>
      <c r="C575" s="4">
        <v>0.69</v>
      </c>
      <c r="D575" s="4">
        <v>0.19400000000000001</v>
      </c>
      <c r="E575" s="4">
        <v>3</v>
      </c>
      <c r="F575" s="4">
        <v>7</v>
      </c>
      <c r="G575" s="4">
        <v>10</v>
      </c>
      <c r="H575" s="5">
        <v>40569</v>
      </c>
      <c r="I575" s="4">
        <v>1</v>
      </c>
      <c r="J575" s="4">
        <v>2</v>
      </c>
      <c r="K575" s="4" t="b">
        <f>IF(Append1[[#This Row],[days]]="working day",FALSE,TRUE)</f>
        <v>0</v>
      </c>
      <c r="L575" s="4">
        <v>3</v>
      </c>
      <c r="M575" s="4">
        <v>3</v>
      </c>
      <c r="N575" s="6">
        <v>0.22</v>
      </c>
      <c r="O575" s="2" t="str">
        <f>IF(Append1[[#This Row],[weekday]]=0,"holiday",IF(AND(Append1[[#This Row],[weekday]]&gt;1,Append1[[#This Row],[weekday]]&lt;7),"working day","weekend"))</f>
        <v>working day</v>
      </c>
      <c r="P575" s="4" t="str">
        <f>IF(Append1[[#This Row],[weathersit]]=0,"sunny",IF(Append1[[#This Row],[weathersit]]=1,"mist",IF(Append1[[#This Row],[weathersit]]=2,"lightrain","extremerain")))</f>
        <v>extremerain</v>
      </c>
    </row>
    <row r="576" spans="1:16" x14ac:dyDescent="0.25">
      <c r="A576" s="4">
        <v>575</v>
      </c>
      <c r="B576" s="4">
        <v>0.18179999999999999</v>
      </c>
      <c r="C576" s="4">
        <v>0.86</v>
      </c>
      <c r="D576" s="4">
        <v>0.28360000000000002</v>
      </c>
      <c r="E576" s="4">
        <v>0</v>
      </c>
      <c r="F576" s="4">
        <v>1</v>
      </c>
      <c r="G576" s="4">
        <v>1</v>
      </c>
      <c r="H576" s="5">
        <v>40569</v>
      </c>
      <c r="I576" s="4">
        <v>1</v>
      </c>
      <c r="J576" s="4">
        <v>5</v>
      </c>
      <c r="K576" s="4" t="b">
        <f>IF(Append1[[#This Row],[days]]="working day",FALSE,TRUE)</f>
        <v>0</v>
      </c>
      <c r="L576" s="4">
        <v>3</v>
      </c>
      <c r="M576" s="4">
        <v>3</v>
      </c>
      <c r="N576" s="6">
        <v>0.2</v>
      </c>
      <c r="O576" s="2" t="str">
        <f>IF(Append1[[#This Row],[weekday]]=0,"holiday",IF(AND(Append1[[#This Row],[weekday]]&gt;1,Append1[[#This Row],[weekday]]&lt;7),"working day","weekend"))</f>
        <v>working day</v>
      </c>
      <c r="P576" s="4" t="str">
        <f>IF(Append1[[#This Row],[weathersit]]=0,"sunny",IF(Append1[[#This Row],[weathersit]]=1,"mist",IF(Append1[[#This Row],[weathersit]]=2,"lightrain","extremerain")))</f>
        <v>extremerain</v>
      </c>
    </row>
    <row r="577" spans="1:16" x14ac:dyDescent="0.25">
      <c r="A577" s="4">
        <v>576</v>
      </c>
      <c r="B577" s="4">
        <v>0.18179999999999999</v>
      </c>
      <c r="C577" s="4">
        <v>0.86</v>
      </c>
      <c r="D577" s="4">
        <v>0.28360000000000002</v>
      </c>
      <c r="E577" s="4">
        <v>0</v>
      </c>
      <c r="F577" s="4">
        <v>8</v>
      </c>
      <c r="G577" s="4">
        <v>8</v>
      </c>
      <c r="H577" s="5">
        <v>40569</v>
      </c>
      <c r="I577" s="4">
        <v>1</v>
      </c>
      <c r="J577" s="4">
        <v>6</v>
      </c>
      <c r="K577" s="4" t="b">
        <f>IF(Append1[[#This Row],[days]]="working day",FALSE,TRUE)</f>
        <v>0</v>
      </c>
      <c r="L577" s="4">
        <v>3</v>
      </c>
      <c r="M577" s="4">
        <v>3</v>
      </c>
      <c r="N577" s="6">
        <v>0.2</v>
      </c>
      <c r="O577" s="2" t="str">
        <f>IF(Append1[[#This Row],[weekday]]=0,"holiday",IF(AND(Append1[[#This Row],[weekday]]&gt;1,Append1[[#This Row],[weekday]]&lt;7),"working day","weekend"))</f>
        <v>working day</v>
      </c>
      <c r="P577" s="4" t="str">
        <f>IF(Append1[[#This Row],[weathersit]]=0,"sunny",IF(Append1[[#This Row],[weathersit]]=1,"mist",IF(Append1[[#This Row],[weathersit]]=2,"lightrain","extremerain")))</f>
        <v>extremerain</v>
      </c>
    </row>
    <row r="578" spans="1:16" x14ac:dyDescent="0.25">
      <c r="A578" s="4">
        <v>577</v>
      </c>
      <c r="B578" s="4">
        <v>0.21210000000000001</v>
      </c>
      <c r="C578" s="4">
        <v>0.87</v>
      </c>
      <c r="D578" s="4">
        <v>0.29849999999999999</v>
      </c>
      <c r="E578" s="4">
        <v>1</v>
      </c>
      <c r="F578" s="4">
        <v>29</v>
      </c>
      <c r="G578" s="4">
        <v>30</v>
      </c>
      <c r="H578" s="5">
        <v>40569</v>
      </c>
      <c r="I578" s="4">
        <v>1</v>
      </c>
      <c r="J578" s="4">
        <v>7</v>
      </c>
      <c r="K578" s="4" t="b">
        <f>IF(Append1[[#This Row],[days]]="working day",FALSE,TRUE)</f>
        <v>0</v>
      </c>
      <c r="L578" s="4">
        <v>3</v>
      </c>
      <c r="M578" s="4">
        <v>3</v>
      </c>
      <c r="N578" s="6">
        <v>0.22</v>
      </c>
      <c r="O578" s="2" t="str">
        <f>IF(Append1[[#This Row],[weekday]]=0,"holiday",IF(AND(Append1[[#This Row],[weekday]]&gt;1,Append1[[#This Row],[weekday]]&lt;7),"working day","weekend"))</f>
        <v>working day</v>
      </c>
      <c r="P578" s="4" t="str">
        <f>IF(Append1[[#This Row],[weathersit]]=0,"sunny",IF(Append1[[#This Row],[weathersit]]=1,"mist",IF(Append1[[#This Row],[weathersit]]=2,"lightrain","extremerain")))</f>
        <v>extremerain</v>
      </c>
    </row>
    <row r="579" spans="1:16" x14ac:dyDescent="0.25">
      <c r="A579" s="4">
        <v>578</v>
      </c>
      <c r="B579" s="4">
        <v>0.21210000000000001</v>
      </c>
      <c r="C579" s="4">
        <v>0.87</v>
      </c>
      <c r="D579" s="4">
        <v>0.29849999999999999</v>
      </c>
      <c r="E579" s="4">
        <v>3</v>
      </c>
      <c r="F579" s="4">
        <v>69</v>
      </c>
      <c r="G579" s="4">
        <v>72</v>
      </c>
      <c r="H579" s="5">
        <v>40569</v>
      </c>
      <c r="I579" s="4">
        <v>1</v>
      </c>
      <c r="J579" s="4">
        <v>8</v>
      </c>
      <c r="K579" s="4" t="b">
        <f>IF(Append1[[#This Row],[days]]="working day",FALSE,TRUE)</f>
        <v>0</v>
      </c>
      <c r="L579" s="4">
        <v>3</v>
      </c>
      <c r="M579" s="4">
        <v>3</v>
      </c>
      <c r="N579" s="6">
        <v>0.22</v>
      </c>
      <c r="O579" s="2" t="str">
        <f>IF(Append1[[#This Row],[weekday]]=0,"holiday",IF(AND(Append1[[#This Row],[weekday]]&gt;1,Append1[[#This Row],[weekday]]&lt;7),"working day","weekend"))</f>
        <v>working day</v>
      </c>
      <c r="P579" s="4" t="str">
        <f>IF(Append1[[#This Row],[weathersit]]=0,"sunny",IF(Append1[[#This Row],[weathersit]]=1,"mist",IF(Append1[[#This Row],[weathersit]]=2,"lightrain","extremerain")))</f>
        <v>extremerain</v>
      </c>
    </row>
    <row r="580" spans="1:16" x14ac:dyDescent="0.25">
      <c r="A580" s="4">
        <v>579</v>
      </c>
      <c r="B580" s="4">
        <v>0.21210000000000001</v>
      </c>
      <c r="C580" s="4">
        <v>0.87</v>
      </c>
      <c r="D580" s="4">
        <v>0.29849999999999999</v>
      </c>
      <c r="E580" s="4">
        <v>3</v>
      </c>
      <c r="F580" s="4">
        <v>55</v>
      </c>
      <c r="G580" s="4">
        <v>58</v>
      </c>
      <c r="H580" s="5">
        <v>40569</v>
      </c>
      <c r="I580" s="4">
        <v>1</v>
      </c>
      <c r="J580" s="4">
        <v>9</v>
      </c>
      <c r="K580" s="4" t="b">
        <f>IF(Append1[[#This Row],[days]]="working day",FALSE,TRUE)</f>
        <v>0</v>
      </c>
      <c r="L580" s="4">
        <v>3</v>
      </c>
      <c r="M580" s="4">
        <v>3</v>
      </c>
      <c r="N580" s="6">
        <v>0.22</v>
      </c>
      <c r="O580" s="2" t="str">
        <f>IF(Append1[[#This Row],[weekday]]=0,"holiday",IF(AND(Append1[[#This Row],[weekday]]&gt;1,Append1[[#This Row],[weekday]]&lt;7),"working day","weekend"))</f>
        <v>working day</v>
      </c>
      <c r="P580" s="4" t="str">
        <f>IF(Append1[[#This Row],[weathersit]]=0,"sunny",IF(Append1[[#This Row],[weathersit]]=1,"mist",IF(Append1[[#This Row],[weathersit]]=2,"lightrain","extremerain")))</f>
        <v>extremerain</v>
      </c>
    </row>
    <row r="581" spans="1:16" x14ac:dyDescent="0.25">
      <c r="A581" s="4">
        <v>580</v>
      </c>
      <c r="B581" s="4">
        <v>0.21210000000000001</v>
      </c>
      <c r="C581" s="4">
        <v>0.93</v>
      </c>
      <c r="D581" s="4">
        <v>0.28360000000000002</v>
      </c>
      <c r="E581" s="4">
        <v>2</v>
      </c>
      <c r="F581" s="4">
        <v>26</v>
      </c>
      <c r="G581" s="4">
        <v>28</v>
      </c>
      <c r="H581" s="5">
        <v>40569</v>
      </c>
      <c r="I581" s="4">
        <v>1</v>
      </c>
      <c r="J581" s="4">
        <v>10</v>
      </c>
      <c r="K581" s="4" t="b">
        <f>IF(Append1[[#This Row],[days]]="working day",FALSE,TRUE)</f>
        <v>0</v>
      </c>
      <c r="L581" s="4">
        <v>3</v>
      </c>
      <c r="M581" s="4">
        <v>3</v>
      </c>
      <c r="N581" s="6">
        <v>0.22</v>
      </c>
      <c r="O581" s="2" t="str">
        <f>IF(Append1[[#This Row],[weekday]]=0,"holiday",IF(AND(Append1[[#This Row],[weekday]]&gt;1,Append1[[#This Row],[weekday]]&lt;7),"working day","weekend"))</f>
        <v>working day</v>
      </c>
      <c r="P581" s="4" t="str">
        <f>IF(Append1[[#This Row],[weathersit]]=0,"sunny",IF(Append1[[#This Row],[weathersit]]=1,"mist",IF(Append1[[#This Row],[weathersit]]=2,"lightrain","extremerain")))</f>
        <v>extremerain</v>
      </c>
    </row>
    <row r="582" spans="1:16" x14ac:dyDescent="0.25">
      <c r="A582" s="4">
        <v>581</v>
      </c>
      <c r="B582" s="4">
        <v>0.19700000000000001</v>
      </c>
      <c r="C582" s="4">
        <v>0.93</v>
      </c>
      <c r="D582" s="4">
        <v>0.32840000000000003</v>
      </c>
      <c r="E582" s="4">
        <v>6</v>
      </c>
      <c r="F582" s="4">
        <v>35</v>
      </c>
      <c r="G582" s="4">
        <v>41</v>
      </c>
      <c r="H582" s="5">
        <v>40569</v>
      </c>
      <c r="I582" s="4">
        <v>1</v>
      </c>
      <c r="J582" s="4">
        <v>11</v>
      </c>
      <c r="K582" s="4" t="b">
        <f>IF(Append1[[#This Row],[days]]="working day",FALSE,TRUE)</f>
        <v>0</v>
      </c>
      <c r="L582" s="4">
        <v>3</v>
      </c>
      <c r="M582" s="4">
        <v>3</v>
      </c>
      <c r="N582" s="6">
        <v>0.22</v>
      </c>
      <c r="O582" s="2" t="str">
        <f>IF(Append1[[#This Row],[weekday]]=0,"holiday",IF(AND(Append1[[#This Row],[weekday]]&gt;1,Append1[[#This Row],[weekday]]&lt;7),"working day","weekend"))</f>
        <v>working day</v>
      </c>
      <c r="P582" s="4" t="str">
        <f>IF(Append1[[#This Row],[weathersit]]=0,"sunny",IF(Append1[[#This Row],[weathersit]]=1,"mist",IF(Append1[[#This Row],[weathersit]]=2,"lightrain","extremerain")))</f>
        <v>extremerain</v>
      </c>
    </row>
    <row r="583" spans="1:16" x14ac:dyDescent="0.25">
      <c r="A583" s="4">
        <v>582</v>
      </c>
      <c r="B583" s="4">
        <v>0.19700000000000001</v>
      </c>
      <c r="C583" s="4">
        <v>0.93</v>
      </c>
      <c r="D583" s="4">
        <v>0.32840000000000003</v>
      </c>
      <c r="E583" s="4">
        <v>7</v>
      </c>
      <c r="F583" s="4">
        <v>41</v>
      </c>
      <c r="G583" s="4">
        <v>48</v>
      </c>
      <c r="H583" s="5">
        <v>40569</v>
      </c>
      <c r="I583" s="4">
        <v>1</v>
      </c>
      <c r="J583" s="4">
        <v>12</v>
      </c>
      <c r="K583" s="4" t="b">
        <f>IF(Append1[[#This Row],[days]]="working day",FALSE,TRUE)</f>
        <v>0</v>
      </c>
      <c r="L583" s="4">
        <v>3</v>
      </c>
      <c r="M583" s="4">
        <v>3</v>
      </c>
      <c r="N583" s="6">
        <v>0.22</v>
      </c>
      <c r="O583" s="2" t="str">
        <f>IF(Append1[[#This Row],[weekday]]=0,"holiday",IF(AND(Append1[[#This Row],[weekday]]&gt;1,Append1[[#This Row],[weekday]]&lt;7),"working day","weekend"))</f>
        <v>working day</v>
      </c>
      <c r="P583" s="4" t="str">
        <f>IF(Append1[[#This Row],[weathersit]]=0,"sunny",IF(Append1[[#This Row],[weathersit]]=1,"mist",IF(Append1[[#This Row],[weathersit]]=2,"lightrain","extremerain")))</f>
        <v>extremerain</v>
      </c>
    </row>
    <row r="584" spans="1:16" x14ac:dyDescent="0.25">
      <c r="A584" s="4">
        <v>583</v>
      </c>
      <c r="B584" s="4">
        <v>0.19700000000000001</v>
      </c>
      <c r="C584" s="4">
        <v>0.93</v>
      </c>
      <c r="D584" s="4">
        <v>0.32840000000000003</v>
      </c>
      <c r="E584" s="4">
        <v>4</v>
      </c>
      <c r="F584" s="4">
        <v>43</v>
      </c>
      <c r="G584" s="4">
        <v>47</v>
      </c>
      <c r="H584" s="5">
        <v>40569</v>
      </c>
      <c r="I584" s="4">
        <v>1</v>
      </c>
      <c r="J584" s="4">
        <v>13</v>
      </c>
      <c r="K584" s="4" t="b">
        <f>IF(Append1[[#This Row],[days]]="working day",FALSE,TRUE)</f>
        <v>0</v>
      </c>
      <c r="L584" s="4">
        <v>3</v>
      </c>
      <c r="M584" s="4">
        <v>3</v>
      </c>
      <c r="N584" s="6">
        <v>0.22</v>
      </c>
      <c r="O584" s="2" t="str">
        <f>IF(Append1[[#This Row],[weekday]]=0,"holiday",IF(AND(Append1[[#This Row],[weekday]]&gt;1,Append1[[#This Row],[weekday]]&lt;7),"working day","weekend"))</f>
        <v>working day</v>
      </c>
      <c r="P584" s="4" t="str">
        <f>IF(Append1[[#This Row],[weathersit]]=0,"sunny",IF(Append1[[#This Row],[weathersit]]=1,"mist",IF(Append1[[#This Row],[weathersit]]=2,"lightrain","extremerain")))</f>
        <v>extremerain</v>
      </c>
    </row>
    <row r="585" spans="1:16" x14ac:dyDescent="0.25">
      <c r="A585" s="4">
        <v>584</v>
      </c>
      <c r="B585" s="4">
        <v>0.19700000000000001</v>
      </c>
      <c r="C585" s="4">
        <v>0.93</v>
      </c>
      <c r="D585" s="4">
        <v>0.35820000000000002</v>
      </c>
      <c r="E585" s="4">
        <v>0</v>
      </c>
      <c r="F585" s="4">
        <v>36</v>
      </c>
      <c r="G585" s="4">
        <v>36</v>
      </c>
      <c r="H585" s="5">
        <v>40569</v>
      </c>
      <c r="I585" s="4">
        <v>1</v>
      </c>
      <c r="J585" s="4">
        <v>14</v>
      </c>
      <c r="K585" s="4" t="b">
        <f>IF(Append1[[#This Row],[days]]="working day",FALSE,TRUE)</f>
        <v>0</v>
      </c>
      <c r="L585" s="4">
        <v>3</v>
      </c>
      <c r="M585" s="4">
        <v>3</v>
      </c>
      <c r="N585" s="6">
        <v>0.22</v>
      </c>
      <c r="O585" s="2" t="str">
        <f>IF(Append1[[#This Row],[weekday]]=0,"holiday",IF(AND(Append1[[#This Row],[weekday]]&gt;1,Append1[[#This Row],[weekday]]&lt;7),"working day","weekend"))</f>
        <v>working day</v>
      </c>
      <c r="P585" s="4" t="str">
        <f>IF(Append1[[#This Row],[weathersit]]=0,"sunny",IF(Append1[[#This Row],[weathersit]]=1,"mist",IF(Append1[[#This Row],[weathersit]]=2,"lightrain","extremerain")))</f>
        <v>extremerain</v>
      </c>
    </row>
    <row r="586" spans="1:16" x14ac:dyDescent="0.25">
      <c r="A586" s="4">
        <v>585</v>
      </c>
      <c r="B586" s="4">
        <v>0.18179999999999999</v>
      </c>
      <c r="C586" s="4">
        <v>0.93</v>
      </c>
      <c r="D586" s="4">
        <v>0.4627</v>
      </c>
      <c r="E586" s="4">
        <v>1</v>
      </c>
      <c r="F586" s="4">
        <v>42</v>
      </c>
      <c r="G586" s="4">
        <v>43</v>
      </c>
      <c r="H586" s="5">
        <v>40569</v>
      </c>
      <c r="I586" s="4">
        <v>1</v>
      </c>
      <c r="J586" s="4">
        <v>15</v>
      </c>
      <c r="K586" s="4" t="b">
        <f>IF(Append1[[#This Row],[days]]="working day",FALSE,TRUE)</f>
        <v>0</v>
      </c>
      <c r="L586" s="4">
        <v>3</v>
      </c>
      <c r="M586" s="4">
        <v>3</v>
      </c>
      <c r="N586" s="6">
        <v>0.22</v>
      </c>
      <c r="O586" s="2" t="str">
        <f>IF(Append1[[#This Row],[weekday]]=0,"holiday",IF(AND(Append1[[#This Row],[weekday]]&gt;1,Append1[[#This Row],[weekday]]&lt;7),"working day","weekend"))</f>
        <v>working day</v>
      </c>
      <c r="P586" s="4" t="str">
        <f>IF(Append1[[#This Row],[weathersit]]=0,"sunny",IF(Append1[[#This Row],[weathersit]]=1,"mist",IF(Append1[[#This Row],[weathersit]]=2,"lightrain","extremerain")))</f>
        <v>extremerain</v>
      </c>
    </row>
    <row r="587" spans="1:16" x14ac:dyDescent="0.25">
      <c r="A587" s="4">
        <v>586</v>
      </c>
      <c r="B587" s="4">
        <v>0.19700000000000001</v>
      </c>
      <c r="C587" s="4">
        <v>0.93</v>
      </c>
      <c r="D587" s="4">
        <v>0.32840000000000003</v>
      </c>
      <c r="E587" s="4">
        <v>1</v>
      </c>
      <c r="F587" s="4">
        <v>35</v>
      </c>
      <c r="G587" s="4">
        <v>36</v>
      </c>
      <c r="H587" s="5">
        <v>40569</v>
      </c>
      <c r="I587" s="4">
        <v>1</v>
      </c>
      <c r="J587" s="4">
        <v>16</v>
      </c>
      <c r="K587" s="4" t="b">
        <f>IF(Append1[[#This Row],[days]]="working day",FALSE,TRUE)</f>
        <v>0</v>
      </c>
      <c r="L587" s="4">
        <v>3</v>
      </c>
      <c r="M587" s="4">
        <v>4</v>
      </c>
      <c r="N587" s="6">
        <v>0.22</v>
      </c>
      <c r="O587" s="2" t="str">
        <f>IF(Append1[[#This Row],[weekday]]=0,"holiday",IF(AND(Append1[[#This Row],[weekday]]&gt;1,Append1[[#This Row],[weekday]]&lt;7),"working day","weekend"))</f>
        <v>working day</v>
      </c>
      <c r="P587" s="4" t="str">
        <f>IF(Append1[[#This Row],[weathersit]]=0,"sunny",IF(Append1[[#This Row],[weathersit]]=1,"mist",IF(Append1[[#This Row],[weathersit]]=2,"lightrain","extremerain")))</f>
        <v>extremerain</v>
      </c>
    </row>
    <row r="588" spans="1:16" x14ac:dyDescent="0.25">
      <c r="A588" s="4">
        <v>587</v>
      </c>
      <c r="B588" s="4">
        <v>0.18179999999999999</v>
      </c>
      <c r="C588" s="4">
        <v>0.93</v>
      </c>
      <c r="D588" s="4">
        <v>0.35820000000000002</v>
      </c>
      <c r="E588" s="4">
        <v>0</v>
      </c>
      <c r="F588" s="4">
        <v>26</v>
      </c>
      <c r="G588" s="4">
        <v>26</v>
      </c>
      <c r="H588" s="5">
        <v>40569</v>
      </c>
      <c r="I588" s="4">
        <v>1</v>
      </c>
      <c r="J588" s="4">
        <v>17</v>
      </c>
      <c r="K588" s="4" t="b">
        <f>IF(Append1[[#This Row],[days]]="working day",FALSE,TRUE)</f>
        <v>0</v>
      </c>
      <c r="L588" s="4">
        <v>3</v>
      </c>
      <c r="M588" s="4">
        <v>3</v>
      </c>
      <c r="N588" s="6">
        <v>0.2</v>
      </c>
      <c r="O588" s="2" t="str">
        <f>IF(Append1[[#This Row],[weekday]]=0,"holiday",IF(AND(Append1[[#This Row],[weekday]]&gt;1,Append1[[#This Row],[weekday]]&lt;7),"working day","weekend"))</f>
        <v>working day</v>
      </c>
      <c r="P588" s="4" t="str">
        <f>IF(Append1[[#This Row],[weathersit]]=0,"sunny",IF(Append1[[#This Row],[weathersit]]=1,"mist",IF(Append1[[#This Row],[weathersit]]=2,"lightrain","extremerain")))</f>
        <v>extremerain</v>
      </c>
    </row>
    <row r="589" spans="1:16" x14ac:dyDescent="0.25">
      <c r="A589" s="4">
        <v>588</v>
      </c>
      <c r="B589" s="4">
        <v>0.2273</v>
      </c>
      <c r="C589" s="4">
        <v>0.55000000000000004</v>
      </c>
      <c r="D589" s="4">
        <v>0.19400000000000001</v>
      </c>
      <c r="E589" s="4">
        <v>1</v>
      </c>
      <c r="F589" s="4">
        <v>23</v>
      </c>
      <c r="G589" s="4">
        <v>24</v>
      </c>
      <c r="H589" s="5">
        <v>40570</v>
      </c>
      <c r="I589" s="4">
        <v>1</v>
      </c>
      <c r="J589" s="4">
        <v>16</v>
      </c>
      <c r="K589" s="4" t="b">
        <f>IF(Append1[[#This Row],[days]]="working day",FALSE,TRUE)</f>
        <v>0</v>
      </c>
      <c r="L589" s="4">
        <v>4</v>
      </c>
      <c r="M589" s="4">
        <v>1</v>
      </c>
      <c r="N589" s="6">
        <v>0.22</v>
      </c>
      <c r="O589" s="2" t="str">
        <f>IF(Append1[[#This Row],[weekday]]=0,"holiday",IF(AND(Append1[[#This Row],[weekday]]&gt;1,Append1[[#This Row],[weekday]]&lt;7),"working day","weekend"))</f>
        <v>working day</v>
      </c>
      <c r="P589" s="4" t="str">
        <f>IF(Append1[[#This Row],[weathersit]]=0,"sunny",IF(Append1[[#This Row],[weathersit]]=1,"mist",IF(Append1[[#This Row],[weathersit]]=2,"lightrain","extremerain")))</f>
        <v>mist</v>
      </c>
    </row>
    <row r="590" spans="1:16" x14ac:dyDescent="0.25">
      <c r="A590" s="4">
        <v>589</v>
      </c>
      <c r="B590" s="4">
        <v>0.2424</v>
      </c>
      <c r="C590" s="4">
        <v>0.55000000000000004</v>
      </c>
      <c r="D590" s="4">
        <v>0.1045</v>
      </c>
      <c r="E590" s="4">
        <v>2</v>
      </c>
      <c r="F590" s="4">
        <v>82</v>
      </c>
      <c r="G590" s="4">
        <v>84</v>
      </c>
      <c r="H590" s="5">
        <v>40570</v>
      </c>
      <c r="I590" s="4">
        <v>1</v>
      </c>
      <c r="J590" s="4">
        <v>17</v>
      </c>
      <c r="K590" s="4" t="b">
        <f>IF(Append1[[#This Row],[days]]="working day",FALSE,TRUE)</f>
        <v>0</v>
      </c>
      <c r="L590" s="4">
        <v>4</v>
      </c>
      <c r="M590" s="4">
        <v>1</v>
      </c>
      <c r="N590" s="6">
        <v>0.22</v>
      </c>
      <c r="O590" s="2" t="str">
        <f>IF(Append1[[#This Row],[weekday]]=0,"holiday",IF(AND(Append1[[#This Row],[weekday]]&gt;1,Append1[[#This Row],[weekday]]&lt;7),"working day","weekend"))</f>
        <v>working day</v>
      </c>
      <c r="P590" s="4" t="str">
        <f>IF(Append1[[#This Row],[weathersit]]=0,"sunny",IF(Append1[[#This Row],[weathersit]]=1,"mist",IF(Append1[[#This Row],[weathersit]]=2,"lightrain","extremerain")))</f>
        <v>mist</v>
      </c>
    </row>
    <row r="591" spans="1:16" x14ac:dyDescent="0.25">
      <c r="A591" s="4">
        <v>590</v>
      </c>
      <c r="B591" s="4">
        <v>0.2273</v>
      </c>
      <c r="C591" s="4">
        <v>0.69</v>
      </c>
      <c r="D591" s="4">
        <v>8.9599999999999999E-2</v>
      </c>
      <c r="E591" s="4">
        <v>3</v>
      </c>
      <c r="F591" s="4">
        <v>101</v>
      </c>
      <c r="G591" s="4">
        <v>104</v>
      </c>
      <c r="H591" s="5">
        <v>40570</v>
      </c>
      <c r="I591" s="4">
        <v>1</v>
      </c>
      <c r="J591" s="4">
        <v>18</v>
      </c>
      <c r="K591" s="4" t="b">
        <f>IF(Append1[[#This Row],[days]]="working day",FALSE,TRUE)</f>
        <v>0</v>
      </c>
      <c r="L591" s="4">
        <v>4</v>
      </c>
      <c r="M591" s="4">
        <v>1</v>
      </c>
      <c r="N591" s="6">
        <v>0.2</v>
      </c>
      <c r="O591" s="2" t="str">
        <f>IF(Append1[[#This Row],[weekday]]=0,"holiday",IF(AND(Append1[[#This Row],[weekday]]&gt;1,Append1[[#This Row],[weekday]]&lt;7),"working day","weekend"))</f>
        <v>working day</v>
      </c>
      <c r="P591" s="4" t="str">
        <f>IF(Append1[[#This Row],[weathersit]]=0,"sunny",IF(Append1[[#This Row],[weathersit]]=1,"mist",IF(Append1[[#This Row],[weathersit]]=2,"lightrain","extremerain")))</f>
        <v>mist</v>
      </c>
    </row>
    <row r="592" spans="1:16" x14ac:dyDescent="0.25">
      <c r="A592" s="4">
        <v>591</v>
      </c>
      <c r="B592" s="4">
        <v>0.2273</v>
      </c>
      <c r="C592" s="4">
        <v>0.69</v>
      </c>
      <c r="D592" s="4">
        <v>8.9599999999999999E-2</v>
      </c>
      <c r="E592" s="4">
        <v>3</v>
      </c>
      <c r="F592" s="4">
        <v>76</v>
      </c>
      <c r="G592" s="4">
        <v>79</v>
      </c>
      <c r="H592" s="5">
        <v>40570</v>
      </c>
      <c r="I592" s="4">
        <v>1</v>
      </c>
      <c r="J592" s="4">
        <v>19</v>
      </c>
      <c r="K592" s="4" t="b">
        <f>IF(Append1[[#This Row],[days]]="working day",FALSE,TRUE)</f>
        <v>0</v>
      </c>
      <c r="L592" s="4">
        <v>4</v>
      </c>
      <c r="M592" s="4">
        <v>1</v>
      </c>
      <c r="N592" s="6">
        <v>0.2</v>
      </c>
      <c r="O592" s="2" t="str">
        <f>IF(Append1[[#This Row],[weekday]]=0,"holiday",IF(AND(Append1[[#This Row],[weekday]]&gt;1,Append1[[#This Row],[weekday]]&lt;7),"working day","weekend"))</f>
        <v>working day</v>
      </c>
      <c r="P592" s="4" t="str">
        <f>IF(Append1[[#This Row],[weathersit]]=0,"sunny",IF(Append1[[#This Row],[weathersit]]=1,"mist",IF(Append1[[#This Row],[weathersit]]=2,"lightrain","extremerain")))</f>
        <v>mist</v>
      </c>
    </row>
    <row r="593" spans="1:16" x14ac:dyDescent="0.25">
      <c r="A593" s="4">
        <v>592</v>
      </c>
      <c r="B593" s="4">
        <v>0.21210000000000001</v>
      </c>
      <c r="C593" s="4">
        <v>0.74</v>
      </c>
      <c r="D593" s="4">
        <v>8.9599999999999999E-2</v>
      </c>
      <c r="E593" s="4">
        <v>4</v>
      </c>
      <c r="F593" s="4">
        <v>55</v>
      </c>
      <c r="G593" s="4">
        <v>59</v>
      </c>
      <c r="H593" s="5">
        <v>40570</v>
      </c>
      <c r="I593" s="4">
        <v>1</v>
      </c>
      <c r="J593" s="4">
        <v>20</v>
      </c>
      <c r="K593" s="4" t="b">
        <f>IF(Append1[[#This Row],[days]]="working day",FALSE,TRUE)</f>
        <v>0</v>
      </c>
      <c r="L593" s="4">
        <v>4</v>
      </c>
      <c r="M593" s="4">
        <v>1</v>
      </c>
      <c r="N593" s="6">
        <v>0.18</v>
      </c>
      <c r="O593" s="2" t="str">
        <f>IF(Append1[[#This Row],[weekday]]=0,"holiday",IF(AND(Append1[[#This Row],[weekday]]&gt;1,Append1[[#This Row],[weekday]]&lt;7),"working day","weekend"))</f>
        <v>working day</v>
      </c>
      <c r="P593" s="4" t="str">
        <f>IF(Append1[[#This Row],[weathersit]]=0,"sunny",IF(Append1[[#This Row],[weathersit]]=1,"mist",IF(Append1[[#This Row],[weathersit]]=2,"lightrain","extremerain")))</f>
        <v>mist</v>
      </c>
    </row>
    <row r="594" spans="1:16" x14ac:dyDescent="0.25">
      <c r="A594" s="4">
        <v>593</v>
      </c>
      <c r="B594" s="4">
        <v>0.21210000000000001</v>
      </c>
      <c r="C594" s="4">
        <v>0.74</v>
      </c>
      <c r="D594" s="4">
        <v>8.9599999999999999E-2</v>
      </c>
      <c r="E594" s="4">
        <v>2</v>
      </c>
      <c r="F594" s="4">
        <v>36</v>
      </c>
      <c r="G594" s="4">
        <v>38</v>
      </c>
      <c r="H594" s="5">
        <v>40570</v>
      </c>
      <c r="I594" s="4">
        <v>1</v>
      </c>
      <c r="J594" s="4">
        <v>21</v>
      </c>
      <c r="K594" s="4" t="b">
        <f>IF(Append1[[#This Row],[days]]="working day",FALSE,TRUE)</f>
        <v>0</v>
      </c>
      <c r="L594" s="4">
        <v>4</v>
      </c>
      <c r="M594" s="4">
        <v>1</v>
      </c>
      <c r="N594" s="6">
        <v>0.18</v>
      </c>
      <c r="O594" s="2" t="str">
        <f>IF(Append1[[#This Row],[weekday]]=0,"holiday",IF(AND(Append1[[#This Row],[weekday]]&gt;1,Append1[[#This Row],[weekday]]&lt;7),"working day","weekend"))</f>
        <v>working day</v>
      </c>
      <c r="P594" s="4" t="str">
        <f>IF(Append1[[#This Row],[weathersit]]=0,"sunny",IF(Append1[[#This Row],[weathersit]]=1,"mist",IF(Append1[[#This Row],[weathersit]]=2,"lightrain","extremerain")))</f>
        <v>mist</v>
      </c>
    </row>
    <row r="595" spans="1:16" x14ac:dyDescent="0.25">
      <c r="A595" s="4">
        <v>594</v>
      </c>
      <c r="B595" s="4">
        <v>0.21210000000000001</v>
      </c>
      <c r="C595" s="4">
        <v>0.74</v>
      </c>
      <c r="D595" s="4">
        <v>8.9599999999999999E-2</v>
      </c>
      <c r="E595" s="4">
        <v>0</v>
      </c>
      <c r="F595" s="4">
        <v>27</v>
      </c>
      <c r="G595" s="4">
        <v>27</v>
      </c>
      <c r="H595" s="5">
        <v>40570</v>
      </c>
      <c r="I595" s="4">
        <v>1</v>
      </c>
      <c r="J595" s="4">
        <v>22</v>
      </c>
      <c r="K595" s="4" t="b">
        <f>IF(Append1[[#This Row],[days]]="working day",FALSE,TRUE)</f>
        <v>0</v>
      </c>
      <c r="L595" s="4">
        <v>4</v>
      </c>
      <c r="M595" s="4">
        <v>1</v>
      </c>
      <c r="N595" s="6">
        <v>0.18</v>
      </c>
      <c r="O595" s="2" t="str">
        <f>IF(Append1[[#This Row],[weekday]]=0,"holiday",IF(AND(Append1[[#This Row],[weekday]]&gt;1,Append1[[#This Row],[weekday]]&lt;7),"working day","weekend"))</f>
        <v>working day</v>
      </c>
      <c r="P595" s="4" t="str">
        <f>IF(Append1[[#This Row],[weathersit]]=0,"sunny",IF(Append1[[#This Row],[weathersit]]=1,"mist",IF(Append1[[#This Row],[weathersit]]=2,"lightrain","extremerain")))</f>
        <v>mist</v>
      </c>
    </row>
    <row r="596" spans="1:16" x14ac:dyDescent="0.25">
      <c r="A596" s="4">
        <v>595</v>
      </c>
      <c r="B596" s="4">
        <v>0.19700000000000001</v>
      </c>
      <c r="C596" s="4">
        <v>0.8</v>
      </c>
      <c r="D596" s="4">
        <v>0.16420000000000001</v>
      </c>
      <c r="E596" s="4">
        <v>0</v>
      </c>
      <c r="F596" s="4">
        <v>16</v>
      </c>
      <c r="G596" s="4">
        <v>16</v>
      </c>
      <c r="H596" s="5">
        <v>40570</v>
      </c>
      <c r="I596" s="4">
        <v>1</v>
      </c>
      <c r="J596" s="4">
        <v>23</v>
      </c>
      <c r="K596" s="4" t="b">
        <f>IF(Append1[[#This Row],[days]]="working day",FALSE,TRUE)</f>
        <v>0</v>
      </c>
      <c r="L596" s="4">
        <v>4</v>
      </c>
      <c r="M596" s="4">
        <v>1</v>
      </c>
      <c r="N596" s="6">
        <v>0.18</v>
      </c>
      <c r="O596" s="2" t="str">
        <f>IF(Append1[[#This Row],[weekday]]=0,"holiday",IF(AND(Append1[[#This Row],[weekday]]&gt;1,Append1[[#This Row],[weekday]]&lt;7),"working day","weekend"))</f>
        <v>working day</v>
      </c>
      <c r="P596" s="4" t="str">
        <f>IF(Append1[[#This Row],[weathersit]]=0,"sunny",IF(Append1[[#This Row],[weathersit]]=1,"mist",IF(Append1[[#This Row],[weathersit]]=2,"lightrain","extremerain")))</f>
        <v>mist</v>
      </c>
    </row>
    <row r="597" spans="1:16" x14ac:dyDescent="0.25">
      <c r="A597" s="4">
        <v>596</v>
      </c>
      <c r="B597" s="4">
        <v>0.21210000000000001</v>
      </c>
      <c r="C597" s="4">
        <v>0.75</v>
      </c>
      <c r="D597" s="4">
        <v>0.1343</v>
      </c>
      <c r="E597" s="4">
        <v>0</v>
      </c>
      <c r="F597" s="4">
        <v>9</v>
      </c>
      <c r="G597" s="4">
        <v>9</v>
      </c>
      <c r="H597" s="5">
        <v>40571</v>
      </c>
      <c r="I597" s="4">
        <v>1</v>
      </c>
      <c r="J597" s="4">
        <v>0</v>
      </c>
      <c r="K597" s="4" t="b">
        <f>IF(Append1[[#This Row],[days]]="working day",FALSE,TRUE)</f>
        <v>0</v>
      </c>
      <c r="L597" s="4">
        <v>5</v>
      </c>
      <c r="M597" s="4">
        <v>2</v>
      </c>
      <c r="N597" s="6">
        <v>0.2</v>
      </c>
      <c r="O597" s="2" t="str">
        <f>IF(Append1[[#This Row],[weekday]]=0,"holiday",IF(AND(Append1[[#This Row],[weekday]]&gt;1,Append1[[#This Row],[weekday]]&lt;7),"working day","weekend"))</f>
        <v>working day</v>
      </c>
      <c r="P597" s="4" t="str">
        <f>IF(Append1[[#This Row],[weathersit]]=0,"sunny",IF(Append1[[#This Row],[weathersit]]=1,"mist",IF(Append1[[#This Row],[weathersit]]=2,"lightrain","extremerain")))</f>
        <v>lightrain</v>
      </c>
    </row>
    <row r="598" spans="1:16" x14ac:dyDescent="0.25">
      <c r="A598" s="4">
        <v>597</v>
      </c>
      <c r="B598" s="4">
        <v>0.21210000000000001</v>
      </c>
      <c r="C598" s="4">
        <v>0.75</v>
      </c>
      <c r="D598" s="4">
        <v>0.1343</v>
      </c>
      <c r="E598" s="4">
        <v>1</v>
      </c>
      <c r="F598" s="4">
        <v>2</v>
      </c>
      <c r="G598" s="4">
        <v>3</v>
      </c>
      <c r="H598" s="5">
        <v>40571</v>
      </c>
      <c r="I598" s="4">
        <v>1</v>
      </c>
      <c r="J598" s="4">
        <v>1</v>
      </c>
      <c r="K598" s="4" t="b">
        <f>IF(Append1[[#This Row],[days]]="working day",FALSE,TRUE)</f>
        <v>0</v>
      </c>
      <c r="L598" s="4">
        <v>5</v>
      </c>
      <c r="M598" s="4">
        <v>2</v>
      </c>
      <c r="N598" s="6">
        <v>0.2</v>
      </c>
      <c r="O598" s="2" t="str">
        <f>IF(Append1[[#This Row],[weekday]]=0,"holiday",IF(AND(Append1[[#This Row],[weekday]]&gt;1,Append1[[#This Row],[weekday]]&lt;7),"working day","weekend"))</f>
        <v>working day</v>
      </c>
      <c r="P598" s="4" t="str">
        <f>IF(Append1[[#This Row],[weathersit]]=0,"sunny",IF(Append1[[#This Row],[weathersit]]=1,"mist",IF(Append1[[#This Row],[weathersit]]=2,"lightrain","extremerain")))</f>
        <v>lightrain</v>
      </c>
    </row>
    <row r="599" spans="1:16" x14ac:dyDescent="0.25">
      <c r="A599" s="4">
        <v>598</v>
      </c>
      <c r="B599" s="4">
        <v>0.21210000000000001</v>
      </c>
      <c r="C599" s="4">
        <v>0.75</v>
      </c>
      <c r="D599" s="4">
        <v>0.16420000000000001</v>
      </c>
      <c r="E599" s="4">
        <v>0</v>
      </c>
      <c r="F599" s="4">
        <v>2</v>
      </c>
      <c r="G599" s="4">
        <v>2</v>
      </c>
      <c r="H599" s="5">
        <v>40571</v>
      </c>
      <c r="I599" s="4">
        <v>1</v>
      </c>
      <c r="J599" s="4">
        <v>2</v>
      </c>
      <c r="K599" s="4" t="b">
        <f>IF(Append1[[#This Row],[days]]="working day",FALSE,TRUE)</f>
        <v>0</v>
      </c>
      <c r="L599" s="4">
        <v>5</v>
      </c>
      <c r="M599" s="4">
        <v>2</v>
      </c>
      <c r="N599" s="6">
        <v>0.2</v>
      </c>
      <c r="O599" s="2" t="str">
        <f>IF(Append1[[#This Row],[weekday]]=0,"holiday",IF(AND(Append1[[#This Row],[weekday]]&gt;1,Append1[[#This Row],[weekday]]&lt;7),"working day","weekend"))</f>
        <v>working day</v>
      </c>
      <c r="P599" s="4" t="str">
        <f>IF(Append1[[#This Row],[weathersit]]=0,"sunny",IF(Append1[[#This Row],[weathersit]]=1,"mist",IF(Append1[[#This Row],[weathersit]]=2,"lightrain","extremerain")))</f>
        <v>lightrain</v>
      </c>
    </row>
    <row r="600" spans="1:16" x14ac:dyDescent="0.25">
      <c r="A600" s="4">
        <v>599</v>
      </c>
      <c r="B600" s="4">
        <v>0.2273</v>
      </c>
      <c r="C600" s="4">
        <v>0.75</v>
      </c>
      <c r="D600" s="4">
        <v>0.1045</v>
      </c>
      <c r="E600" s="4">
        <v>1</v>
      </c>
      <c r="F600" s="4">
        <v>0</v>
      </c>
      <c r="G600" s="4">
        <v>1</v>
      </c>
      <c r="H600" s="5">
        <v>40571</v>
      </c>
      <c r="I600" s="4">
        <v>1</v>
      </c>
      <c r="J600" s="4">
        <v>3</v>
      </c>
      <c r="K600" s="4" t="b">
        <f>IF(Append1[[#This Row],[days]]="working day",FALSE,TRUE)</f>
        <v>0</v>
      </c>
      <c r="L600" s="4">
        <v>5</v>
      </c>
      <c r="M600" s="4">
        <v>2</v>
      </c>
      <c r="N600" s="6">
        <v>0.2</v>
      </c>
      <c r="O600" s="2" t="str">
        <f>IF(Append1[[#This Row],[weekday]]=0,"holiday",IF(AND(Append1[[#This Row],[weekday]]&gt;1,Append1[[#This Row],[weekday]]&lt;7),"working day","weekend"))</f>
        <v>working day</v>
      </c>
      <c r="P600" s="4" t="str">
        <f>IF(Append1[[#This Row],[weathersit]]=0,"sunny",IF(Append1[[#This Row],[weathersit]]=1,"mist",IF(Append1[[#This Row],[weathersit]]=2,"lightrain","extremerain")))</f>
        <v>lightrain</v>
      </c>
    </row>
    <row r="601" spans="1:16" x14ac:dyDescent="0.25">
      <c r="A601" s="4">
        <v>600</v>
      </c>
      <c r="B601" s="4">
        <v>0.21210000000000001</v>
      </c>
      <c r="C601" s="4">
        <v>0.8</v>
      </c>
      <c r="D601" s="4">
        <v>0.1045</v>
      </c>
      <c r="E601" s="4">
        <v>0</v>
      </c>
      <c r="F601" s="4">
        <v>4</v>
      </c>
      <c r="G601" s="4">
        <v>4</v>
      </c>
      <c r="H601" s="5">
        <v>40571</v>
      </c>
      <c r="I601" s="4">
        <v>1</v>
      </c>
      <c r="J601" s="4">
        <v>5</v>
      </c>
      <c r="K601" s="4" t="b">
        <f>IF(Append1[[#This Row],[days]]="working day",FALSE,TRUE)</f>
        <v>0</v>
      </c>
      <c r="L601" s="4">
        <v>5</v>
      </c>
      <c r="M601" s="4">
        <v>2</v>
      </c>
      <c r="N601" s="6">
        <v>0.18</v>
      </c>
      <c r="O601" s="2" t="str">
        <f>IF(Append1[[#This Row],[weekday]]=0,"holiday",IF(AND(Append1[[#This Row],[weekday]]&gt;1,Append1[[#This Row],[weekday]]&lt;7),"working day","weekend"))</f>
        <v>working day</v>
      </c>
      <c r="P601" s="4" t="str">
        <f>IF(Append1[[#This Row],[weathersit]]=0,"sunny",IF(Append1[[#This Row],[weathersit]]=1,"mist",IF(Append1[[#This Row],[weathersit]]=2,"lightrain","extremerain")))</f>
        <v>lightrain</v>
      </c>
    </row>
    <row r="602" spans="1:16" x14ac:dyDescent="0.25">
      <c r="A602" s="4">
        <v>601</v>
      </c>
      <c r="B602" s="4">
        <v>0.19700000000000001</v>
      </c>
      <c r="C602" s="4">
        <v>0.8</v>
      </c>
      <c r="D602" s="4">
        <v>0.1343</v>
      </c>
      <c r="E602" s="4">
        <v>0</v>
      </c>
      <c r="F602" s="4">
        <v>16</v>
      </c>
      <c r="G602" s="4">
        <v>16</v>
      </c>
      <c r="H602" s="5">
        <v>40571</v>
      </c>
      <c r="I602" s="4">
        <v>1</v>
      </c>
      <c r="J602" s="4">
        <v>6</v>
      </c>
      <c r="K602" s="4" t="b">
        <f>IF(Append1[[#This Row],[days]]="working day",FALSE,TRUE)</f>
        <v>0</v>
      </c>
      <c r="L602" s="4">
        <v>5</v>
      </c>
      <c r="M602" s="4">
        <v>2</v>
      </c>
      <c r="N602" s="6">
        <v>0.18</v>
      </c>
      <c r="O602" s="2" t="str">
        <f>IF(Append1[[#This Row],[weekday]]=0,"holiday",IF(AND(Append1[[#This Row],[weekday]]&gt;1,Append1[[#This Row],[weekday]]&lt;7),"working day","weekend"))</f>
        <v>working day</v>
      </c>
      <c r="P602" s="4" t="str">
        <f>IF(Append1[[#This Row],[weathersit]]=0,"sunny",IF(Append1[[#This Row],[weathersit]]=1,"mist",IF(Append1[[#This Row],[weathersit]]=2,"lightrain","extremerain")))</f>
        <v>lightrain</v>
      </c>
    </row>
    <row r="603" spans="1:16" x14ac:dyDescent="0.25">
      <c r="A603" s="4">
        <v>602</v>
      </c>
      <c r="B603" s="4">
        <v>0.19700000000000001</v>
      </c>
      <c r="C603" s="4">
        <v>0.86</v>
      </c>
      <c r="D603" s="4">
        <v>8.9599999999999999E-2</v>
      </c>
      <c r="E603" s="4">
        <v>2</v>
      </c>
      <c r="F603" s="4">
        <v>58</v>
      </c>
      <c r="G603" s="4">
        <v>60</v>
      </c>
      <c r="H603" s="5">
        <v>40571</v>
      </c>
      <c r="I603" s="4">
        <v>1</v>
      </c>
      <c r="J603" s="4">
        <v>7</v>
      </c>
      <c r="K603" s="4" t="b">
        <f>IF(Append1[[#This Row],[days]]="working day",FALSE,TRUE)</f>
        <v>0</v>
      </c>
      <c r="L603" s="4">
        <v>5</v>
      </c>
      <c r="M603" s="4">
        <v>2</v>
      </c>
      <c r="N603" s="6">
        <v>0.16</v>
      </c>
      <c r="O603" s="2" t="str">
        <f>IF(Append1[[#This Row],[weekday]]=0,"holiday",IF(AND(Append1[[#This Row],[weekday]]&gt;1,Append1[[#This Row],[weekday]]&lt;7),"working day","weekend"))</f>
        <v>working day</v>
      </c>
      <c r="P603" s="4" t="str">
        <f>IF(Append1[[#This Row],[weathersit]]=0,"sunny",IF(Append1[[#This Row],[weathersit]]=1,"mist",IF(Append1[[#This Row],[weathersit]]=2,"lightrain","extremerain")))</f>
        <v>lightrain</v>
      </c>
    </row>
    <row r="604" spans="1:16" x14ac:dyDescent="0.25">
      <c r="A604" s="4">
        <v>603</v>
      </c>
      <c r="B604" s="4">
        <v>0.19700000000000001</v>
      </c>
      <c r="C604" s="4">
        <v>0.86</v>
      </c>
      <c r="D604" s="4">
        <v>8.9599999999999999E-2</v>
      </c>
      <c r="E604" s="4">
        <v>2</v>
      </c>
      <c r="F604" s="4">
        <v>155</v>
      </c>
      <c r="G604" s="4">
        <v>157</v>
      </c>
      <c r="H604" s="5">
        <v>40571</v>
      </c>
      <c r="I604" s="4">
        <v>1</v>
      </c>
      <c r="J604" s="4">
        <v>8</v>
      </c>
      <c r="K604" s="4" t="b">
        <f>IF(Append1[[#This Row],[days]]="working day",FALSE,TRUE)</f>
        <v>0</v>
      </c>
      <c r="L604" s="4">
        <v>5</v>
      </c>
      <c r="M604" s="4">
        <v>2</v>
      </c>
      <c r="N604" s="6">
        <v>0.16</v>
      </c>
      <c r="O604" s="2" t="str">
        <f>IF(Append1[[#This Row],[weekday]]=0,"holiday",IF(AND(Append1[[#This Row],[weekday]]&gt;1,Append1[[#This Row],[weekday]]&lt;7),"working day","weekend"))</f>
        <v>working day</v>
      </c>
      <c r="P604" s="4" t="str">
        <f>IF(Append1[[#This Row],[weathersit]]=0,"sunny",IF(Append1[[#This Row],[weathersit]]=1,"mist",IF(Append1[[#This Row],[weathersit]]=2,"lightrain","extremerain")))</f>
        <v>lightrain</v>
      </c>
    </row>
    <row r="605" spans="1:16" x14ac:dyDescent="0.25">
      <c r="A605" s="4">
        <v>604</v>
      </c>
      <c r="B605" s="4">
        <v>0.21210000000000001</v>
      </c>
      <c r="C605" s="4">
        <v>0.86</v>
      </c>
      <c r="D605" s="4">
        <v>8.9599999999999999E-2</v>
      </c>
      <c r="E605" s="4">
        <v>6</v>
      </c>
      <c r="F605" s="4">
        <v>95</v>
      </c>
      <c r="G605" s="4">
        <v>101</v>
      </c>
      <c r="H605" s="5">
        <v>40571</v>
      </c>
      <c r="I605" s="4">
        <v>1</v>
      </c>
      <c r="J605" s="4">
        <v>9</v>
      </c>
      <c r="K605" s="4" t="b">
        <f>IF(Append1[[#This Row],[days]]="working day",FALSE,TRUE)</f>
        <v>0</v>
      </c>
      <c r="L605" s="4">
        <v>5</v>
      </c>
      <c r="M605" s="4">
        <v>3</v>
      </c>
      <c r="N605" s="6">
        <v>0.18</v>
      </c>
      <c r="O605" s="2" t="str">
        <f>IF(Append1[[#This Row],[weekday]]=0,"holiday",IF(AND(Append1[[#This Row],[weekday]]&gt;1,Append1[[#This Row],[weekday]]&lt;7),"working day","weekend"))</f>
        <v>working day</v>
      </c>
      <c r="P605" s="4" t="str">
        <f>IF(Append1[[#This Row],[weathersit]]=0,"sunny",IF(Append1[[#This Row],[weathersit]]=1,"mist",IF(Append1[[#This Row],[weathersit]]=2,"lightrain","extremerain")))</f>
        <v>extremerain</v>
      </c>
    </row>
    <row r="606" spans="1:16" x14ac:dyDescent="0.25">
      <c r="A606" s="4">
        <v>605</v>
      </c>
      <c r="B606" s="4">
        <v>0.21210000000000001</v>
      </c>
      <c r="C606" s="4">
        <v>0.86</v>
      </c>
      <c r="D606" s="4">
        <v>0.1045</v>
      </c>
      <c r="E606" s="4">
        <v>0</v>
      </c>
      <c r="F606" s="4">
        <v>49</v>
      </c>
      <c r="G606" s="4">
        <v>49</v>
      </c>
      <c r="H606" s="5">
        <v>40571</v>
      </c>
      <c r="I606" s="4">
        <v>1</v>
      </c>
      <c r="J606" s="4">
        <v>10</v>
      </c>
      <c r="K606" s="4" t="b">
        <f>IF(Append1[[#This Row],[days]]="working day",FALSE,TRUE)</f>
        <v>0</v>
      </c>
      <c r="L606" s="4">
        <v>5</v>
      </c>
      <c r="M606" s="4">
        <v>3</v>
      </c>
      <c r="N606" s="6">
        <v>0.18</v>
      </c>
      <c r="O606" s="2" t="str">
        <f>IF(Append1[[#This Row],[weekday]]=0,"holiday",IF(AND(Append1[[#This Row],[weekday]]&gt;1,Append1[[#This Row],[weekday]]&lt;7),"working day","weekend"))</f>
        <v>working day</v>
      </c>
      <c r="P606" s="4" t="str">
        <f>IF(Append1[[#This Row],[weathersit]]=0,"sunny",IF(Append1[[#This Row],[weathersit]]=1,"mist",IF(Append1[[#This Row],[weathersit]]=2,"lightrain","extremerain")))</f>
        <v>extremerain</v>
      </c>
    </row>
    <row r="607" spans="1:16" x14ac:dyDescent="0.25">
      <c r="A607" s="4">
        <v>606</v>
      </c>
      <c r="B607" s="4">
        <v>0.21210000000000001</v>
      </c>
      <c r="C607" s="4">
        <v>0.93</v>
      </c>
      <c r="D607" s="4">
        <v>0.1045</v>
      </c>
      <c r="E607" s="4">
        <v>0</v>
      </c>
      <c r="F607" s="4">
        <v>30</v>
      </c>
      <c r="G607" s="4">
        <v>30</v>
      </c>
      <c r="H607" s="5">
        <v>40571</v>
      </c>
      <c r="I607" s="4">
        <v>1</v>
      </c>
      <c r="J607" s="4">
        <v>11</v>
      </c>
      <c r="K607" s="4" t="b">
        <f>IF(Append1[[#This Row],[days]]="working day",FALSE,TRUE)</f>
        <v>0</v>
      </c>
      <c r="L607" s="4">
        <v>5</v>
      </c>
      <c r="M607" s="4">
        <v>3</v>
      </c>
      <c r="N607" s="6">
        <v>0.18</v>
      </c>
      <c r="O607" s="2" t="str">
        <f>IF(Append1[[#This Row],[weekday]]=0,"holiday",IF(AND(Append1[[#This Row],[weekday]]&gt;1,Append1[[#This Row],[weekday]]&lt;7),"working day","weekend"))</f>
        <v>working day</v>
      </c>
      <c r="P607" s="4" t="str">
        <f>IF(Append1[[#This Row],[weathersit]]=0,"sunny",IF(Append1[[#This Row],[weathersit]]=1,"mist",IF(Append1[[#This Row],[weathersit]]=2,"lightrain","extremerain")))</f>
        <v>extremerain</v>
      </c>
    </row>
    <row r="608" spans="1:16" x14ac:dyDescent="0.25">
      <c r="A608" s="4">
        <v>607</v>
      </c>
      <c r="B608" s="4">
        <v>0.21210000000000001</v>
      </c>
      <c r="C608" s="4">
        <v>0.93</v>
      </c>
      <c r="D608" s="4">
        <v>0.1045</v>
      </c>
      <c r="E608" s="4">
        <v>1</v>
      </c>
      <c r="F608" s="4">
        <v>28</v>
      </c>
      <c r="G608" s="4">
        <v>29</v>
      </c>
      <c r="H608" s="5">
        <v>40571</v>
      </c>
      <c r="I608" s="4">
        <v>1</v>
      </c>
      <c r="J608" s="4">
        <v>12</v>
      </c>
      <c r="K608" s="4" t="b">
        <f>IF(Append1[[#This Row],[days]]="working day",FALSE,TRUE)</f>
        <v>0</v>
      </c>
      <c r="L608" s="4">
        <v>5</v>
      </c>
      <c r="M608" s="4">
        <v>3</v>
      </c>
      <c r="N608" s="6">
        <v>0.18</v>
      </c>
      <c r="O608" s="2" t="str">
        <f>IF(Append1[[#This Row],[weekday]]=0,"holiday",IF(AND(Append1[[#This Row],[weekday]]&gt;1,Append1[[#This Row],[weekday]]&lt;7),"working day","weekend"))</f>
        <v>working day</v>
      </c>
      <c r="P608" s="4" t="str">
        <f>IF(Append1[[#This Row],[weathersit]]=0,"sunny",IF(Append1[[#This Row],[weathersit]]=1,"mist",IF(Append1[[#This Row],[weathersit]]=2,"lightrain","extremerain")))</f>
        <v>extremerain</v>
      </c>
    </row>
    <row r="609" spans="1:16" x14ac:dyDescent="0.25">
      <c r="A609" s="4">
        <v>608</v>
      </c>
      <c r="B609" s="4">
        <v>0.21210000000000001</v>
      </c>
      <c r="C609" s="4">
        <v>0.93</v>
      </c>
      <c r="D609" s="4">
        <v>0.1045</v>
      </c>
      <c r="E609" s="4">
        <v>0</v>
      </c>
      <c r="F609" s="4">
        <v>31</v>
      </c>
      <c r="G609" s="4">
        <v>31</v>
      </c>
      <c r="H609" s="5">
        <v>40571</v>
      </c>
      <c r="I609" s="4">
        <v>1</v>
      </c>
      <c r="J609" s="4">
        <v>13</v>
      </c>
      <c r="K609" s="4" t="b">
        <f>IF(Append1[[#This Row],[days]]="working day",FALSE,TRUE)</f>
        <v>0</v>
      </c>
      <c r="L609" s="4">
        <v>5</v>
      </c>
      <c r="M609" s="4">
        <v>3</v>
      </c>
      <c r="N609" s="6">
        <v>0.18</v>
      </c>
      <c r="O609" s="2" t="str">
        <f>IF(Append1[[#This Row],[weekday]]=0,"holiday",IF(AND(Append1[[#This Row],[weekday]]&gt;1,Append1[[#This Row],[weekday]]&lt;7),"working day","weekend"))</f>
        <v>working day</v>
      </c>
      <c r="P609" s="4" t="str">
        <f>IF(Append1[[#This Row],[weathersit]]=0,"sunny",IF(Append1[[#This Row],[weathersit]]=1,"mist",IF(Append1[[#This Row],[weathersit]]=2,"lightrain","extremerain")))</f>
        <v>extremerain</v>
      </c>
    </row>
    <row r="610" spans="1:16" x14ac:dyDescent="0.25">
      <c r="A610" s="4">
        <v>609</v>
      </c>
      <c r="B610" s="4">
        <v>0.2727</v>
      </c>
      <c r="C610" s="4">
        <v>0.8</v>
      </c>
      <c r="D610" s="4">
        <v>0</v>
      </c>
      <c r="E610" s="4">
        <v>2</v>
      </c>
      <c r="F610" s="4">
        <v>36</v>
      </c>
      <c r="G610" s="4">
        <v>38</v>
      </c>
      <c r="H610" s="5">
        <v>40571</v>
      </c>
      <c r="I610" s="4">
        <v>1</v>
      </c>
      <c r="J610" s="4">
        <v>14</v>
      </c>
      <c r="K610" s="4" t="b">
        <f>IF(Append1[[#This Row],[days]]="working day",FALSE,TRUE)</f>
        <v>0</v>
      </c>
      <c r="L610" s="4">
        <v>5</v>
      </c>
      <c r="M610" s="4">
        <v>3</v>
      </c>
      <c r="N610" s="6">
        <v>0.22</v>
      </c>
      <c r="O610" s="2" t="str">
        <f>IF(Append1[[#This Row],[weekday]]=0,"holiday",IF(AND(Append1[[#This Row],[weekday]]&gt;1,Append1[[#This Row],[weekday]]&lt;7),"working day","weekend"))</f>
        <v>working day</v>
      </c>
      <c r="P610" s="4" t="str">
        <f>IF(Append1[[#This Row],[weathersit]]=0,"sunny",IF(Append1[[#This Row],[weathersit]]=1,"mist",IF(Append1[[#This Row],[weathersit]]=2,"lightrain","extremerain")))</f>
        <v>extremerain</v>
      </c>
    </row>
    <row r="611" spans="1:16" x14ac:dyDescent="0.25">
      <c r="A611" s="4">
        <v>610</v>
      </c>
      <c r="B611" s="4">
        <v>0.2576</v>
      </c>
      <c r="C611" s="4">
        <v>0.86</v>
      </c>
      <c r="D611" s="4">
        <v>0</v>
      </c>
      <c r="E611" s="4">
        <v>1</v>
      </c>
      <c r="F611" s="4">
        <v>40</v>
      </c>
      <c r="G611" s="4">
        <v>41</v>
      </c>
      <c r="H611" s="5">
        <v>40571</v>
      </c>
      <c r="I611" s="4">
        <v>1</v>
      </c>
      <c r="J611" s="4">
        <v>15</v>
      </c>
      <c r="K611" s="4" t="b">
        <f>IF(Append1[[#This Row],[days]]="working day",FALSE,TRUE)</f>
        <v>0</v>
      </c>
      <c r="L611" s="4">
        <v>5</v>
      </c>
      <c r="M611" s="4">
        <v>2</v>
      </c>
      <c r="N611" s="6">
        <v>0.2</v>
      </c>
      <c r="O611" s="2" t="str">
        <f>IF(Append1[[#This Row],[weekday]]=0,"holiday",IF(AND(Append1[[#This Row],[weekday]]&gt;1,Append1[[#This Row],[weekday]]&lt;7),"working day","weekend"))</f>
        <v>working day</v>
      </c>
      <c r="P611" s="4" t="str">
        <f>IF(Append1[[#This Row],[weathersit]]=0,"sunny",IF(Append1[[#This Row],[weathersit]]=1,"mist",IF(Append1[[#This Row],[weathersit]]=2,"lightrain","extremerain")))</f>
        <v>lightrain</v>
      </c>
    </row>
    <row r="612" spans="1:16" x14ac:dyDescent="0.25">
      <c r="A612" s="4"/>
      <c r="B612" s="4"/>
      <c r="C612" s="4"/>
      <c r="D612" s="4"/>
      <c r="E612" s="4"/>
      <c r="F612" s="4"/>
      <c r="G612" s="4"/>
      <c r="H612" s="5"/>
      <c r="I612" s="4"/>
      <c r="J612" s="4"/>
      <c r="K612" s="4" t="b">
        <f>IF(Append1[[#This Row],[days]]="working day",FALSE,TRUE)</f>
        <v>1</v>
      </c>
      <c r="L612" s="4"/>
      <c r="M612" s="4"/>
      <c r="N612" s="6"/>
      <c r="O612" s="2" t="str">
        <f>IF(Append1[[#This Row],[weekday]]=0,"holiday",IF(AND(Append1[[#This Row],[weekday]]&gt;1,Append1[[#This Row],[weekday]]&lt;7),"working day","weekend"))</f>
        <v>holiday</v>
      </c>
      <c r="P612" s="4" t="str">
        <f>IF(Append1[[#This Row],[weathersit]]=0,"sunny",IF(Append1[[#This Row],[weathersit]]=1,"mist",IF(Append1[[#This Row],[weathersit]]=2,"lightrain","extremerain")))</f>
        <v>sunny</v>
      </c>
    </row>
    <row r="613" spans="1:16" x14ac:dyDescent="0.25">
      <c r="A613" s="4">
        <v>611</v>
      </c>
      <c r="B613" s="4">
        <v>0.2727</v>
      </c>
      <c r="C613" s="4">
        <v>0.8</v>
      </c>
      <c r="D613" s="4">
        <v>0</v>
      </c>
      <c r="E613" s="4">
        <v>10</v>
      </c>
      <c r="F613" s="4">
        <v>70</v>
      </c>
      <c r="G613" s="4">
        <v>80</v>
      </c>
      <c r="H613" s="5">
        <v>40571</v>
      </c>
      <c r="I613" s="4">
        <v>1</v>
      </c>
      <c r="J613" s="4">
        <v>16</v>
      </c>
      <c r="K613" s="4" t="b">
        <f>IF(Append1[[#This Row],[days]]="working day",FALSE,TRUE)</f>
        <v>0</v>
      </c>
      <c r="L613" s="4">
        <v>5</v>
      </c>
      <c r="M613" s="4">
        <v>1</v>
      </c>
      <c r="N613" s="6">
        <v>0.22</v>
      </c>
      <c r="O613" s="2" t="str">
        <f>IF(Append1[[#This Row],[weekday]]=0,"holiday",IF(AND(Append1[[#This Row],[weekday]]&gt;1,Append1[[#This Row],[weekday]]&lt;7),"working day","weekend"))</f>
        <v>working day</v>
      </c>
      <c r="P613" s="4" t="str">
        <f>IF(Append1[[#This Row],[weathersit]]=0,"sunny",IF(Append1[[#This Row],[weathersit]]=1,"mist",IF(Append1[[#This Row],[weathersit]]=2,"lightrain","extremerain")))</f>
        <v>mist</v>
      </c>
    </row>
    <row r="614" spans="1:16" x14ac:dyDescent="0.25">
      <c r="A614" s="4">
        <v>612</v>
      </c>
      <c r="B614" s="4">
        <v>0.2424</v>
      </c>
      <c r="C614" s="4">
        <v>0.75</v>
      </c>
      <c r="D614" s="4">
        <v>0.1343</v>
      </c>
      <c r="E614" s="4">
        <v>2</v>
      </c>
      <c r="F614" s="4">
        <v>147</v>
      </c>
      <c r="G614" s="4">
        <v>149</v>
      </c>
      <c r="H614" s="5">
        <v>40571</v>
      </c>
      <c r="I614" s="4">
        <v>1</v>
      </c>
      <c r="J614" s="4">
        <v>17</v>
      </c>
      <c r="K614" s="4" t="b">
        <f>IF(Append1[[#This Row],[days]]="working day",FALSE,TRUE)</f>
        <v>0</v>
      </c>
      <c r="L614" s="4">
        <v>5</v>
      </c>
      <c r="M614" s="4">
        <v>1</v>
      </c>
      <c r="N614" s="6">
        <v>0.24</v>
      </c>
      <c r="O614" s="2" t="str">
        <f>IF(Append1[[#This Row],[weekday]]=0,"holiday",IF(AND(Append1[[#This Row],[weekday]]&gt;1,Append1[[#This Row],[weekday]]&lt;7),"working day","weekend"))</f>
        <v>working day</v>
      </c>
      <c r="P614" s="4" t="str">
        <f>IF(Append1[[#This Row],[weathersit]]=0,"sunny",IF(Append1[[#This Row],[weathersit]]=1,"mist",IF(Append1[[#This Row],[weathersit]]=2,"lightrain","extremerain")))</f>
        <v>mist</v>
      </c>
    </row>
    <row r="615" spans="1:16" x14ac:dyDescent="0.25">
      <c r="A615" s="4">
        <v>613</v>
      </c>
      <c r="B615" s="4">
        <v>0.2273</v>
      </c>
      <c r="C615" s="4">
        <v>0.75</v>
      </c>
      <c r="D615" s="4">
        <v>0.19400000000000001</v>
      </c>
      <c r="E615" s="4">
        <v>2</v>
      </c>
      <c r="F615" s="4">
        <v>107</v>
      </c>
      <c r="G615" s="4">
        <v>109</v>
      </c>
      <c r="H615" s="5">
        <v>40571</v>
      </c>
      <c r="I615" s="4">
        <v>1</v>
      </c>
      <c r="J615" s="4">
        <v>18</v>
      </c>
      <c r="K615" s="4" t="b">
        <f>IF(Append1[[#This Row],[days]]="working day",FALSE,TRUE)</f>
        <v>0</v>
      </c>
      <c r="L615" s="4">
        <v>5</v>
      </c>
      <c r="M615" s="4">
        <v>1</v>
      </c>
      <c r="N615" s="6">
        <v>0.24</v>
      </c>
      <c r="O615" s="2" t="str">
        <f>IF(Append1[[#This Row],[weekday]]=0,"holiday",IF(AND(Append1[[#This Row],[weekday]]&gt;1,Append1[[#This Row],[weekday]]&lt;7),"working day","weekend"))</f>
        <v>working day</v>
      </c>
      <c r="P615" s="4" t="str">
        <f>IF(Append1[[#This Row],[weathersit]]=0,"sunny",IF(Append1[[#This Row],[weathersit]]=1,"mist",IF(Append1[[#This Row],[weathersit]]=2,"lightrain","extremerain")))</f>
        <v>mist</v>
      </c>
    </row>
    <row r="616" spans="1:16" x14ac:dyDescent="0.25">
      <c r="A616" s="4">
        <v>614</v>
      </c>
      <c r="B616" s="4">
        <v>0.2424</v>
      </c>
      <c r="C616" s="4">
        <v>0.75</v>
      </c>
      <c r="D616" s="4">
        <v>0.1343</v>
      </c>
      <c r="E616" s="4">
        <v>5</v>
      </c>
      <c r="F616" s="4">
        <v>84</v>
      </c>
      <c r="G616" s="4">
        <v>89</v>
      </c>
      <c r="H616" s="5">
        <v>40571</v>
      </c>
      <c r="I616" s="4">
        <v>1</v>
      </c>
      <c r="J616" s="4">
        <v>19</v>
      </c>
      <c r="K616" s="4" t="b">
        <f>IF(Append1[[#This Row],[days]]="working day",FALSE,TRUE)</f>
        <v>0</v>
      </c>
      <c r="L616" s="4">
        <v>5</v>
      </c>
      <c r="M616" s="4">
        <v>2</v>
      </c>
      <c r="N616" s="6">
        <v>0.24</v>
      </c>
      <c r="O616" s="2" t="str">
        <f>IF(Append1[[#This Row],[weekday]]=0,"holiday",IF(AND(Append1[[#This Row],[weekday]]&gt;1,Append1[[#This Row],[weekday]]&lt;7),"working day","weekend"))</f>
        <v>working day</v>
      </c>
      <c r="P616" s="4" t="str">
        <f>IF(Append1[[#This Row],[weathersit]]=0,"sunny",IF(Append1[[#This Row],[weathersit]]=1,"mist",IF(Append1[[#This Row],[weathersit]]=2,"lightrain","extremerain")))</f>
        <v>lightrain</v>
      </c>
    </row>
    <row r="617" spans="1:16" x14ac:dyDescent="0.25">
      <c r="A617" s="4">
        <v>615</v>
      </c>
      <c r="B617" s="4">
        <v>0.2273</v>
      </c>
      <c r="C617" s="4">
        <v>0.7</v>
      </c>
      <c r="D617" s="4">
        <v>0.19400000000000001</v>
      </c>
      <c r="E617" s="4">
        <v>1</v>
      </c>
      <c r="F617" s="4">
        <v>61</v>
      </c>
      <c r="G617" s="4">
        <v>62</v>
      </c>
      <c r="H617" s="5">
        <v>40571</v>
      </c>
      <c r="I617" s="4">
        <v>1</v>
      </c>
      <c r="J617" s="4">
        <v>20</v>
      </c>
      <c r="K617" s="4" t="b">
        <f>IF(Append1[[#This Row],[days]]="working day",FALSE,TRUE)</f>
        <v>0</v>
      </c>
      <c r="L617" s="4">
        <v>5</v>
      </c>
      <c r="M617" s="4">
        <v>2</v>
      </c>
      <c r="N617" s="6">
        <v>0.24</v>
      </c>
      <c r="O617" s="2" t="str">
        <f>IF(Append1[[#This Row],[weekday]]=0,"holiday",IF(AND(Append1[[#This Row],[weekday]]&gt;1,Append1[[#This Row],[weekday]]&lt;7),"working day","weekend"))</f>
        <v>working day</v>
      </c>
      <c r="P617" s="4" t="str">
        <f>IF(Append1[[#This Row],[weathersit]]=0,"sunny",IF(Append1[[#This Row],[weathersit]]=1,"mist",IF(Append1[[#This Row],[weathersit]]=2,"lightrain","extremerain")))</f>
        <v>lightrain</v>
      </c>
    </row>
    <row r="618" spans="1:16" x14ac:dyDescent="0.25">
      <c r="A618" s="4">
        <v>616</v>
      </c>
      <c r="B618" s="4">
        <v>0.2273</v>
      </c>
      <c r="C618" s="4">
        <v>0.75</v>
      </c>
      <c r="D618" s="4">
        <v>0.1343</v>
      </c>
      <c r="E618" s="4">
        <v>1</v>
      </c>
      <c r="F618" s="4">
        <v>57</v>
      </c>
      <c r="G618" s="4">
        <v>58</v>
      </c>
      <c r="H618" s="5">
        <v>40571</v>
      </c>
      <c r="I618" s="4">
        <v>1</v>
      </c>
      <c r="J618" s="4">
        <v>21</v>
      </c>
      <c r="K618" s="4" t="b">
        <f>IF(Append1[[#This Row],[days]]="working day",FALSE,TRUE)</f>
        <v>0</v>
      </c>
      <c r="L618" s="4">
        <v>5</v>
      </c>
      <c r="M618" s="4">
        <v>2</v>
      </c>
      <c r="N618" s="6">
        <v>0.22</v>
      </c>
      <c r="O618" s="2" t="str">
        <f>IF(Append1[[#This Row],[weekday]]=0,"holiday",IF(AND(Append1[[#This Row],[weekday]]&gt;1,Append1[[#This Row],[weekday]]&lt;7),"working day","weekend"))</f>
        <v>working day</v>
      </c>
      <c r="P618" s="4" t="str">
        <f>IF(Append1[[#This Row],[weathersit]]=0,"sunny",IF(Append1[[#This Row],[weathersit]]=1,"mist",IF(Append1[[#This Row],[weathersit]]=2,"lightrain","extremerain")))</f>
        <v>lightrain</v>
      </c>
    </row>
    <row r="619" spans="1:16" x14ac:dyDescent="0.25">
      <c r="A619" s="4">
        <v>617</v>
      </c>
      <c r="B619" s="4">
        <v>0.21210000000000001</v>
      </c>
      <c r="C619" s="4">
        <v>0.65</v>
      </c>
      <c r="D619" s="4">
        <v>0.35820000000000002</v>
      </c>
      <c r="E619" s="4">
        <v>0</v>
      </c>
      <c r="F619" s="4">
        <v>26</v>
      </c>
      <c r="G619" s="4">
        <v>26</v>
      </c>
      <c r="H619" s="5">
        <v>40571</v>
      </c>
      <c r="I619" s="4">
        <v>1</v>
      </c>
      <c r="J619" s="4">
        <v>22</v>
      </c>
      <c r="K619" s="4" t="b">
        <f>IF(Append1[[#This Row],[days]]="working day",FALSE,TRUE)</f>
        <v>0</v>
      </c>
      <c r="L619" s="4">
        <v>5</v>
      </c>
      <c r="M619" s="4">
        <v>1</v>
      </c>
      <c r="N619" s="6">
        <v>0.24</v>
      </c>
      <c r="O619" s="2" t="str">
        <f>IF(Append1[[#This Row],[weekday]]=0,"holiday",IF(AND(Append1[[#This Row],[weekday]]&gt;1,Append1[[#This Row],[weekday]]&lt;7),"working day","weekend"))</f>
        <v>working day</v>
      </c>
      <c r="P619" s="4" t="str">
        <f>IF(Append1[[#This Row],[weathersit]]=0,"sunny",IF(Append1[[#This Row],[weathersit]]=1,"mist",IF(Append1[[#This Row],[weathersit]]=2,"lightrain","extremerain")))</f>
        <v>mist</v>
      </c>
    </row>
    <row r="620" spans="1:16" x14ac:dyDescent="0.25">
      <c r="A620" s="4">
        <v>618</v>
      </c>
      <c r="B620" s="4">
        <v>0.2273</v>
      </c>
      <c r="C620" s="4">
        <v>0.6</v>
      </c>
      <c r="D620" s="4">
        <v>0.22389999999999999</v>
      </c>
      <c r="E620" s="4">
        <v>1</v>
      </c>
      <c r="F620" s="4">
        <v>22</v>
      </c>
      <c r="G620" s="4">
        <v>23</v>
      </c>
      <c r="H620" s="5">
        <v>40571</v>
      </c>
      <c r="I620" s="4">
        <v>1</v>
      </c>
      <c r="J620" s="4">
        <v>23</v>
      </c>
      <c r="K620" s="4" t="b">
        <f>IF(Append1[[#This Row],[days]]="working day",FALSE,TRUE)</f>
        <v>0</v>
      </c>
      <c r="L620" s="4">
        <v>5</v>
      </c>
      <c r="M620" s="4">
        <v>1</v>
      </c>
      <c r="N620" s="6">
        <v>0.24</v>
      </c>
      <c r="O620" s="2" t="str">
        <f>IF(Append1[[#This Row],[weekday]]=0,"holiday",IF(AND(Append1[[#This Row],[weekday]]&gt;1,Append1[[#This Row],[weekday]]&lt;7),"working day","weekend"))</f>
        <v>working day</v>
      </c>
      <c r="P620" s="4" t="str">
        <f>IF(Append1[[#This Row],[weathersit]]=0,"sunny",IF(Append1[[#This Row],[weathersit]]=1,"mist",IF(Append1[[#This Row],[weathersit]]=2,"lightrain","extremerain")))</f>
        <v>mist</v>
      </c>
    </row>
    <row r="621" spans="1:16" x14ac:dyDescent="0.25">
      <c r="A621" s="4">
        <v>619</v>
      </c>
      <c r="B621" s="4">
        <v>0.19700000000000001</v>
      </c>
      <c r="C621" s="4">
        <v>0.64</v>
      </c>
      <c r="D621" s="4">
        <v>0.35820000000000002</v>
      </c>
      <c r="E621" s="4">
        <v>2</v>
      </c>
      <c r="F621" s="4">
        <v>26</v>
      </c>
      <c r="G621" s="4">
        <v>28</v>
      </c>
      <c r="H621" s="5">
        <v>40572</v>
      </c>
      <c r="I621" s="4">
        <v>1</v>
      </c>
      <c r="J621" s="4">
        <v>0</v>
      </c>
      <c r="K621" s="4" t="b">
        <f>IF(Append1[[#This Row],[days]]="working day",FALSE,TRUE)</f>
        <v>0</v>
      </c>
      <c r="L621" s="4">
        <v>6</v>
      </c>
      <c r="M621" s="4">
        <v>1</v>
      </c>
      <c r="N621" s="6">
        <v>0.22</v>
      </c>
      <c r="O621" s="2" t="str">
        <f>IF(Append1[[#This Row],[weekday]]=0,"holiday",IF(AND(Append1[[#This Row],[weekday]]&gt;1,Append1[[#This Row],[weekday]]&lt;7),"working day","weekend"))</f>
        <v>working day</v>
      </c>
      <c r="P621" s="4" t="str">
        <f>IF(Append1[[#This Row],[weathersit]]=0,"sunny",IF(Append1[[#This Row],[weathersit]]=1,"mist",IF(Append1[[#This Row],[weathersit]]=2,"lightrain","extremerain")))</f>
        <v>mist</v>
      </c>
    </row>
    <row r="622" spans="1:16" x14ac:dyDescent="0.25">
      <c r="A622" s="4">
        <v>620</v>
      </c>
      <c r="B622" s="4">
        <v>0.2273</v>
      </c>
      <c r="C622" s="4">
        <v>0.64</v>
      </c>
      <c r="D622" s="4">
        <v>0.19400000000000001</v>
      </c>
      <c r="E622" s="4">
        <v>0</v>
      </c>
      <c r="F622" s="4">
        <v>20</v>
      </c>
      <c r="G622" s="4">
        <v>20</v>
      </c>
      <c r="H622" s="5">
        <v>40572</v>
      </c>
      <c r="I622" s="4">
        <v>1</v>
      </c>
      <c r="J622" s="4">
        <v>1</v>
      </c>
      <c r="K622" s="4" t="b">
        <f>IF(Append1[[#This Row],[days]]="working day",FALSE,TRUE)</f>
        <v>0</v>
      </c>
      <c r="L622" s="4">
        <v>6</v>
      </c>
      <c r="M622" s="4">
        <v>1</v>
      </c>
      <c r="N622" s="6">
        <v>0.22</v>
      </c>
      <c r="O622" s="2" t="str">
        <f>IF(Append1[[#This Row],[weekday]]=0,"holiday",IF(AND(Append1[[#This Row],[weekday]]&gt;1,Append1[[#This Row],[weekday]]&lt;7),"working day","weekend"))</f>
        <v>working day</v>
      </c>
      <c r="P622" s="4" t="str">
        <f>IF(Append1[[#This Row],[weathersit]]=0,"sunny",IF(Append1[[#This Row],[weathersit]]=1,"mist",IF(Append1[[#This Row],[weathersit]]=2,"lightrain","extremerain")))</f>
        <v>mist</v>
      </c>
    </row>
    <row r="623" spans="1:16" x14ac:dyDescent="0.25">
      <c r="A623" s="4">
        <v>621</v>
      </c>
      <c r="B623" s="4">
        <v>0.2273</v>
      </c>
      <c r="C623" s="4">
        <v>0.64</v>
      </c>
      <c r="D623" s="4">
        <v>0.16420000000000001</v>
      </c>
      <c r="E623" s="4">
        <v>0</v>
      </c>
      <c r="F623" s="4">
        <v>15</v>
      </c>
      <c r="G623" s="4">
        <v>15</v>
      </c>
      <c r="H623" s="5">
        <v>40572</v>
      </c>
      <c r="I623" s="4">
        <v>1</v>
      </c>
      <c r="J623" s="4">
        <v>2</v>
      </c>
      <c r="K623" s="4" t="b">
        <f>IF(Append1[[#This Row],[days]]="working day",FALSE,TRUE)</f>
        <v>0</v>
      </c>
      <c r="L623" s="4">
        <v>6</v>
      </c>
      <c r="M623" s="4">
        <v>1</v>
      </c>
      <c r="N623" s="6">
        <v>0.22</v>
      </c>
      <c r="O623" s="2" t="str">
        <f>IF(Append1[[#This Row],[weekday]]=0,"holiday",IF(AND(Append1[[#This Row],[weekday]]&gt;1,Append1[[#This Row],[weekday]]&lt;7),"working day","weekend"))</f>
        <v>working day</v>
      </c>
      <c r="P623" s="4" t="str">
        <f>IF(Append1[[#This Row],[weathersit]]=0,"sunny",IF(Append1[[#This Row],[weathersit]]=1,"mist",IF(Append1[[#This Row],[weathersit]]=2,"lightrain","extremerain")))</f>
        <v>mist</v>
      </c>
    </row>
    <row r="624" spans="1:16" x14ac:dyDescent="0.25">
      <c r="A624" s="4">
        <v>622</v>
      </c>
      <c r="B624" s="4">
        <v>0.21210000000000001</v>
      </c>
      <c r="C624" s="4">
        <v>0.64</v>
      </c>
      <c r="D624" s="4">
        <v>0.1343</v>
      </c>
      <c r="E624" s="4">
        <v>3</v>
      </c>
      <c r="F624" s="4">
        <v>5</v>
      </c>
      <c r="G624" s="4">
        <v>8</v>
      </c>
      <c r="H624" s="5">
        <v>40572</v>
      </c>
      <c r="I624" s="4">
        <v>1</v>
      </c>
      <c r="J624" s="4">
        <v>3</v>
      </c>
      <c r="K624" s="4" t="b">
        <f>IF(Append1[[#This Row],[days]]="working day",FALSE,TRUE)</f>
        <v>0</v>
      </c>
      <c r="L624" s="4">
        <v>6</v>
      </c>
      <c r="M624" s="4">
        <v>1</v>
      </c>
      <c r="N624" s="6">
        <v>0.2</v>
      </c>
      <c r="O624" s="2" t="str">
        <f>IF(Append1[[#This Row],[weekday]]=0,"holiday",IF(AND(Append1[[#This Row],[weekday]]&gt;1,Append1[[#This Row],[weekday]]&lt;7),"working day","weekend"))</f>
        <v>working day</v>
      </c>
      <c r="P624" s="4" t="str">
        <f>IF(Append1[[#This Row],[weathersit]]=0,"sunny",IF(Append1[[#This Row],[weathersit]]=1,"mist",IF(Append1[[#This Row],[weathersit]]=2,"lightrain","extremerain")))</f>
        <v>mist</v>
      </c>
    </row>
    <row r="625" spans="1:16" x14ac:dyDescent="0.25">
      <c r="A625" s="4">
        <v>623</v>
      </c>
      <c r="B625" s="4">
        <v>0.18179999999999999</v>
      </c>
      <c r="C625" s="4">
        <v>0.69</v>
      </c>
      <c r="D625" s="4">
        <v>0.1045</v>
      </c>
      <c r="E625" s="4">
        <v>1</v>
      </c>
      <c r="F625" s="4">
        <v>2</v>
      </c>
      <c r="G625" s="4">
        <v>3</v>
      </c>
      <c r="H625" s="5">
        <v>40572</v>
      </c>
      <c r="I625" s="4">
        <v>1</v>
      </c>
      <c r="J625" s="4">
        <v>4</v>
      </c>
      <c r="K625" s="4" t="b">
        <f>IF(Append1[[#This Row],[days]]="working day",FALSE,TRUE)</f>
        <v>0</v>
      </c>
      <c r="L625" s="4">
        <v>6</v>
      </c>
      <c r="M625" s="4">
        <v>1</v>
      </c>
      <c r="N625" s="6">
        <v>0.16</v>
      </c>
      <c r="O625" s="2" t="str">
        <f>IF(Append1[[#This Row],[weekday]]=0,"holiday",IF(AND(Append1[[#This Row],[weekday]]&gt;1,Append1[[#This Row],[weekday]]&lt;7),"working day","weekend"))</f>
        <v>working day</v>
      </c>
      <c r="P625" s="4" t="str">
        <f>IF(Append1[[#This Row],[weathersit]]=0,"sunny",IF(Append1[[#This Row],[weathersit]]=1,"mist",IF(Append1[[#This Row],[weathersit]]=2,"lightrain","extremerain")))</f>
        <v>mist</v>
      </c>
    </row>
    <row r="626" spans="1:16" x14ac:dyDescent="0.25">
      <c r="A626" s="4">
        <v>624</v>
      </c>
      <c r="B626" s="4">
        <v>0.18179999999999999</v>
      </c>
      <c r="C626" s="4">
        <v>0.64</v>
      </c>
      <c r="D626" s="4">
        <v>0.1343</v>
      </c>
      <c r="E626" s="4">
        <v>0</v>
      </c>
      <c r="F626" s="4">
        <v>2</v>
      </c>
      <c r="G626" s="4">
        <v>2</v>
      </c>
      <c r="H626" s="5">
        <v>40572</v>
      </c>
      <c r="I626" s="4">
        <v>1</v>
      </c>
      <c r="J626" s="4">
        <v>6</v>
      </c>
      <c r="K626" s="4" t="b">
        <f>IF(Append1[[#This Row],[days]]="working day",FALSE,TRUE)</f>
        <v>0</v>
      </c>
      <c r="L626" s="4">
        <v>6</v>
      </c>
      <c r="M626" s="4">
        <v>1</v>
      </c>
      <c r="N626" s="6">
        <v>0.16</v>
      </c>
      <c r="O626" s="2" t="str">
        <f>IF(Append1[[#This Row],[weekday]]=0,"holiday",IF(AND(Append1[[#This Row],[weekday]]&gt;1,Append1[[#This Row],[weekday]]&lt;7),"working day","weekend"))</f>
        <v>working day</v>
      </c>
      <c r="P626" s="4" t="str">
        <f>IF(Append1[[#This Row],[weathersit]]=0,"sunny",IF(Append1[[#This Row],[weathersit]]=1,"mist",IF(Append1[[#This Row],[weathersit]]=2,"lightrain","extremerain")))</f>
        <v>mist</v>
      </c>
    </row>
    <row r="627" spans="1:16" x14ac:dyDescent="0.25">
      <c r="A627" s="4">
        <v>625</v>
      </c>
      <c r="B627" s="4">
        <v>0.18179999999999999</v>
      </c>
      <c r="C627" s="4">
        <v>0.59</v>
      </c>
      <c r="D627" s="4">
        <v>0.1045</v>
      </c>
      <c r="E627" s="4">
        <v>1</v>
      </c>
      <c r="F627" s="4">
        <v>4</v>
      </c>
      <c r="G627" s="4">
        <v>5</v>
      </c>
      <c r="H627" s="5">
        <v>40572</v>
      </c>
      <c r="I627" s="4">
        <v>1</v>
      </c>
      <c r="J627" s="4">
        <v>7</v>
      </c>
      <c r="K627" s="4" t="b">
        <f>IF(Append1[[#This Row],[days]]="working day",FALSE,TRUE)</f>
        <v>0</v>
      </c>
      <c r="L627" s="4">
        <v>6</v>
      </c>
      <c r="M627" s="4">
        <v>1</v>
      </c>
      <c r="N627" s="6">
        <v>0.16</v>
      </c>
      <c r="O627" s="2" t="str">
        <f>IF(Append1[[#This Row],[weekday]]=0,"holiday",IF(AND(Append1[[#This Row],[weekday]]&gt;1,Append1[[#This Row],[weekday]]&lt;7),"working day","weekend"))</f>
        <v>working day</v>
      </c>
      <c r="P627" s="4" t="str">
        <f>IF(Append1[[#This Row],[weathersit]]=0,"sunny",IF(Append1[[#This Row],[weathersit]]=1,"mist",IF(Append1[[#This Row],[weathersit]]=2,"lightrain","extremerain")))</f>
        <v>mist</v>
      </c>
    </row>
    <row r="628" spans="1:16" x14ac:dyDescent="0.25">
      <c r="A628" s="4">
        <v>626</v>
      </c>
      <c r="B628" s="4">
        <v>0.19700000000000001</v>
      </c>
      <c r="C628" s="4">
        <v>0.55000000000000004</v>
      </c>
      <c r="D628" s="4">
        <v>0.16420000000000001</v>
      </c>
      <c r="E628" s="4">
        <v>3</v>
      </c>
      <c r="F628" s="4">
        <v>31</v>
      </c>
      <c r="G628" s="4">
        <v>34</v>
      </c>
      <c r="H628" s="5">
        <v>40572</v>
      </c>
      <c r="I628" s="4">
        <v>1</v>
      </c>
      <c r="J628" s="4">
        <v>8</v>
      </c>
      <c r="K628" s="4" t="b">
        <f>IF(Append1[[#This Row],[days]]="working day",FALSE,TRUE)</f>
        <v>0</v>
      </c>
      <c r="L628" s="4">
        <v>6</v>
      </c>
      <c r="M628" s="4">
        <v>1</v>
      </c>
      <c r="N628" s="6">
        <v>0.18</v>
      </c>
      <c r="O628" s="2" t="str">
        <f>IF(Append1[[#This Row],[weekday]]=0,"holiday",IF(AND(Append1[[#This Row],[weekday]]&gt;1,Append1[[#This Row],[weekday]]&lt;7),"working day","weekend"))</f>
        <v>working day</v>
      </c>
      <c r="P628" s="4" t="str">
        <f>IF(Append1[[#This Row],[weathersit]]=0,"sunny",IF(Append1[[#This Row],[weathersit]]=1,"mist",IF(Append1[[#This Row],[weathersit]]=2,"lightrain","extremerain")))</f>
        <v>mist</v>
      </c>
    </row>
    <row r="629" spans="1:16" x14ac:dyDescent="0.25">
      <c r="A629" s="4">
        <v>627</v>
      </c>
      <c r="B629" s="4">
        <v>0.21210000000000001</v>
      </c>
      <c r="C629" s="4">
        <v>0.59</v>
      </c>
      <c r="D629" s="4">
        <v>8.9599999999999999E-2</v>
      </c>
      <c r="E629" s="4">
        <v>0</v>
      </c>
      <c r="F629" s="4">
        <v>34</v>
      </c>
      <c r="G629" s="4">
        <v>34</v>
      </c>
      <c r="H629" s="5">
        <v>40572</v>
      </c>
      <c r="I629" s="4">
        <v>1</v>
      </c>
      <c r="J629" s="4">
        <v>9</v>
      </c>
      <c r="K629" s="4" t="b">
        <f>IF(Append1[[#This Row],[days]]="working day",FALSE,TRUE)</f>
        <v>0</v>
      </c>
      <c r="L629" s="4">
        <v>6</v>
      </c>
      <c r="M629" s="4">
        <v>1</v>
      </c>
      <c r="N629" s="6">
        <v>0.18</v>
      </c>
      <c r="O629" s="2" t="str">
        <f>IF(Append1[[#This Row],[weekday]]=0,"holiday",IF(AND(Append1[[#This Row],[weekday]]&gt;1,Append1[[#This Row],[weekday]]&lt;7),"working day","weekend"))</f>
        <v>working day</v>
      </c>
      <c r="P629" s="4" t="str">
        <f>IF(Append1[[#This Row],[weathersit]]=0,"sunny",IF(Append1[[#This Row],[weathersit]]=1,"mist",IF(Append1[[#This Row],[weathersit]]=2,"lightrain","extremerain")))</f>
        <v>mist</v>
      </c>
    </row>
    <row r="630" spans="1:16" x14ac:dyDescent="0.25">
      <c r="A630" s="4">
        <v>628</v>
      </c>
      <c r="B630" s="4">
        <v>0.21210000000000001</v>
      </c>
      <c r="C630" s="4">
        <v>0.64</v>
      </c>
      <c r="D630" s="4">
        <v>0.1045</v>
      </c>
      <c r="E630" s="4">
        <v>4</v>
      </c>
      <c r="F630" s="4">
        <v>51</v>
      </c>
      <c r="G630" s="4">
        <v>55</v>
      </c>
      <c r="H630" s="5">
        <v>40572</v>
      </c>
      <c r="I630" s="4">
        <v>1</v>
      </c>
      <c r="J630" s="4">
        <v>10</v>
      </c>
      <c r="K630" s="4" t="b">
        <f>IF(Append1[[#This Row],[days]]="working day",FALSE,TRUE)</f>
        <v>0</v>
      </c>
      <c r="L630" s="4">
        <v>6</v>
      </c>
      <c r="M630" s="4">
        <v>2</v>
      </c>
      <c r="N630" s="6">
        <v>0.18</v>
      </c>
      <c r="O630" s="2" t="str">
        <f>IF(Append1[[#This Row],[weekday]]=0,"holiday",IF(AND(Append1[[#This Row],[weekday]]&gt;1,Append1[[#This Row],[weekday]]&lt;7),"working day","weekend"))</f>
        <v>working day</v>
      </c>
      <c r="P630" s="4" t="str">
        <f>IF(Append1[[#This Row],[weathersit]]=0,"sunny",IF(Append1[[#This Row],[weathersit]]=1,"mist",IF(Append1[[#This Row],[weathersit]]=2,"lightrain","extremerain")))</f>
        <v>lightrain</v>
      </c>
    </row>
    <row r="631" spans="1:16" x14ac:dyDescent="0.25">
      <c r="A631" s="4">
        <v>629</v>
      </c>
      <c r="B631" s="4">
        <v>0.19700000000000001</v>
      </c>
      <c r="C631" s="4">
        <v>0.64</v>
      </c>
      <c r="D631" s="4">
        <v>0.1343</v>
      </c>
      <c r="E631" s="4">
        <v>4</v>
      </c>
      <c r="F631" s="4">
        <v>60</v>
      </c>
      <c r="G631" s="4">
        <v>64</v>
      </c>
      <c r="H631" s="5">
        <v>40572</v>
      </c>
      <c r="I631" s="4">
        <v>1</v>
      </c>
      <c r="J631" s="4">
        <v>11</v>
      </c>
      <c r="K631" s="4" t="b">
        <f>IF(Append1[[#This Row],[days]]="working day",FALSE,TRUE)</f>
        <v>0</v>
      </c>
      <c r="L631" s="4">
        <v>6</v>
      </c>
      <c r="M631" s="4">
        <v>2</v>
      </c>
      <c r="N631" s="6">
        <v>0.18</v>
      </c>
      <c r="O631" s="2" t="str">
        <f>IF(Append1[[#This Row],[weekday]]=0,"holiday",IF(AND(Append1[[#This Row],[weekday]]&gt;1,Append1[[#This Row],[weekday]]&lt;7),"working day","weekend"))</f>
        <v>working day</v>
      </c>
      <c r="P631" s="4" t="str">
        <f>IF(Append1[[#This Row],[weathersit]]=0,"sunny",IF(Append1[[#This Row],[weathersit]]=1,"mist",IF(Append1[[#This Row],[weathersit]]=2,"lightrain","extremerain")))</f>
        <v>lightrain</v>
      </c>
    </row>
    <row r="632" spans="1:16" x14ac:dyDescent="0.25">
      <c r="A632" s="4">
        <v>630</v>
      </c>
      <c r="B632" s="4">
        <v>0.19700000000000001</v>
      </c>
      <c r="C632" s="4">
        <v>0.59</v>
      </c>
      <c r="D632" s="4">
        <v>0.19400000000000001</v>
      </c>
      <c r="E632" s="4">
        <v>12</v>
      </c>
      <c r="F632" s="4">
        <v>66</v>
      </c>
      <c r="G632" s="4">
        <v>78</v>
      </c>
      <c r="H632" s="5">
        <v>40572</v>
      </c>
      <c r="I632" s="4">
        <v>1</v>
      </c>
      <c r="J632" s="4">
        <v>12</v>
      </c>
      <c r="K632" s="4" t="b">
        <f>IF(Append1[[#This Row],[days]]="working day",FALSE,TRUE)</f>
        <v>0</v>
      </c>
      <c r="L632" s="4">
        <v>6</v>
      </c>
      <c r="M632" s="4">
        <v>2</v>
      </c>
      <c r="N632" s="6">
        <v>0.2</v>
      </c>
      <c r="O632" s="2" t="str">
        <f>IF(Append1[[#This Row],[weekday]]=0,"holiday",IF(AND(Append1[[#This Row],[weekday]]&gt;1,Append1[[#This Row],[weekday]]&lt;7),"working day","weekend"))</f>
        <v>working day</v>
      </c>
      <c r="P632" s="4" t="str">
        <f>IF(Append1[[#This Row],[weathersit]]=0,"sunny",IF(Append1[[#This Row],[weathersit]]=1,"mist",IF(Append1[[#This Row],[weathersit]]=2,"lightrain","extremerain")))</f>
        <v>lightrain</v>
      </c>
    </row>
    <row r="633" spans="1:16" x14ac:dyDescent="0.25">
      <c r="A633" s="4">
        <v>631</v>
      </c>
      <c r="B633" s="4">
        <v>0.2273</v>
      </c>
      <c r="C633" s="4">
        <v>0.55000000000000004</v>
      </c>
      <c r="D633" s="4">
        <v>0.16420000000000001</v>
      </c>
      <c r="E633" s="4">
        <v>9</v>
      </c>
      <c r="F633" s="4">
        <v>56</v>
      </c>
      <c r="G633" s="4">
        <v>65</v>
      </c>
      <c r="H633" s="5">
        <v>40572</v>
      </c>
      <c r="I633" s="4">
        <v>1</v>
      </c>
      <c r="J633" s="4">
        <v>13</v>
      </c>
      <c r="K633" s="4" t="b">
        <f>IF(Append1[[#This Row],[days]]="working day",FALSE,TRUE)</f>
        <v>0</v>
      </c>
      <c r="L633" s="4">
        <v>6</v>
      </c>
      <c r="M633" s="4">
        <v>2</v>
      </c>
      <c r="N633" s="6">
        <v>0.22</v>
      </c>
      <c r="O633" s="2" t="str">
        <f>IF(Append1[[#This Row],[weekday]]=0,"holiday",IF(AND(Append1[[#This Row],[weekday]]&gt;1,Append1[[#This Row],[weekday]]&lt;7),"working day","weekend"))</f>
        <v>working day</v>
      </c>
      <c r="P633" s="4" t="str">
        <f>IF(Append1[[#This Row],[weathersit]]=0,"sunny",IF(Append1[[#This Row],[weathersit]]=1,"mist",IF(Append1[[#This Row],[weathersit]]=2,"lightrain","extremerain")))</f>
        <v>lightrain</v>
      </c>
    </row>
    <row r="634" spans="1:16" x14ac:dyDescent="0.25">
      <c r="A634" s="4">
        <v>632</v>
      </c>
      <c r="B634" s="4">
        <v>0.2273</v>
      </c>
      <c r="C634" s="4">
        <v>0.6</v>
      </c>
      <c r="D634" s="4">
        <v>0.1343</v>
      </c>
      <c r="E634" s="4">
        <v>10</v>
      </c>
      <c r="F634" s="4">
        <v>89</v>
      </c>
      <c r="G634" s="4">
        <v>99</v>
      </c>
      <c r="H634" s="5">
        <v>40572</v>
      </c>
      <c r="I634" s="4">
        <v>1</v>
      </c>
      <c r="J634" s="4">
        <v>14</v>
      </c>
      <c r="K634" s="4" t="b">
        <f>IF(Append1[[#This Row],[days]]="working day",FALSE,TRUE)</f>
        <v>0</v>
      </c>
      <c r="L634" s="4">
        <v>6</v>
      </c>
      <c r="M634" s="4">
        <v>2</v>
      </c>
      <c r="N634" s="6">
        <v>0.22</v>
      </c>
      <c r="O634" s="2" t="str">
        <f>IF(Append1[[#This Row],[weekday]]=0,"holiday",IF(AND(Append1[[#This Row],[weekday]]&gt;1,Append1[[#This Row],[weekday]]&lt;7),"working day","weekend"))</f>
        <v>working day</v>
      </c>
      <c r="P634" s="4" t="str">
        <f>IF(Append1[[#This Row],[weathersit]]=0,"sunny",IF(Append1[[#This Row],[weathersit]]=1,"mist",IF(Append1[[#This Row],[weathersit]]=2,"lightrain","extremerain")))</f>
        <v>lightrain</v>
      </c>
    </row>
    <row r="635" spans="1:16" x14ac:dyDescent="0.25">
      <c r="A635" s="4">
        <v>633</v>
      </c>
      <c r="B635" s="4">
        <v>0.21210000000000001</v>
      </c>
      <c r="C635" s="4">
        <v>0.69</v>
      </c>
      <c r="D635" s="4">
        <v>0.25369999999999998</v>
      </c>
      <c r="E635" s="4">
        <v>22</v>
      </c>
      <c r="F635" s="4">
        <v>98</v>
      </c>
      <c r="G635" s="4">
        <v>120</v>
      </c>
      <c r="H635" s="5">
        <v>40572</v>
      </c>
      <c r="I635" s="4">
        <v>1</v>
      </c>
      <c r="J635" s="4">
        <v>15</v>
      </c>
      <c r="K635" s="4" t="b">
        <f>IF(Append1[[#This Row],[days]]="working day",FALSE,TRUE)</f>
        <v>0</v>
      </c>
      <c r="L635" s="4">
        <v>6</v>
      </c>
      <c r="M635" s="4">
        <v>1</v>
      </c>
      <c r="N635" s="6">
        <v>0.22</v>
      </c>
      <c r="O635" s="2" t="str">
        <f>IF(Append1[[#This Row],[weekday]]=0,"holiday",IF(AND(Append1[[#This Row],[weekday]]&gt;1,Append1[[#This Row],[weekday]]&lt;7),"working day","weekend"))</f>
        <v>working day</v>
      </c>
      <c r="P635" s="4" t="str">
        <f>IF(Append1[[#This Row],[weathersit]]=0,"sunny",IF(Append1[[#This Row],[weathersit]]=1,"mist",IF(Append1[[#This Row],[weathersit]]=2,"lightrain","extremerain")))</f>
        <v>mist</v>
      </c>
    </row>
    <row r="636" spans="1:16" x14ac:dyDescent="0.25">
      <c r="A636" s="4">
        <v>634</v>
      </c>
      <c r="B636" s="4">
        <v>0.2424</v>
      </c>
      <c r="C636" s="4">
        <v>0.6</v>
      </c>
      <c r="D636" s="4">
        <v>0.16420000000000001</v>
      </c>
      <c r="E636" s="4">
        <v>19</v>
      </c>
      <c r="F636" s="4">
        <v>88</v>
      </c>
      <c r="G636" s="4">
        <v>107</v>
      </c>
      <c r="H636" s="5">
        <v>40572</v>
      </c>
      <c r="I636" s="4">
        <v>1</v>
      </c>
      <c r="J636" s="4">
        <v>16</v>
      </c>
      <c r="K636" s="4" t="b">
        <f>IF(Append1[[#This Row],[days]]="working day",FALSE,TRUE)</f>
        <v>0</v>
      </c>
      <c r="L636" s="4">
        <v>6</v>
      </c>
      <c r="M636" s="4">
        <v>1</v>
      </c>
      <c r="N636" s="6">
        <v>0.24</v>
      </c>
      <c r="O636" s="2" t="str">
        <f>IF(Append1[[#This Row],[weekday]]=0,"holiday",IF(AND(Append1[[#This Row],[weekday]]&gt;1,Append1[[#This Row],[weekday]]&lt;7),"working day","weekend"))</f>
        <v>working day</v>
      </c>
      <c r="P636" s="4" t="str">
        <f>IF(Append1[[#This Row],[weathersit]]=0,"sunny",IF(Append1[[#This Row],[weathersit]]=1,"mist",IF(Append1[[#This Row],[weathersit]]=2,"lightrain","extremerain")))</f>
        <v>mist</v>
      </c>
    </row>
    <row r="637" spans="1:16" x14ac:dyDescent="0.25">
      <c r="A637" s="4">
        <v>635</v>
      </c>
      <c r="B637" s="4">
        <v>0.28789999999999999</v>
      </c>
      <c r="C637" s="4">
        <v>0.6</v>
      </c>
      <c r="D637" s="4">
        <v>0</v>
      </c>
      <c r="E637" s="4">
        <v>9</v>
      </c>
      <c r="F637" s="4">
        <v>82</v>
      </c>
      <c r="G637" s="4">
        <v>91</v>
      </c>
      <c r="H637" s="5">
        <v>40572</v>
      </c>
      <c r="I637" s="4">
        <v>1</v>
      </c>
      <c r="J637" s="4">
        <v>17</v>
      </c>
      <c r="K637" s="4" t="b">
        <f>IF(Append1[[#This Row],[days]]="working day",FALSE,TRUE)</f>
        <v>0</v>
      </c>
      <c r="L637" s="4">
        <v>6</v>
      </c>
      <c r="M637" s="4">
        <v>1</v>
      </c>
      <c r="N637" s="6">
        <v>0.24</v>
      </c>
      <c r="O637" s="2" t="str">
        <f>IF(Append1[[#This Row],[weekday]]=0,"holiday",IF(AND(Append1[[#This Row],[weekday]]&gt;1,Append1[[#This Row],[weekday]]&lt;7),"working day","weekend"))</f>
        <v>working day</v>
      </c>
      <c r="P637" s="4" t="str">
        <f>IF(Append1[[#This Row],[weathersit]]=0,"sunny",IF(Append1[[#This Row],[weathersit]]=1,"mist",IF(Append1[[#This Row],[weathersit]]=2,"lightrain","extremerain")))</f>
        <v>mist</v>
      </c>
    </row>
    <row r="638" spans="1:16" x14ac:dyDescent="0.25">
      <c r="A638" s="4">
        <v>636</v>
      </c>
      <c r="B638" s="4">
        <v>0.2273</v>
      </c>
      <c r="C638" s="4">
        <v>0.69</v>
      </c>
      <c r="D638" s="4">
        <v>0.1343</v>
      </c>
      <c r="E638" s="4">
        <v>9</v>
      </c>
      <c r="F638" s="4">
        <v>59</v>
      </c>
      <c r="G638" s="4">
        <v>68</v>
      </c>
      <c r="H638" s="5">
        <v>40572</v>
      </c>
      <c r="I638" s="4">
        <v>1</v>
      </c>
      <c r="J638" s="4">
        <v>18</v>
      </c>
      <c r="K638" s="4" t="b">
        <f>IF(Append1[[#This Row],[days]]="working day",FALSE,TRUE)</f>
        <v>0</v>
      </c>
      <c r="L638" s="4">
        <v>6</v>
      </c>
      <c r="M638" s="4">
        <v>1</v>
      </c>
      <c r="N638" s="6">
        <v>0.22</v>
      </c>
      <c r="O638" s="2" t="str">
        <f>IF(Append1[[#This Row],[weekday]]=0,"holiday",IF(AND(Append1[[#This Row],[weekday]]&gt;1,Append1[[#This Row],[weekday]]&lt;7),"working day","weekend"))</f>
        <v>working day</v>
      </c>
      <c r="P638" s="4" t="str">
        <f>IF(Append1[[#This Row],[weathersit]]=0,"sunny",IF(Append1[[#This Row],[weathersit]]=1,"mist",IF(Append1[[#This Row],[weathersit]]=2,"lightrain","extremerain")))</f>
        <v>mist</v>
      </c>
    </row>
    <row r="639" spans="1:16" x14ac:dyDescent="0.25">
      <c r="A639" s="4">
        <v>637</v>
      </c>
      <c r="B639" s="4">
        <v>0.21210000000000001</v>
      </c>
      <c r="C639" s="4">
        <v>0.69</v>
      </c>
      <c r="D639" s="4">
        <v>0.25369999999999998</v>
      </c>
      <c r="E639" s="4">
        <v>6</v>
      </c>
      <c r="F639" s="4">
        <v>52</v>
      </c>
      <c r="G639" s="4">
        <v>58</v>
      </c>
      <c r="H639" s="5">
        <v>40572</v>
      </c>
      <c r="I639" s="4">
        <v>1</v>
      </c>
      <c r="J639" s="4">
        <v>19</v>
      </c>
      <c r="K639" s="4" t="b">
        <f>IF(Append1[[#This Row],[days]]="working day",FALSE,TRUE)</f>
        <v>0</v>
      </c>
      <c r="L639" s="4">
        <v>6</v>
      </c>
      <c r="M639" s="4">
        <v>2</v>
      </c>
      <c r="N639" s="6">
        <v>0.22</v>
      </c>
      <c r="O639" s="2" t="str">
        <f>IF(Append1[[#This Row],[weekday]]=0,"holiday",IF(AND(Append1[[#This Row],[weekday]]&gt;1,Append1[[#This Row],[weekday]]&lt;7),"working day","weekend"))</f>
        <v>working day</v>
      </c>
      <c r="P639" s="4" t="str">
        <f>IF(Append1[[#This Row],[weathersit]]=0,"sunny",IF(Append1[[#This Row],[weathersit]]=1,"mist",IF(Append1[[#This Row],[weathersit]]=2,"lightrain","extremerain")))</f>
        <v>lightrain</v>
      </c>
    </row>
    <row r="640" spans="1:16" x14ac:dyDescent="0.25">
      <c r="A640" s="4">
        <v>638</v>
      </c>
      <c r="B640" s="4">
        <v>0.21210000000000001</v>
      </c>
      <c r="C640" s="4">
        <v>0.74</v>
      </c>
      <c r="D640" s="4">
        <v>8.9599999999999999E-2</v>
      </c>
      <c r="E640" s="4">
        <v>1</v>
      </c>
      <c r="F640" s="4">
        <v>42</v>
      </c>
      <c r="G640" s="4">
        <v>43</v>
      </c>
      <c r="H640" s="5">
        <v>40572</v>
      </c>
      <c r="I640" s="4">
        <v>1</v>
      </c>
      <c r="J640" s="4">
        <v>20</v>
      </c>
      <c r="K640" s="4" t="b">
        <f>IF(Append1[[#This Row],[days]]="working day",FALSE,TRUE)</f>
        <v>0</v>
      </c>
      <c r="L640" s="4">
        <v>6</v>
      </c>
      <c r="M640" s="4">
        <v>1</v>
      </c>
      <c r="N640" s="6">
        <v>0.18</v>
      </c>
      <c r="O640" s="2" t="str">
        <f>IF(Append1[[#This Row],[weekday]]=0,"holiday",IF(AND(Append1[[#This Row],[weekday]]&gt;1,Append1[[#This Row],[weekday]]&lt;7),"working day","weekend"))</f>
        <v>working day</v>
      </c>
      <c r="P640" s="4" t="str">
        <f>IF(Append1[[#This Row],[weathersit]]=0,"sunny",IF(Append1[[#This Row],[weathersit]]=1,"mist",IF(Append1[[#This Row],[weathersit]]=2,"lightrain","extremerain")))</f>
        <v>mist</v>
      </c>
    </row>
    <row r="641" spans="1:16" x14ac:dyDescent="0.25">
      <c r="A641" s="4">
        <v>639</v>
      </c>
      <c r="B641" s="4">
        <v>0.21210000000000001</v>
      </c>
      <c r="C641" s="4">
        <v>0.74</v>
      </c>
      <c r="D641" s="4">
        <v>8.9599999999999999E-2</v>
      </c>
      <c r="E641" s="4">
        <v>1</v>
      </c>
      <c r="F641" s="4">
        <v>35</v>
      </c>
      <c r="G641" s="4">
        <v>36</v>
      </c>
      <c r="H641" s="5">
        <v>40572</v>
      </c>
      <c r="I641" s="4">
        <v>1</v>
      </c>
      <c r="J641" s="4">
        <v>21</v>
      </c>
      <c r="K641" s="4" t="b">
        <f>IF(Append1[[#This Row],[days]]="working day",FALSE,TRUE)</f>
        <v>0</v>
      </c>
      <c r="L641" s="4">
        <v>6</v>
      </c>
      <c r="M641" s="4">
        <v>1</v>
      </c>
      <c r="N641" s="6">
        <v>0.18</v>
      </c>
      <c r="O641" s="2" t="str">
        <f>IF(Append1[[#This Row],[weekday]]=0,"holiday",IF(AND(Append1[[#This Row],[weekday]]&gt;1,Append1[[#This Row],[weekday]]&lt;7),"working day","weekend"))</f>
        <v>working day</v>
      </c>
      <c r="P641" s="4" t="str">
        <f>IF(Append1[[#This Row],[weathersit]]=0,"sunny",IF(Append1[[#This Row],[weathersit]]=1,"mist",IF(Append1[[#This Row],[weathersit]]=2,"lightrain","extremerain")))</f>
        <v>mist</v>
      </c>
    </row>
    <row r="642" spans="1:16" x14ac:dyDescent="0.25">
      <c r="A642" s="4">
        <v>640</v>
      </c>
      <c r="B642" s="4">
        <v>0.19700000000000001</v>
      </c>
      <c r="C642" s="4">
        <v>0.8</v>
      </c>
      <c r="D642" s="4">
        <v>8.9599999999999999E-2</v>
      </c>
      <c r="E642" s="4">
        <v>4</v>
      </c>
      <c r="F642" s="4">
        <v>28</v>
      </c>
      <c r="G642" s="4">
        <v>32</v>
      </c>
      <c r="H642" s="5">
        <v>40572</v>
      </c>
      <c r="I642" s="4">
        <v>1</v>
      </c>
      <c r="J642" s="4">
        <v>22</v>
      </c>
      <c r="K642" s="4" t="b">
        <f>IF(Append1[[#This Row],[days]]="working day",FALSE,TRUE)</f>
        <v>0</v>
      </c>
      <c r="L642" s="4">
        <v>6</v>
      </c>
      <c r="M642" s="4">
        <v>1</v>
      </c>
      <c r="N642" s="6">
        <v>0.16</v>
      </c>
      <c r="O642" s="2" t="str">
        <f>IF(Append1[[#This Row],[weekday]]=0,"holiday",IF(AND(Append1[[#This Row],[weekday]]&gt;1,Append1[[#This Row],[weekday]]&lt;7),"working day","weekend"))</f>
        <v>working day</v>
      </c>
      <c r="P642" s="4" t="str">
        <f>IF(Append1[[#This Row],[weathersit]]=0,"sunny",IF(Append1[[#This Row],[weathersit]]=1,"mist",IF(Append1[[#This Row],[weathersit]]=2,"lightrain","extremerain")))</f>
        <v>mist</v>
      </c>
    </row>
    <row r="643" spans="1:16" x14ac:dyDescent="0.25">
      <c r="A643" s="4">
        <v>641</v>
      </c>
      <c r="B643" s="4">
        <v>0.19700000000000001</v>
      </c>
      <c r="C643" s="4">
        <v>0.8</v>
      </c>
      <c r="D643" s="4">
        <v>8.9599999999999999E-2</v>
      </c>
      <c r="E643" s="4">
        <v>3</v>
      </c>
      <c r="F643" s="4">
        <v>30</v>
      </c>
      <c r="G643" s="4">
        <v>33</v>
      </c>
      <c r="H643" s="5">
        <v>40572</v>
      </c>
      <c r="I643" s="4">
        <v>1</v>
      </c>
      <c r="J643" s="4">
        <v>23</v>
      </c>
      <c r="K643" s="4" t="b">
        <f>IF(Append1[[#This Row],[days]]="working day",FALSE,TRUE)</f>
        <v>0</v>
      </c>
      <c r="L643" s="4">
        <v>6</v>
      </c>
      <c r="M643" s="4">
        <v>1</v>
      </c>
      <c r="N643" s="6">
        <v>0.16</v>
      </c>
      <c r="O643" s="2" t="str">
        <f>IF(Append1[[#This Row],[weekday]]=0,"holiday",IF(AND(Append1[[#This Row],[weekday]]&gt;1,Append1[[#This Row],[weekday]]&lt;7),"working day","weekend"))</f>
        <v>working day</v>
      </c>
      <c r="P643" s="4" t="str">
        <f>IF(Append1[[#This Row],[weathersit]]=0,"sunny",IF(Append1[[#This Row],[weathersit]]=1,"mist",IF(Append1[[#This Row],[weathersit]]=2,"lightrain","extremerain")))</f>
        <v>mist</v>
      </c>
    </row>
    <row r="644" spans="1:16" x14ac:dyDescent="0.25">
      <c r="A644" s="4">
        <v>642</v>
      </c>
      <c r="B644" s="4">
        <v>0.18179999999999999</v>
      </c>
      <c r="C644" s="4">
        <v>0.8</v>
      </c>
      <c r="D644" s="4">
        <v>0.1045</v>
      </c>
      <c r="E644" s="4">
        <v>0</v>
      </c>
      <c r="F644" s="4">
        <v>33</v>
      </c>
      <c r="G644" s="4">
        <v>33</v>
      </c>
      <c r="H644" s="5">
        <v>40573</v>
      </c>
      <c r="I644" s="4">
        <v>1</v>
      </c>
      <c r="J644" s="4">
        <v>0</v>
      </c>
      <c r="K644" s="4" t="b">
        <f>IF(Append1[[#This Row],[days]]="working day",FALSE,TRUE)</f>
        <v>1</v>
      </c>
      <c r="L644" s="4">
        <v>0</v>
      </c>
      <c r="M644" s="4">
        <v>1</v>
      </c>
      <c r="N644" s="6">
        <v>0.16</v>
      </c>
      <c r="O644" s="2" t="str">
        <f>IF(Append1[[#This Row],[weekday]]=0,"holiday",IF(AND(Append1[[#This Row],[weekday]]&gt;1,Append1[[#This Row],[weekday]]&lt;7),"working day","weekend"))</f>
        <v>holiday</v>
      </c>
      <c r="P644" s="4" t="str">
        <f>IF(Append1[[#This Row],[weathersit]]=0,"sunny",IF(Append1[[#This Row],[weathersit]]=1,"mist",IF(Append1[[#This Row],[weathersit]]=2,"lightrain","extremerain")))</f>
        <v>mist</v>
      </c>
    </row>
    <row r="645" spans="1:16" x14ac:dyDescent="0.25">
      <c r="A645" s="4">
        <v>643</v>
      </c>
      <c r="B645" s="4">
        <v>0.21210000000000001</v>
      </c>
      <c r="C645" s="4">
        <v>0.8</v>
      </c>
      <c r="D645" s="4">
        <v>0</v>
      </c>
      <c r="E645" s="4">
        <v>7</v>
      </c>
      <c r="F645" s="4">
        <v>22</v>
      </c>
      <c r="G645" s="4">
        <v>29</v>
      </c>
      <c r="H645" s="5">
        <v>40573</v>
      </c>
      <c r="I645" s="4">
        <v>1</v>
      </c>
      <c r="J645" s="4">
        <v>1</v>
      </c>
      <c r="K645" s="4" t="b">
        <f>IF(Append1[[#This Row],[days]]="working day",FALSE,TRUE)</f>
        <v>1</v>
      </c>
      <c r="L645" s="4">
        <v>0</v>
      </c>
      <c r="M645" s="4">
        <v>1</v>
      </c>
      <c r="N645" s="6">
        <v>0.14000000000000001</v>
      </c>
      <c r="O645" s="2" t="str">
        <f>IF(Append1[[#This Row],[weekday]]=0,"holiday",IF(AND(Append1[[#This Row],[weekday]]&gt;1,Append1[[#This Row],[weekday]]&lt;7),"working day","weekend"))</f>
        <v>holiday</v>
      </c>
      <c r="P645" s="4" t="str">
        <f>IF(Append1[[#This Row],[weathersit]]=0,"sunny",IF(Append1[[#This Row],[weathersit]]=1,"mist",IF(Append1[[#This Row],[weathersit]]=2,"lightrain","extremerain")))</f>
        <v>mist</v>
      </c>
    </row>
    <row r="646" spans="1:16" x14ac:dyDescent="0.25">
      <c r="A646" s="4">
        <v>644</v>
      </c>
      <c r="B646" s="4">
        <v>0.2273</v>
      </c>
      <c r="C646" s="4">
        <v>0.8</v>
      </c>
      <c r="D646" s="4">
        <v>0</v>
      </c>
      <c r="E646" s="4">
        <v>1</v>
      </c>
      <c r="F646" s="4">
        <v>10</v>
      </c>
      <c r="G646" s="4">
        <v>11</v>
      </c>
      <c r="H646" s="5">
        <v>40573</v>
      </c>
      <c r="I646" s="4">
        <v>1</v>
      </c>
      <c r="J646" s="4">
        <v>2</v>
      </c>
      <c r="K646" s="4" t="b">
        <f>IF(Append1[[#This Row],[days]]="working day",FALSE,TRUE)</f>
        <v>1</v>
      </c>
      <c r="L646" s="4">
        <v>0</v>
      </c>
      <c r="M646" s="4">
        <v>1</v>
      </c>
      <c r="N646" s="6">
        <v>0.16</v>
      </c>
      <c r="O646" s="2" t="str">
        <f>IF(Append1[[#This Row],[weekday]]=0,"holiday",IF(AND(Append1[[#This Row],[weekday]]&gt;1,Append1[[#This Row],[weekday]]&lt;7),"working day","weekend"))</f>
        <v>holiday</v>
      </c>
      <c r="P646" s="4" t="str">
        <f>IF(Append1[[#This Row],[weathersit]]=0,"sunny",IF(Append1[[#This Row],[weathersit]]=1,"mist",IF(Append1[[#This Row],[weathersit]]=2,"lightrain","extremerain")))</f>
        <v>mist</v>
      </c>
    </row>
    <row r="647" spans="1:16" x14ac:dyDescent="0.25">
      <c r="A647" s="4">
        <v>645</v>
      </c>
      <c r="B647" s="4">
        <v>0.21210000000000001</v>
      </c>
      <c r="C647" s="4">
        <v>0.93</v>
      </c>
      <c r="D647" s="4">
        <v>0</v>
      </c>
      <c r="E647" s="4">
        <v>1</v>
      </c>
      <c r="F647" s="4">
        <v>7</v>
      </c>
      <c r="G647" s="4">
        <v>8</v>
      </c>
      <c r="H647" s="5">
        <v>40573</v>
      </c>
      <c r="I647" s="4">
        <v>1</v>
      </c>
      <c r="J647" s="4">
        <v>3</v>
      </c>
      <c r="K647" s="4" t="b">
        <f>IF(Append1[[#This Row],[days]]="working day",FALSE,TRUE)</f>
        <v>1</v>
      </c>
      <c r="L647" s="4">
        <v>0</v>
      </c>
      <c r="M647" s="4">
        <v>1</v>
      </c>
      <c r="N647" s="6">
        <v>0.14000000000000001</v>
      </c>
      <c r="O647" s="2" t="str">
        <f>IF(Append1[[#This Row],[weekday]]=0,"holiday",IF(AND(Append1[[#This Row],[weekday]]&gt;1,Append1[[#This Row],[weekday]]&lt;7),"working day","weekend"))</f>
        <v>holiday</v>
      </c>
      <c r="P647" s="4" t="str">
        <f>IF(Append1[[#This Row],[weathersit]]=0,"sunny",IF(Append1[[#This Row],[weathersit]]=1,"mist",IF(Append1[[#This Row],[weathersit]]=2,"lightrain","extremerain")))</f>
        <v>mist</v>
      </c>
    </row>
    <row r="648" spans="1:16" x14ac:dyDescent="0.25">
      <c r="A648" s="4">
        <v>646</v>
      </c>
      <c r="B648" s="4">
        <v>0.21210000000000001</v>
      </c>
      <c r="C648" s="4">
        <v>0.93</v>
      </c>
      <c r="D648" s="4">
        <v>0</v>
      </c>
      <c r="E648" s="4">
        <v>0</v>
      </c>
      <c r="F648" s="4">
        <v>1</v>
      </c>
      <c r="G648" s="4">
        <v>1</v>
      </c>
      <c r="H648" s="5">
        <v>40573</v>
      </c>
      <c r="I648" s="4">
        <v>1</v>
      </c>
      <c r="J648" s="4">
        <v>4</v>
      </c>
      <c r="K648" s="4" t="b">
        <f>IF(Append1[[#This Row],[days]]="working day",FALSE,TRUE)</f>
        <v>1</v>
      </c>
      <c r="L648" s="4">
        <v>0</v>
      </c>
      <c r="M648" s="4">
        <v>1</v>
      </c>
      <c r="N648" s="6">
        <v>0.14000000000000001</v>
      </c>
      <c r="O648" s="2" t="str">
        <f>IF(Append1[[#This Row],[weekday]]=0,"holiday",IF(AND(Append1[[#This Row],[weekday]]&gt;1,Append1[[#This Row],[weekday]]&lt;7),"working day","weekend"))</f>
        <v>holiday</v>
      </c>
      <c r="P648" s="4" t="str">
        <f>IF(Append1[[#This Row],[weathersit]]=0,"sunny",IF(Append1[[#This Row],[weathersit]]=1,"mist",IF(Append1[[#This Row],[weathersit]]=2,"lightrain","extremerain")))</f>
        <v>mist</v>
      </c>
    </row>
    <row r="649" spans="1:16" x14ac:dyDescent="0.25">
      <c r="A649" s="4">
        <v>647</v>
      </c>
      <c r="B649" s="4">
        <v>0.21210000000000001</v>
      </c>
      <c r="C649" s="4">
        <v>0.86</v>
      </c>
      <c r="D649" s="4">
        <v>0</v>
      </c>
      <c r="E649" s="4">
        <v>0</v>
      </c>
      <c r="F649" s="4">
        <v>3</v>
      </c>
      <c r="G649" s="4">
        <v>3</v>
      </c>
      <c r="H649" s="5">
        <v>40573</v>
      </c>
      <c r="I649" s="4">
        <v>1</v>
      </c>
      <c r="J649" s="4">
        <v>5</v>
      </c>
      <c r="K649" s="4" t="b">
        <f>IF(Append1[[#This Row],[days]]="working day",FALSE,TRUE)</f>
        <v>1</v>
      </c>
      <c r="L649" s="4">
        <v>0</v>
      </c>
      <c r="M649" s="4">
        <v>1</v>
      </c>
      <c r="N649" s="6">
        <v>0.14000000000000001</v>
      </c>
      <c r="O649" s="2" t="str">
        <f>IF(Append1[[#This Row],[weekday]]=0,"holiday",IF(AND(Append1[[#This Row],[weekday]]&gt;1,Append1[[#This Row],[weekday]]&lt;7),"working day","weekend"))</f>
        <v>holiday</v>
      </c>
      <c r="P649" s="4" t="str">
        <f>IF(Append1[[#This Row],[weathersit]]=0,"sunny",IF(Append1[[#This Row],[weathersit]]=1,"mist",IF(Append1[[#This Row],[weathersit]]=2,"lightrain","extremerain")))</f>
        <v>mist</v>
      </c>
    </row>
    <row r="650" spans="1:16" x14ac:dyDescent="0.25">
      <c r="A650" s="4">
        <v>648</v>
      </c>
      <c r="B650" s="4">
        <v>0.21210000000000001</v>
      </c>
      <c r="C650" s="4">
        <v>0.86</v>
      </c>
      <c r="D650" s="4">
        <v>0</v>
      </c>
      <c r="E650" s="4">
        <v>0</v>
      </c>
      <c r="F650" s="4">
        <v>3</v>
      </c>
      <c r="G650" s="4">
        <v>3</v>
      </c>
      <c r="H650" s="5">
        <v>40573</v>
      </c>
      <c r="I650" s="4">
        <v>1</v>
      </c>
      <c r="J650" s="4">
        <v>7</v>
      </c>
      <c r="K650" s="4" t="b">
        <f>IF(Append1[[#This Row],[days]]="working day",FALSE,TRUE)</f>
        <v>1</v>
      </c>
      <c r="L650" s="4">
        <v>0</v>
      </c>
      <c r="M650" s="4">
        <v>1</v>
      </c>
      <c r="N650" s="6">
        <v>0.14000000000000001</v>
      </c>
      <c r="O650" s="2" t="str">
        <f>IF(Append1[[#This Row],[weekday]]=0,"holiday",IF(AND(Append1[[#This Row],[weekday]]&gt;1,Append1[[#This Row],[weekday]]&lt;7),"working day","weekend"))</f>
        <v>holiday</v>
      </c>
      <c r="P650" s="4" t="str">
        <f>IF(Append1[[#This Row],[weathersit]]=0,"sunny",IF(Append1[[#This Row],[weathersit]]=1,"mist",IF(Append1[[#This Row],[weathersit]]=2,"lightrain","extremerain")))</f>
        <v>mist</v>
      </c>
    </row>
    <row r="651" spans="1:16" x14ac:dyDescent="0.25">
      <c r="A651" s="4">
        <v>649</v>
      </c>
      <c r="B651" s="4">
        <v>0.21210000000000001</v>
      </c>
      <c r="C651" s="4">
        <v>0.86</v>
      </c>
      <c r="D651" s="4">
        <v>0</v>
      </c>
      <c r="E651" s="4">
        <v>1</v>
      </c>
      <c r="F651" s="4">
        <v>11</v>
      </c>
      <c r="G651" s="4">
        <v>12</v>
      </c>
      <c r="H651" s="5">
        <v>40573</v>
      </c>
      <c r="I651" s="4">
        <v>1</v>
      </c>
      <c r="J651" s="4">
        <v>8</v>
      </c>
      <c r="K651" s="4" t="b">
        <f>IF(Append1[[#This Row],[days]]="working day",FALSE,TRUE)</f>
        <v>1</v>
      </c>
      <c r="L651" s="4">
        <v>0</v>
      </c>
      <c r="M651" s="4">
        <v>2</v>
      </c>
      <c r="N651" s="6">
        <v>0.14000000000000001</v>
      </c>
      <c r="O651" s="2" t="str">
        <f>IF(Append1[[#This Row],[weekday]]=0,"holiday",IF(AND(Append1[[#This Row],[weekday]]&gt;1,Append1[[#This Row],[weekday]]&lt;7),"working day","weekend"))</f>
        <v>holiday</v>
      </c>
      <c r="P651" s="4" t="str">
        <f>IF(Append1[[#This Row],[weathersit]]=0,"sunny",IF(Append1[[#This Row],[weathersit]]=1,"mist",IF(Append1[[#This Row],[weathersit]]=2,"lightrain","extremerain")))</f>
        <v>lightrain</v>
      </c>
    </row>
    <row r="652" spans="1:16" x14ac:dyDescent="0.25">
      <c r="A652" s="4">
        <v>650</v>
      </c>
      <c r="B652" s="4">
        <v>0.2273</v>
      </c>
      <c r="C652" s="4">
        <v>0.8</v>
      </c>
      <c r="D652" s="4">
        <v>0</v>
      </c>
      <c r="E652" s="4">
        <v>4</v>
      </c>
      <c r="F652" s="4">
        <v>34</v>
      </c>
      <c r="G652" s="4">
        <v>38</v>
      </c>
      <c r="H652" s="5">
        <v>40573</v>
      </c>
      <c r="I652" s="4">
        <v>1</v>
      </c>
      <c r="J652" s="4">
        <v>9</v>
      </c>
      <c r="K652" s="4" t="b">
        <f>IF(Append1[[#This Row],[days]]="working day",FALSE,TRUE)</f>
        <v>1</v>
      </c>
      <c r="L652" s="4">
        <v>0</v>
      </c>
      <c r="M652" s="4">
        <v>2</v>
      </c>
      <c r="N652" s="6">
        <v>0.16</v>
      </c>
      <c r="O652" s="2" t="str">
        <f>IF(Append1[[#This Row],[weekday]]=0,"holiday",IF(AND(Append1[[#This Row],[weekday]]&gt;1,Append1[[#This Row],[weekday]]&lt;7),"working day","weekend"))</f>
        <v>holiday</v>
      </c>
      <c r="P652" s="4" t="str">
        <f>IF(Append1[[#This Row],[weathersit]]=0,"sunny",IF(Append1[[#This Row],[weathersit]]=1,"mist",IF(Append1[[#This Row],[weathersit]]=2,"lightrain","extremerain")))</f>
        <v>lightrain</v>
      </c>
    </row>
    <row r="653" spans="1:16" x14ac:dyDescent="0.25">
      <c r="A653" s="4">
        <v>651</v>
      </c>
      <c r="B653" s="4">
        <v>0.2424</v>
      </c>
      <c r="C653" s="4">
        <v>0.8</v>
      </c>
      <c r="D653" s="4">
        <v>0</v>
      </c>
      <c r="E653" s="4">
        <v>7</v>
      </c>
      <c r="F653" s="4">
        <v>57</v>
      </c>
      <c r="G653" s="4">
        <v>64</v>
      </c>
      <c r="H653" s="5">
        <v>40573</v>
      </c>
      <c r="I653" s="4">
        <v>1</v>
      </c>
      <c r="J653" s="4">
        <v>10</v>
      </c>
      <c r="K653" s="4" t="b">
        <f>IF(Append1[[#This Row],[days]]="working day",FALSE,TRUE)</f>
        <v>1</v>
      </c>
      <c r="L653" s="4">
        <v>0</v>
      </c>
      <c r="M653" s="4">
        <v>2</v>
      </c>
      <c r="N653" s="6">
        <v>0.18</v>
      </c>
      <c r="O653" s="2" t="str">
        <f>IF(Append1[[#This Row],[weekday]]=0,"holiday",IF(AND(Append1[[#This Row],[weekday]]&gt;1,Append1[[#This Row],[weekday]]&lt;7),"working day","weekend"))</f>
        <v>holiday</v>
      </c>
      <c r="P653" s="4" t="str">
        <f>IF(Append1[[#This Row],[weathersit]]=0,"sunny",IF(Append1[[#This Row],[weathersit]]=1,"mist",IF(Append1[[#This Row],[weathersit]]=2,"lightrain","extremerain")))</f>
        <v>lightrain</v>
      </c>
    </row>
    <row r="654" spans="1:16" x14ac:dyDescent="0.25">
      <c r="A654" s="4">
        <v>652</v>
      </c>
      <c r="B654" s="4">
        <v>0.2727</v>
      </c>
      <c r="C654" s="4">
        <v>0.75</v>
      </c>
      <c r="D654" s="4">
        <v>0</v>
      </c>
      <c r="E654" s="4">
        <v>9</v>
      </c>
      <c r="F654" s="4">
        <v>50</v>
      </c>
      <c r="G654" s="4">
        <v>59</v>
      </c>
      <c r="H654" s="5">
        <v>40573</v>
      </c>
      <c r="I654" s="4">
        <v>1</v>
      </c>
      <c r="J654" s="4">
        <v>11</v>
      </c>
      <c r="K654" s="4" t="b">
        <f>IF(Append1[[#This Row],[days]]="working day",FALSE,TRUE)</f>
        <v>1</v>
      </c>
      <c r="L654" s="4">
        <v>0</v>
      </c>
      <c r="M654" s="4">
        <v>1</v>
      </c>
      <c r="N654" s="6">
        <v>0.22</v>
      </c>
      <c r="O654" s="2" t="str">
        <f>IF(Append1[[#This Row],[weekday]]=0,"holiday",IF(AND(Append1[[#This Row],[weekday]]&gt;1,Append1[[#This Row],[weekday]]&lt;7),"working day","weekend"))</f>
        <v>holiday</v>
      </c>
      <c r="P654" s="4" t="str">
        <f>IF(Append1[[#This Row],[weathersit]]=0,"sunny",IF(Append1[[#This Row],[weathersit]]=1,"mist",IF(Append1[[#This Row],[weathersit]]=2,"lightrain","extremerain")))</f>
        <v>mist</v>
      </c>
    </row>
    <row r="655" spans="1:16" x14ac:dyDescent="0.25">
      <c r="A655" s="4">
        <v>653</v>
      </c>
      <c r="B655" s="4">
        <v>0.31819999999999998</v>
      </c>
      <c r="C655" s="4">
        <v>0.52</v>
      </c>
      <c r="D655" s="4">
        <v>0.1045</v>
      </c>
      <c r="E655" s="4">
        <v>10</v>
      </c>
      <c r="F655" s="4">
        <v>87</v>
      </c>
      <c r="G655" s="4">
        <v>97</v>
      </c>
      <c r="H655" s="5">
        <v>40573</v>
      </c>
      <c r="I655" s="4">
        <v>1</v>
      </c>
      <c r="J655" s="4">
        <v>12</v>
      </c>
      <c r="K655" s="4" t="b">
        <f>IF(Append1[[#This Row],[days]]="working day",FALSE,TRUE)</f>
        <v>1</v>
      </c>
      <c r="L655" s="4">
        <v>0</v>
      </c>
      <c r="M655" s="4">
        <v>1</v>
      </c>
      <c r="N655" s="6">
        <v>0.3</v>
      </c>
      <c r="O655" s="2" t="str">
        <f>IF(Append1[[#This Row],[weekday]]=0,"holiday",IF(AND(Append1[[#This Row],[weekday]]&gt;1,Append1[[#This Row],[weekday]]&lt;7),"working day","weekend"))</f>
        <v>holiday</v>
      </c>
      <c r="P655" s="4" t="str">
        <f>IF(Append1[[#This Row],[weathersit]]=0,"sunny",IF(Append1[[#This Row],[weathersit]]=1,"mist",IF(Append1[[#This Row],[weathersit]]=2,"lightrain","extremerain")))</f>
        <v>mist</v>
      </c>
    </row>
    <row r="656" spans="1:16" x14ac:dyDescent="0.25">
      <c r="A656" s="4">
        <v>654</v>
      </c>
      <c r="B656" s="4">
        <v>0.28789999999999999</v>
      </c>
      <c r="C656" s="4">
        <v>0.61</v>
      </c>
      <c r="D656" s="4">
        <v>0.1045</v>
      </c>
      <c r="E656" s="4">
        <v>13</v>
      </c>
      <c r="F656" s="4">
        <v>71</v>
      </c>
      <c r="G656" s="4">
        <v>84</v>
      </c>
      <c r="H656" s="5">
        <v>40573</v>
      </c>
      <c r="I656" s="4">
        <v>1</v>
      </c>
      <c r="J656" s="4">
        <v>13</v>
      </c>
      <c r="K656" s="4" t="b">
        <f>IF(Append1[[#This Row],[days]]="working day",FALSE,TRUE)</f>
        <v>1</v>
      </c>
      <c r="L656" s="4">
        <v>0</v>
      </c>
      <c r="M656" s="4">
        <v>1</v>
      </c>
      <c r="N656" s="6">
        <v>0.28000000000000003</v>
      </c>
      <c r="O656" s="2" t="str">
        <f>IF(Append1[[#This Row],[weekday]]=0,"holiday",IF(AND(Append1[[#This Row],[weekday]]&gt;1,Append1[[#This Row],[weekday]]&lt;7),"working day","weekend"))</f>
        <v>holiday</v>
      </c>
      <c r="P656" s="4" t="str">
        <f>IF(Append1[[#This Row],[weathersit]]=0,"sunny",IF(Append1[[#This Row],[weathersit]]=1,"mist",IF(Append1[[#This Row],[weathersit]]=2,"lightrain","extremerain")))</f>
        <v>mist</v>
      </c>
    </row>
    <row r="657" spans="1:16" x14ac:dyDescent="0.25">
      <c r="A657" s="4">
        <v>655</v>
      </c>
      <c r="B657" s="4">
        <v>0.30299999999999999</v>
      </c>
      <c r="C657" s="4">
        <v>0.61</v>
      </c>
      <c r="D657" s="4">
        <v>8.9599999999999999E-2</v>
      </c>
      <c r="E657" s="4">
        <v>18</v>
      </c>
      <c r="F657" s="4">
        <v>104</v>
      </c>
      <c r="G657" s="4">
        <v>122</v>
      </c>
      <c r="H657" s="5">
        <v>40573</v>
      </c>
      <c r="I657" s="4">
        <v>1</v>
      </c>
      <c r="J657" s="4">
        <v>14</v>
      </c>
      <c r="K657" s="4" t="b">
        <f>IF(Append1[[#This Row],[days]]="working day",FALSE,TRUE)</f>
        <v>1</v>
      </c>
      <c r="L657" s="4">
        <v>0</v>
      </c>
      <c r="M657" s="4">
        <v>1</v>
      </c>
      <c r="N657" s="6">
        <v>0.28000000000000003</v>
      </c>
      <c r="O657" s="2" t="str">
        <f>IF(Append1[[#This Row],[weekday]]=0,"holiday",IF(AND(Append1[[#This Row],[weekday]]&gt;1,Append1[[#This Row],[weekday]]&lt;7),"working day","weekend"))</f>
        <v>holiday</v>
      </c>
      <c r="P657" s="4" t="str">
        <f>IF(Append1[[#This Row],[weathersit]]=0,"sunny",IF(Append1[[#This Row],[weathersit]]=1,"mist",IF(Append1[[#This Row],[weathersit]]=2,"lightrain","extremerain")))</f>
        <v>mist</v>
      </c>
    </row>
    <row r="658" spans="1:16" x14ac:dyDescent="0.25">
      <c r="A658" s="4">
        <v>656</v>
      </c>
      <c r="B658" s="4">
        <v>0.33329999999999999</v>
      </c>
      <c r="C658" s="4">
        <v>0.56000000000000005</v>
      </c>
      <c r="D658" s="4">
        <v>0</v>
      </c>
      <c r="E658" s="4">
        <v>14</v>
      </c>
      <c r="F658" s="4">
        <v>95</v>
      </c>
      <c r="G658" s="4">
        <v>109</v>
      </c>
      <c r="H658" s="5">
        <v>40573</v>
      </c>
      <c r="I658" s="4">
        <v>1</v>
      </c>
      <c r="J658" s="4">
        <v>15</v>
      </c>
      <c r="K658" s="4" t="b">
        <f>IF(Append1[[#This Row],[days]]="working day",FALSE,TRUE)</f>
        <v>1</v>
      </c>
      <c r="L658" s="4">
        <v>0</v>
      </c>
      <c r="M658" s="4">
        <v>1</v>
      </c>
      <c r="N658" s="6">
        <v>0.3</v>
      </c>
      <c r="O658" s="2" t="str">
        <f>IF(Append1[[#This Row],[weekday]]=0,"holiday",IF(AND(Append1[[#This Row],[weekday]]&gt;1,Append1[[#This Row],[weekday]]&lt;7),"working day","weekend"))</f>
        <v>holiday</v>
      </c>
      <c r="P658" s="4" t="str">
        <f>IF(Append1[[#This Row],[weathersit]]=0,"sunny",IF(Append1[[#This Row],[weathersit]]=1,"mist",IF(Append1[[#This Row],[weathersit]]=2,"lightrain","extremerain")))</f>
        <v>mist</v>
      </c>
    </row>
    <row r="659" spans="1:16" x14ac:dyDescent="0.25">
      <c r="A659" s="4">
        <v>657</v>
      </c>
      <c r="B659" s="4">
        <v>0.33329999999999999</v>
      </c>
      <c r="C659" s="4">
        <v>0.56000000000000005</v>
      </c>
      <c r="D659" s="4">
        <v>0</v>
      </c>
      <c r="E659" s="4">
        <v>19</v>
      </c>
      <c r="F659" s="4">
        <v>104</v>
      </c>
      <c r="G659" s="4">
        <v>123</v>
      </c>
      <c r="H659" s="5">
        <v>40573</v>
      </c>
      <c r="I659" s="4">
        <v>1</v>
      </c>
      <c r="J659" s="4">
        <v>16</v>
      </c>
      <c r="K659" s="4" t="b">
        <f>IF(Append1[[#This Row],[days]]="working day",FALSE,TRUE)</f>
        <v>1</v>
      </c>
      <c r="L659" s="4">
        <v>0</v>
      </c>
      <c r="M659" s="4">
        <v>1</v>
      </c>
      <c r="N659" s="6">
        <v>0.3</v>
      </c>
      <c r="O659" s="2" t="str">
        <f>IF(Append1[[#This Row],[weekday]]=0,"holiday",IF(AND(Append1[[#This Row],[weekday]]&gt;1,Append1[[#This Row],[weekday]]&lt;7),"working day","weekend"))</f>
        <v>holiday</v>
      </c>
      <c r="P659" s="4" t="str">
        <f>IF(Append1[[#This Row],[weathersit]]=0,"sunny",IF(Append1[[#This Row],[weathersit]]=1,"mist",IF(Append1[[#This Row],[weathersit]]=2,"lightrain","extremerain")))</f>
        <v>mist</v>
      </c>
    </row>
    <row r="660" spans="1:16" x14ac:dyDescent="0.25">
      <c r="A660" s="4">
        <v>658</v>
      </c>
      <c r="B660" s="4">
        <v>0.28789999999999999</v>
      </c>
      <c r="C660" s="4">
        <v>0.56000000000000005</v>
      </c>
      <c r="D660" s="4">
        <v>0.19400000000000001</v>
      </c>
      <c r="E660" s="4">
        <v>6</v>
      </c>
      <c r="F660" s="4">
        <v>71</v>
      </c>
      <c r="G660" s="4">
        <v>77</v>
      </c>
      <c r="H660" s="5">
        <v>40573</v>
      </c>
      <c r="I660" s="4">
        <v>1</v>
      </c>
      <c r="J660" s="4">
        <v>17</v>
      </c>
      <c r="K660" s="4" t="b">
        <f>IF(Append1[[#This Row],[days]]="working day",FALSE,TRUE)</f>
        <v>1</v>
      </c>
      <c r="L660" s="4">
        <v>0</v>
      </c>
      <c r="M660" s="4">
        <v>1</v>
      </c>
      <c r="N660" s="6">
        <v>0.3</v>
      </c>
      <c r="O660" s="2" t="str">
        <f>IF(Append1[[#This Row],[weekday]]=0,"holiday",IF(AND(Append1[[#This Row],[weekday]]&gt;1,Append1[[#This Row],[weekday]]&lt;7),"working day","weekend"))</f>
        <v>holiday</v>
      </c>
      <c r="P660" s="4" t="str">
        <f>IF(Append1[[#This Row],[weathersit]]=0,"sunny",IF(Append1[[#This Row],[weathersit]]=1,"mist",IF(Append1[[#This Row],[weathersit]]=2,"lightrain","extremerain")))</f>
        <v>mist</v>
      </c>
    </row>
    <row r="661" spans="1:16" x14ac:dyDescent="0.25">
      <c r="A661" s="4">
        <v>659</v>
      </c>
      <c r="B661" s="4">
        <v>0.2576</v>
      </c>
      <c r="C661" s="4">
        <v>0.65</v>
      </c>
      <c r="D661" s="4">
        <v>0.16420000000000001</v>
      </c>
      <c r="E661" s="4">
        <v>8</v>
      </c>
      <c r="F661" s="4">
        <v>57</v>
      </c>
      <c r="G661" s="4">
        <v>65</v>
      </c>
      <c r="H661" s="5">
        <v>40573</v>
      </c>
      <c r="I661" s="4">
        <v>1</v>
      </c>
      <c r="J661" s="4">
        <v>18</v>
      </c>
      <c r="K661" s="4" t="b">
        <f>IF(Append1[[#This Row],[days]]="working day",FALSE,TRUE)</f>
        <v>1</v>
      </c>
      <c r="L661" s="4">
        <v>0</v>
      </c>
      <c r="M661" s="4">
        <v>1</v>
      </c>
      <c r="N661" s="6">
        <v>0.26</v>
      </c>
      <c r="O661" s="2" t="str">
        <f>IF(Append1[[#This Row],[weekday]]=0,"holiday",IF(AND(Append1[[#This Row],[weekday]]&gt;1,Append1[[#This Row],[weekday]]&lt;7),"working day","weekend"))</f>
        <v>holiday</v>
      </c>
      <c r="P661" s="4" t="str">
        <f>IF(Append1[[#This Row],[weathersit]]=0,"sunny",IF(Append1[[#This Row],[weathersit]]=1,"mist",IF(Append1[[#This Row],[weathersit]]=2,"lightrain","extremerain")))</f>
        <v>mist</v>
      </c>
    </row>
    <row r="662" spans="1:16" x14ac:dyDescent="0.25">
      <c r="A662" s="4">
        <v>660</v>
      </c>
      <c r="B662" s="4">
        <v>0.2576</v>
      </c>
      <c r="C662" s="4">
        <v>0.65</v>
      </c>
      <c r="D662" s="4">
        <v>0.19400000000000001</v>
      </c>
      <c r="E662" s="4">
        <v>9</v>
      </c>
      <c r="F662" s="4">
        <v>46</v>
      </c>
      <c r="G662" s="4">
        <v>55</v>
      </c>
      <c r="H662" s="5">
        <v>40573</v>
      </c>
      <c r="I662" s="4">
        <v>1</v>
      </c>
      <c r="J662" s="4">
        <v>19</v>
      </c>
      <c r="K662" s="4" t="b">
        <f>IF(Append1[[#This Row],[days]]="working day",FALSE,TRUE)</f>
        <v>1</v>
      </c>
      <c r="L662" s="4">
        <v>0</v>
      </c>
      <c r="M662" s="4">
        <v>1</v>
      </c>
      <c r="N662" s="6">
        <v>0.26</v>
      </c>
      <c r="O662" s="2" t="str">
        <f>IF(Append1[[#This Row],[weekday]]=0,"holiday",IF(AND(Append1[[#This Row],[weekday]]&gt;1,Append1[[#This Row],[weekday]]&lt;7),"working day","weekend"))</f>
        <v>holiday</v>
      </c>
      <c r="P662" s="4" t="str">
        <f>IF(Append1[[#This Row],[weathersit]]=0,"sunny",IF(Append1[[#This Row],[weathersit]]=1,"mist",IF(Append1[[#This Row],[weathersit]]=2,"lightrain","extremerain")))</f>
        <v>mist</v>
      </c>
    </row>
    <row r="663" spans="1:16" x14ac:dyDescent="0.25">
      <c r="A663" s="4">
        <v>661</v>
      </c>
      <c r="B663" s="4">
        <v>0.2727</v>
      </c>
      <c r="C663" s="4">
        <v>0.65</v>
      </c>
      <c r="D663" s="4">
        <v>0.1045</v>
      </c>
      <c r="E663" s="4">
        <v>3</v>
      </c>
      <c r="F663" s="4">
        <v>30</v>
      </c>
      <c r="G663" s="4">
        <v>33</v>
      </c>
      <c r="H663" s="5">
        <v>40573</v>
      </c>
      <c r="I663" s="4">
        <v>1</v>
      </c>
      <c r="J663" s="4">
        <v>20</v>
      </c>
      <c r="K663" s="4" t="b">
        <f>IF(Append1[[#This Row],[days]]="working day",FALSE,TRUE)</f>
        <v>1</v>
      </c>
      <c r="L663" s="4">
        <v>0</v>
      </c>
      <c r="M663" s="4">
        <v>2</v>
      </c>
      <c r="N663" s="6">
        <v>0.26</v>
      </c>
      <c r="O663" s="2" t="str">
        <f>IF(Append1[[#This Row],[weekday]]=0,"holiday",IF(AND(Append1[[#This Row],[weekday]]&gt;1,Append1[[#This Row],[weekday]]&lt;7),"working day","weekend"))</f>
        <v>holiday</v>
      </c>
      <c r="P663" s="4" t="str">
        <f>IF(Append1[[#This Row],[weathersit]]=0,"sunny",IF(Append1[[#This Row],[weathersit]]=1,"mist",IF(Append1[[#This Row],[weathersit]]=2,"lightrain","extremerain")))</f>
        <v>lightrain</v>
      </c>
    </row>
    <row r="664" spans="1:16" x14ac:dyDescent="0.25">
      <c r="A664" s="4">
        <v>662</v>
      </c>
      <c r="B664" s="4">
        <v>0.2424</v>
      </c>
      <c r="C664" s="4">
        <v>0.7</v>
      </c>
      <c r="D664" s="4">
        <v>0.16420000000000001</v>
      </c>
      <c r="E664" s="4">
        <v>3</v>
      </c>
      <c r="F664" s="4">
        <v>25</v>
      </c>
      <c r="G664" s="4">
        <v>28</v>
      </c>
      <c r="H664" s="5">
        <v>40573</v>
      </c>
      <c r="I664" s="4">
        <v>1</v>
      </c>
      <c r="J664" s="4">
        <v>21</v>
      </c>
      <c r="K664" s="4" t="b">
        <f>IF(Append1[[#This Row],[days]]="working day",FALSE,TRUE)</f>
        <v>1</v>
      </c>
      <c r="L664" s="4">
        <v>0</v>
      </c>
      <c r="M664" s="4">
        <v>2</v>
      </c>
      <c r="N664" s="6">
        <v>0.24</v>
      </c>
      <c r="O664" s="2" t="str">
        <f>IF(Append1[[#This Row],[weekday]]=0,"holiday",IF(AND(Append1[[#This Row],[weekday]]&gt;1,Append1[[#This Row],[weekday]]&lt;7),"working day","weekend"))</f>
        <v>holiday</v>
      </c>
      <c r="P664" s="4" t="str">
        <f>IF(Append1[[#This Row],[weathersit]]=0,"sunny",IF(Append1[[#This Row],[weathersit]]=1,"mist",IF(Append1[[#This Row],[weathersit]]=2,"lightrain","extremerain")))</f>
        <v>lightrain</v>
      </c>
    </row>
    <row r="665" spans="1:16" x14ac:dyDescent="0.25">
      <c r="A665" s="4">
        <v>663</v>
      </c>
      <c r="B665" s="4">
        <v>0.2273</v>
      </c>
      <c r="C665" s="4">
        <v>0.7</v>
      </c>
      <c r="D665" s="4">
        <v>0.19400000000000001</v>
      </c>
      <c r="E665" s="4">
        <v>2</v>
      </c>
      <c r="F665" s="4">
        <v>19</v>
      </c>
      <c r="G665" s="4">
        <v>21</v>
      </c>
      <c r="H665" s="5">
        <v>40573</v>
      </c>
      <c r="I665" s="4">
        <v>1</v>
      </c>
      <c r="J665" s="4">
        <v>22</v>
      </c>
      <c r="K665" s="4" t="b">
        <f>IF(Append1[[#This Row],[days]]="working day",FALSE,TRUE)</f>
        <v>1</v>
      </c>
      <c r="L665" s="4">
        <v>0</v>
      </c>
      <c r="M665" s="4">
        <v>2</v>
      </c>
      <c r="N665" s="6">
        <v>0.24</v>
      </c>
      <c r="O665" s="2" t="str">
        <f>IF(Append1[[#This Row],[weekday]]=0,"holiday",IF(AND(Append1[[#This Row],[weekday]]&gt;1,Append1[[#This Row],[weekday]]&lt;7),"working day","weekend"))</f>
        <v>holiday</v>
      </c>
      <c r="P665" s="4" t="str">
        <f>IF(Append1[[#This Row],[weathersit]]=0,"sunny",IF(Append1[[#This Row],[weathersit]]=1,"mist",IF(Append1[[#This Row],[weathersit]]=2,"lightrain","extremerain")))</f>
        <v>lightrain</v>
      </c>
    </row>
    <row r="666" spans="1:16" x14ac:dyDescent="0.25">
      <c r="A666" s="4">
        <v>664</v>
      </c>
      <c r="B666" s="4">
        <v>0.21210000000000001</v>
      </c>
      <c r="C666" s="4">
        <v>0.65</v>
      </c>
      <c r="D666" s="4">
        <v>0.28360000000000002</v>
      </c>
      <c r="E666" s="4">
        <v>5</v>
      </c>
      <c r="F666" s="4">
        <v>16</v>
      </c>
      <c r="G666" s="4">
        <v>21</v>
      </c>
      <c r="H666" s="5">
        <v>40573</v>
      </c>
      <c r="I666" s="4">
        <v>1</v>
      </c>
      <c r="J666" s="4">
        <v>23</v>
      </c>
      <c r="K666" s="4" t="b">
        <f>IF(Append1[[#This Row],[days]]="working day",FALSE,TRUE)</f>
        <v>1</v>
      </c>
      <c r="L666" s="4">
        <v>0</v>
      </c>
      <c r="M666" s="4">
        <v>2</v>
      </c>
      <c r="N666" s="6">
        <v>0.24</v>
      </c>
      <c r="O666" s="2" t="str">
        <f>IF(Append1[[#This Row],[weekday]]=0,"holiday",IF(AND(Append1[[#This Row],[weekday]]&gt;1,Append1[[#This Row],[weekday]]&lt;7),"working day","weekend"))</f>
        <v>holiday</v>
      </c>
      <c r="P666" s="4" t="str">
        <f>IF(Append1[[#This Row],[weathersit]]=0,"sunny",IF(Append1[[#This Row],[weathersit]]=1,"mist",IF(Append1[[#This Row],[weathersit]]=2,"lightrain","extremerain")))</f>
        <v>lightrain</v>
      </c>
    </row>
    <row r="667" spans="1:16" x14ac:dyDescent="0.25">
      <c r="A667" s="4">
        <v>665</v>
      </c>
      <c r="B667" s="4">
        <v>0.2273</v>
      </c>
      <c r="C667" s="4">
        <v>0.65</v>
      </c>
      <c r="D667" s="4">
        <v>0.22389999999999999</v>
      </c>
      <c r="E667" s="4">
        <v>1</v>
      </c>
      <c r="F667" s="4">
        <v>6</v>
      </c>
      <c r="G667" s="4">
        <v>7</v>
      </c>
      <c r="H667" s="5">
        <v>40574</v>
      </c>
      <c r="I667" s="4">
        <v>1</v>
      </c>
      <c r="J667" s="4">
        <v>0</v>
      </c>
      <c r="K667" s="4" t="b">
        <f>IF(Append1[[#This Row],[days]]="working day",FALSE,TRUE)</f>
        <v>1</v>
      </c>
      <c r="L667" s="4">
        <v>1</v>
      </c>
      <c r="M667" s="4">
        <v>2</v>
      </c>
      <c r="N667" s="6">
        <v>0.24</v>
      </c>
      <c r="O667" s="2" t="str">
        <f>IF(Append1[[#This Row],[weekday]]=0,"holiday",IF(AND(Append1[[#This Row],[weekday]]&gt;1,Append1[[#This Row],[weekday]]&lt;7),"working day","weekend"))</f>
        <v>weekend</v>
      </c>
      <c r="P667" s="4" t="str">
        <f>IF(Append1[[#This Row],[weathersit]]=0,"sunny",IF(Append1[[#This Row],[weathersit]]=1,"mist",IF(Append1[[#This Row],[weathersit]]=2,"lightrain","extremerain")))</f>
        <v>lightrain</v>
      </c>
    </row>
    <row r="668" spans="1:16" x14ac:dyDescent="0.25">
      <c r="A668" s="4">
        <v>666</v>
      </c>
      <c r="B668" s="4">
        <v>0.21210000000000001</v>
      </c>
      <c r="C668" s="4">
        <v>0.64</v>
      </c>
      <c r="D668" s="4">
        <v>0.25369999999999998</v>
      </c>
      <c r="E668" s="4">
        <v>2</v>
      </c>
      <c r="F668" s="4">
        <v>5</v>
      </c>
      <c r="G668" s="4">
        <v>7</v>
      </c>
      <c r="H668" s="5">
        <v>40574</v>
      </c>
      <c r="I668" s="4">
        <v>1</v>
      </c>
      <c r="J668" s="4">
        <v>1</v>
      </c>
      <c r="K668" s="4" t="b">
        <f>IF(Append1[[#This Row],[days]]="working day",FALSE,TRUE)</f>
        <v>1</v>
      </c>
      <c r="L668" s="4">
        <v>1</v>
      </c>
      <c r="M668" s="4">
        <v>1</v>
      </c>
      <c r="N668" s="6">
        <v>0.22</v>
      </c>
      <c r="O668" s="2" t="str">
        <f>IF(Append1[[#This Row],[weekday]]=0,"holiday",IF(AND(Append1[[#This Row],[weekday]]&gt;1,Append1[[#This Row],[weekday]]&lt;7),"working day","weekend"))</f>
        <v>weekend</v>
      </c>
      <c r="P668" s="4" t="str">
        <f>IF(Append1[[#This Row],[weathersit]]=0,"sunny",IF(Append1[[#This Row],[weathersit]]=1,"mist",IF(Append1[[#This Row],[weathersit]]=2,"lightrain","extremerain")))</f>
        <v>mist</v>
      </c>
    </row>
    <row r="669" spans="1:16" x14ac:dyDescent="0.25">
      <c r="A669" s="4">
        <v>667</v>
      </c>
      <c r="B669" s="4">
        <v>0.2273</v>
      </c>
      <c r="C669" s="4">
        <v>0.64</v>
      </c>
      <c r="D669" s="4">
        <v>0.19400000000000001</v>
      </c>
      <c r="E669" s="4">
        <v>0</v>
      </c>
      <c r="F669" s="4">
        <v>1</v>
      </c>
      <c r="G669" s="4">
        <v>1</v>
      </c>
      <c r="H669" s="5">
        <v>40574</v>
      </c>
      <c r="I669" s="4">
        <v>1</v>
      </c>
      <c r="J669" s="4">
        <v>2</v>
      </c>
      <c r="K669" s="4" t="b">
        <f>IF(Append1[[#This Row],[days]]="working day",FALSE,TRUE)</f>
        <v>1</v>
      </c>
      <c r="L669" s="4">
        <v>1</v>
      </c>
      <c r="M669" s="4">
        <v>1</v>
      </c>
      <c r="N669" s="6">
        <v>0.22</v>
      </c>
      <c r="O669" s="2" t="str">
        <f>IF(Append1[[#This Row],[weekday]]=0,"holiday",IF(AND(Append1[[#This Row],[weekday]]&gt;1,Append1[[#This Row],[weekday]]&lt;7),"working day","weekend"))</f>
        <v>weekend</v>
      </c>
      <c r="P669" s="4" t="str">
        <f>IF(Append1[[#This Row],[weathersit]]=0,"sunny",IF(Append1[[#This Row],[weathersit]]=1,"mist",IF(Append1[[#This Row],[weathersit]]=2,"lightrain","extremerain")))</f>
        <v>mist</v>
      </c>
    </row>
    <row r="670" spans="1:16" x14ac:dyDescent="0.25">
      <c r="A670" s="4">
        <v>668</v>
      </c>
      <c r="B670" s="4">
        <v>0.2273</v>
      </c>
      <c r="C670" s="4">
        <v>0.64</v>
      </c>
      <c r="D670" s="4">
        <v>0.19400000000000001</v>
      </c>
      <c r="E670" s="4">
        <v>0</v>
      </c>
      <c r="F670" s="4">
        <v>2</v>
      </c>
      <c r="G670" s="4">
        <v>2</v>
      </c>
      <c r="H670" s="5">
        <v>40574</v>
      </c>
      <c r="I670" s="4">
        <v>1</v>
      </c>
      <c r="J670" s="4">
        <v>3</v>
      </c>
      <c r="K670" s="4" t="b">
        <f>IF(Append1[[#This Row],[days]]="working day",FALSE,TRUE)</f>
        <v>1</v>
      </c>
      <c r="L670" s="4">
        <v>1</v>
      </c>
      <c r="M670" s="4">
        <v>1</v>
      </c>
      <c r="N670" s="6">
        <v>0.22</v>
      </c>
      <c r="O670" s="2" t="str">
        <f>IF(Append1[[#This Row],[weekday]]=0,"holiday",IF(AND(Append1[[#This Row],[weekday]]&gt;1,Append1[[#This Row],[weekday]]&lt;7),"working day","weekend"))</f>
        <v>weekend</v>
      </c>
      <c r="P670" s="4" t="str">
        <f>IF(Append1[[#This Row],[weathersit]]=0,"sunny",IF(Append1[[#This Row],[weathersit]]=1,"mist",IF(Append1[[#This Row],[weathersit]]=2,"lightrain","extremerain")))</f>
        <v>mist</v>
      </c>
    </row>
    <row r="671" spans="1:16" x14ac:dyDescent="0.25">
      <c r="A671" s="4">
        <v>669</v>
      </c>
      <c r="B671" s="4">
        <v>0.19700000000000001</v>
      </c>
      <c r="C671" s="4">
        <v>0.59</v>
      </c>
      <c r="D671" s="4">
        <v>0.22389999999999999</v>
      </c>
      <c r="E671" s="4">
        <v>0</v>
      </c>
      <c r="F671" s="4">
        <v>2</v>
      </c>
      <c r="G671" s="4">
        <v>2</v>
      </c>
      <c r="H671" s="5">
        <v>40574</v>
      </c>
      <c r="I671" s="4">
        <v>1</v>
      </c>
      <c r="J671" s="4">
        <v>4</v>
      </c>
      <c r="K671" s="4" t="b">
        <f>IF(Append1[[#This Row],[days]]="working day",FALSE,TRUE)</f>
        <v>1</v>
      </c>
      <c r="L671" s="4">
        <v>1</v>
      </c>
      <c r="M671" s="4">
        <v>1</v>
      </c>
      <c r="N671" s="6">
        <v>0.2</v>
      </c>
      <c r="O671" s="2" t="str">
        <f>IF(Append1[[#This Row],[weekday]]=0,"holiday",IF(AND(Append1[[#This Row],[weekday]]&gt;1,Append1[[#This Row],[weekday]]&lt;7),"working day","weekend"))</f>
        <v>weekend</v>
      </c>
      <c r="P671" s="4" t="str">
        <f>IF(Append1[[#This Row],[weathersit]]=0,"sunny",IF(Append1[[#This Row],[weathersit]]=1,"mist",IF(Append1[[#This Row],[weathersit]]=2,"lightrain","extremerain")))</f>
        <v>mist</v>
      </c>
    </row>
    <row r="672" spans="1:16" x14ac:dyDescent="0.25">
      <c r="A672" s="4">
        <v>670</v>
      </c>
      <c r="B672" s="4">
        <v>0.16669999999999999</v>
      </c>
      <c r="C672" s="4">
        <v>0.64</v>
      </c>
      <c r="D672" s="4">
        <v>0.28360000000000002</v>
      </c>
      <c r="E672" s="4">
        <v>0</v>
      </c>
      <c r="F672" s="4">
        <v>8</v>
      </c>
      <c r="G672" s="4">
        <v>8</v>
      </c>
      <c r="H672" s="5">
        <v>40574</v>
      </c>
      <c r="I672" s="4">
        <v>1</v>
      </c>
      <c r="J672" s="4">
        <v>5</v>
      </c>
      <c r="K672" s="4" t="b">
        <f>IF(Append1[[#This Row],[days]]="working day",FALSE,TRUE)</f>
        <v>1</v>
      </c>
      <c r="L672" s="4">
        <v>1</v>
      </c>
      <c r="M672" s="4">
        <v>1</v>
      </c>
      <c r="N672" s="6">
        <v>0.18</v>
      </c>
      <c r="O672" s="2" t="str">
        <f>IF(Append1[[#This Row],[weekday]]=0,"holiday",IF(AND(Append1[[#This Row],[weekday]]&gt;1,Append1[[#This Row],[weekday]]&lt;7),"working day","weekend"))</f>
        <v>weekend</v>
      </c>
      <c r="P672" s="4" t="str">
        <f>IF(Append1[[#This Row],[weathersit]]=0,"sunny",IF(Append1[[#This Row],[weathersit]]=1,"mist",IF(Append1[[#This Row],[weathersit]]=2,"lightrain","extremerain")))</f>
        <v>mist</v>
      </c>
    </row>
    <row r="673" spans="1:16" x14ac:dyDescent="0.25">
      <c r="A673" s="4">
        <v>671</v>
      </c>
      <c r="B673" s="4">
        <v>0.13639999999999999</v>
      </c>
      <c r="C673" s="4">
        <v>0.69</v>
      </c>
      <c r="D673" s="4">
        <v>0.32840000000000003</v>
      </c>
      <c r="E673" s="4">
        <v>0</v>
      </c>
      <c r="F673" s="4">
        <v>37</v>
      </c>
      <c r="G673" s="4">
        <v>37</v>
      </c>
      <c r="H673" s="5">
        <v>40574</v>
      </c>
      <c r="I673" s="4">
        <v>1</v>
      </c>
      <c r="J673" s="4">
        <v>6</v>
      </c>
      <c r="K673" s="4" t="b">
        <f>IF(Append1[[#This Row],[days]]="working day",FALSE,TRUE)</f>
        <v>1</v>
      </c>
      <c r="L673" s="4">
        <v>1</v>
      </c>
      <c r="M673" s="4">
        <v>1</v>
      </c>
      <c r="N673" s="6">
        <v>0.16</v>
      </c>
      <c r="O673" s="2" t="str">
        <f>IF(Append1[[#This Row],[weekday]]=0,"holiday",IF(AND(Append1[[#This Row],[weekday]]&gt;1,Append1[[#This Row],[weekday]]&lt;7),"working day","weekend"))</f>
        <v>weekend</v>
      </c>
      <c r="P673" s="4" t="str">
        <f>IF(Append1[[#This Row],[weathersit]]=0,"sunny",IF(Append1[[#This Row],[weathersit]]=1,"mist",IF(Append1[[#This Row],[weathersit]]=2,"lightrain","extremerain")))</f>
        <v>mist</v>
      </c>
    </row>
    <row r="674" spans="1:16" x14ac:dyDescent="0.25">
      <c r="A674" s="4">
        <v>672</v>
      </c>
      <c r="B674" s="4">
        <v>0.13639999999999999</v>
      </c>
      <c r="C674" s="4">
        <v>0.64</v>
      </c>
      <c r="D674" s="4">
        <v>0.28360000000000002</v>
      </c>
      <c r="E674" s="4">
        <v>1</v>
      </c>
      <c r="F674" s="4">
        <v>71</v>
      </c>
      <c r="G674" s="4">
        <v>72</v>
      </c>
      <c r="H674" s="5">
        <v>40574</v>
      </c>
      <c r="I674" s="4">
        <v>1</v>
      </c>
      <c r="J674" s="4">
        <v>7</v>
      </c>
      <c r="K674" s="4" t="b">
        <f>IF(Append1[[#This Row],[days]]="working day",FALSE,TRUE)</f>
        <v>1</v>
      </c>
      <c r="L674" s="4">
        <v>1</v>
      </c>
      <c r="M674" s="4">
        <v>2</v>
      </c>
      <c r="N674" s="6">
        <v>0.16</v>
      </c>
      <c r="O674" s="2" t="str">
        <f>IF(Append1[[#This Row],[weekday]]=0,"holiday",IF(AND(Append1[[#This Row],[weekday]]&gt;1,Append1[[#This Row],[weekday]]&lt;7),"working day","weekend"))</f>
        <v>weekend</v>
      </c>
      <c r="P674" s="4" t="str">
        <f>IF(Append1[[#This Row],[weathersit]]=0,"sunny",IF(Append1[[#This Row],[weathersit]]=1,"mist",IF(Append1[[#This Row],[weathersit]]=2,"lightrain","extremerain")))</f>
        <v>lightrain</v>
      </c>
    </row>
    <row r="675" spans="1:16" x14ac:dyDescent="0.25">
      <c r="A675" s="4">
        <v>673</v>
      </c>
      <c r="B675" s="4">
        <v>0.13639999999999999</v>
      </c>
      <c r="C675" s="4">
        <v>0.59</v>
      </c>
      <c r="D675" s="4">
        <v>0.28360000000000002</v>
      </c>
      <c r="E675" s="4">
        <v>3</v>
      </c>
      <c r="F675" s="4">
        <v>182</v>
      </c>
      <c r="G675" s="4">
        <v>185</v>
      </c>
      <c r="H675" s="5">
        <v>40574</v>
      </c>
      <c r="I675" s="4">
        <v>1</v>
      </c>
      <c r="J675" s="4">
        <v>8</v>
      </c>
      <c r="K675" s="4" t="b">
        <f>IF(Append1[[#This Row],[days]]="working day",FALSE,TRUE)</f>
        <v>1</v>
      </c>
      <c r="L675" s="4">
        <v>1</v>
      </c>
      <c r="M675" s="4">
        <v>2</v>
      </c>
      <c r="N675" s="6">
        <v>0.16</v>
      </c>
      <c r="O675" s="2" t="str">
        <f>IF(Append1[[#This Row],[weekday]]=0,"holiday",IF(AND(Append1[[#This Row],[weekday]]&gt;1,Append1[[#This Row],[weekday]]&lt;7),"working day","weekend"))</f>
        <v>weekend</v>
      </c>
      <c r="P675" s="4" t="str">
        <f>IF(Append1[[#This Row],[weathersit]]=0,"sunny",IF(Append1[[#This Row],[weathersit]]=1,"mist",IF(Append1[[#This Row],[weathersit]]=2,"lightrain","extremerain")))</f>
        <v>lightrain</v>
      </c>
    </row>
    <row r="676" spans="1:16" x14ac:dyDescent="0.25">
      <c r="A676" s="4">
        <v>674</v>
      </c>
      <c r="B676" s="4">
        <v>0.13639999999999999</v>
      </c>
      <c r="C676" s="4">
        <v>0.59</v>
      </c>
      <c r="D676" s="4">
        <v>0.29849999999999999</v>
      </c>
      <c r="E676" s="4">
        <v>0</v>
      </c>
      <c r="F676" s="4">
        <v>112</v>
      </c>
      <c r="G676" s="4">
        <v>112</v>
      </c>
      <c r="H676" s="5">
        <v>40574</v>
      </c>
      <c r="I676" s="4">
        <v>1</v>
      </c>
      <c r="J676" s="4">
        <v>9</v>
      </c>
      <c r="K676" s="4" t="b">
        <f>IF(Append1[[#This Row],[days]]="working day",FALSE,TRUE)</f>
        <v>1</v>
      </c>
      <c r="L676" s="4">
        <v>1</v>
      </c>
      <c r="M676" s="4">
        <v>2</v>
      </c>
      <c r="N676" s="6">
        <v>0.16</v>
      </c>
      <c r="O676" s="2" t="str">
        <f>IF(Append1[[#This Row],[weekday]]=0,"holiday",IF(AND(Append1[[#This Row],[weekday]]&gt;1,Append1[[#This Row],[weekday]]&lt;7),"working day","weekend"))</f>
        <v>weekend</v>
      </c>
      <c r="P676" s="4" t="str">
        <f>IF(Append1[[#This Row],[weathersit]]=0,"sunny",IF(Append1[[#This Row],[weathersit]]=1,"mist",IF(Append1[[#This Row],[weathersit]]=2,"lightrain","extremerain")))</f>
        <v>lightrain</v>
      </c>
    </row>
    <row r="677" spans="1:16" x14ac:dyDescent="0.25">
      <c r="A677" s="4">
        <v>675</v>
      </c>
      <c r="B677" s="4">
        <v>0.1515</v>
      </c>
      <c r="C677" s="4">
        <v>0.59</v>
      </c>
      <c r="D677" s="4">
        <v>0.19400000000000001</v>
      </c>
      <c r="E677" s="4">
        <v>1</v>
      </c>
      <c r="F677" s="4">
        <v>68</v>
      </c>
      <c r="G677" s="4">
        <v>69</v>
      </c>
      <c r="H677" s="5">
        <v>40574</v>
      </c>
      <c r="I677" s="4">
        <v>1</v>
      </c>
      <c r="J677" s="4">
        <v>10</v>
      </c>
      <c r="K677" s="4" t="b">
        <f>IF(Append1[[#This Row],[days]]="working day",FALSE,TRUE)</f>
        <v>1</v>
      </c>
      <c r="L677" s="4">
        <v>1</v>
      </c>
      <c r="M677" s="4">
        <v>2</v>
      </c>
      <c r="N677" s="6">
        <v>0.16</v>
      </c>
      <c r="O677" s="2" t="str">
        <f>IF(Append1[[#This Row],[weekday]]=0,"holiday",IF(AND(Append1[[#This Row],[weekday]]&gt;1,Append1[[#This Row],[weekday]]&lt;7),"working day","weekend"))</f>
        <v>weekend</v>
      </c>
      <c r="P677" s="4" t="str">
        <f>IF(Append1[[#This Row],[weathersit]]=0,"sunny",IF(Append1[[#This Row],[weathersit]]=1,"mist",IF(Append1[[#This Row],[weathersit]]=2,"lightrain","extremerain")))</f>
        <v>lightrain</v>
      </c>
    </row>
    <row r="678" spans="1:16" x14ac:dyDescent="0.25">
      <c r="A678" s="4">
        <v>676</v>
      </c>
      <c r="B678" s="4">
        <v>0.1515</v>
      </c>
      <c r="C678" s="4">
        <v>0.59</v>
      </c>
      <c r="D678" s="4">
        <v>0.19400000000000001</v>
      </c>
      <c r="E678" s="4">
        <v>2</v>
      </c>
      <c r="F678" s="4">
        <v>46</v>
      </c>
      <c r="G678" s="4">
        <v>48</v>
      </c>
      <c r="H678" s="5">
        <v>40574</v>
      </c>
      <c r="I678" s="4">
        <v>1</v>
      </c>
      <c r="J678" s="4">
        <v>11</v>
      </c>
      <c r="K678" s="4" t="b">
        <f>IF(Append1[[#This Row],[days]]="working day",FALSE,TRUE)</f>
        <v>1</v>
      </c>
      <c r="L678" s="4">
        <v>1</v>
      </c>
      <c r="M678" s="4">
        <v>2</v>
      </c>
      <c r="N678" s="6">
        <v>0.16</v>
      </c>
      <c r="O678" s="2" t="str">
        <f>IF(Append1[[#This Row],[weekday]]=0,"holiday",IF(AND(Append1[[#This Row],[weekday]]&gt;1,Append1[[#This Row],[weekday]]&lt;7),"working day","weekend"))</f>
        <v>weekend</v>
      </c>
      <c r="P678" s="4" t="str">
        <f>IF(Append1[[#This Row],[weathersit]]=0,"sunny",IF(Append1[[#This Row],[weathersit]]=1,"mist",IF(Append1[[#This Row],[weathersit]]=2,"lightrain","extremerain")))</f>
        <v>lightrain</v>
      </c>
    </row>
    <row r="679" spans="1:16" x14ac:dyDescent="0.25">
      <c r="A679" s="4">
        <v>677</v>
      </c>
      <c r="B679" s="4">
        <v>0.21210000000000001</v>
      </c>
      <c r="C679" s="4">
        <v>0.55000000000000004</v>
      </c>
      <c r="D679" s="4">
        <v>0.1045</v>
      </c>
      <c r="E679" s="4">
        <v>6</v>
      </c>
      <c r="F679" s="4">
        <v>62</v>
      </c>
      <c r="G679" s="4">
        <v>68</v>
      </c>
      <c r="H679" s="5">
        <v>40574</v>
      </c>
      <c r="I679" s="4">
        <v>1</v>
      </c>
      <c r="J679" s="4">
        <v>12</v>
      </c>
      <c r="K679" s="4" t="b">
        <f>IF(Append1[[#This Row],[days]]="working day",FALSE,TRUE)</f>
        <v>1</v>
      </c>
      <c r="L679" s="4">
        <v>1</v>
      </c>
      <c r="M679" s="4">
        <v>2</v>
      </c>
      <c r="N679" s="6">
        <v>0.18</v>
      </c>
      <c r="O679" s="2" t="str">
        <f>IF(Append1[[#This Row],[weekday]]=0,"holiday",IF(AND(Append1[[#This Row],[weekday]]&gt;1,Append1[[#This Row],[weekday]]&lt;7),"working day","weekend"))</f>
        <v>weekend</v>
      </c>
      <c r="P679" s="4" t="str">
        <f>IF(Append1[[#This Row],[weathersit]]=0,"sunny",IF(Append1[[#This Row],[weathersit]]=1,"mist",IF(Append1[[#This Row],[weathersit]]=2,"lightrain","extremerain")))</f>
        <v>lightrain</v>
      </c>
    </row>
    <row r="680" spans="1:16" x14ac:dyDescent="0.25">
      <c r="A680" s="4">
        <v>678</v>
      </c>
      <c r="B680" s="4">
        <v>0.2273</v>
      </c>
      <c r="C680" s="4">
        <v>0.59</v>
      </c>
      <c r="D680" s="4">
        <v>0</v>
      </c>
      <c r="E680" s="4">
        <v>2</v>
      </c>
      <c r="F680" s="4">
        <v>52</v>
      </c>
      <c r="G680" s="4">
        <v>54</v>
      </c>
      <c r="H680" s="5">
        <v>40574</v>
      </c>
      <c r="I680" s="4">
        <v>1</v>
      </c>
      <c r="J680" s="4">
        <v>13</v>
      </c>
      <c r="K680" s="4" t="b">
        <f>IF(Append1[[#This Row],[days]]="working day",FALSE,TRUE)</f>
        <v>1</v>
      </c>
      <c r="L680" s="4">
        <v>1</v>
      </c>
      <c r="M680" s="4">
        <v>2</v>
      </c>
      <c r="N680" s="6">
        <v>0.16</v>
      </c>
      <c r="O680" s="2" t="str">
        <f>IF(Append1[[#This Row],[weekday]]=0,"holiday",IF(AND(Append1[[#This Row],[weekday]]&gt;1,Append1[[#This Row],[weekday]]&lt;7),"working day","weekend"))</f>
        <v>weekend</v>
      </c>
      <c r="P680" s="4" t="str">
        <f>IF(Append1[[#This Row],[weathersit]]=0,"sunny",IF(Append1[[#This Row],[weathersit]]=1,"mist",IF(Append1[[#This Row],[weathersit]]=2,"lightrain","extremerain")))</f>
        <v>lightrain</v>
      </c>
    </row>
    <row r="681" spans="1:16" x14ac:dyDescent="0.25">
      <c r="A681" s="4">
        <v>679</v>
      </c>
      <c r="B681" s="4">
        <v>0.19700000000000001</v>
      </c>
      <c r="C681" s="4">
        <v>0.55000000000000004</v>
      </c>
      <c r="D681" s="4">
        <v>0.1343</v>
      </c>
      <c r="E681" s="4">
        <v>1</v>
      </c>
      <c r="F681" s="4">
        <v>85</v>
      </c>
      <c r="G681" s="4">
        <v>86</v>
      </c>
      <c r="H681" s="5">
        <v>40574</v>
      </c>
      <c r="I681" s="4">
        <v>1</v>
      </c>
      <c r="J681" s="4">
        <v>14</v>
      </c>
      <c r="K681" s="4" t="b">
        <f>IF(Append1[[#This Row],[days]]="working day",FALSE,TRUE)</f>
        <v>1</v>
      </c>
      <c r="L681" s="4">
        <v>1</v>
      </c>
      <c r="M681" s="4">
        <v>2</v>
      </c>
      <c r="N681" s="6">
        <v>0.18</v>
      </c>
      <c r="O681" s="2" t="str">
        <f>IF(Append1[[#This Row],[weekday]]=0,"holiday",IF(AND(Append1[[#This Row],[weekday]]&gt;1,Append1[[#This Row],[weekday]]&lt;7),"working day","weekend"))</f>
        <v>weekend</v>
      </c>
      <c r="P681" s="4" t="str">
        <f>IF(Append1[[#This Row],[weathersit]]=0,"sunny",IF(Append1[[#This Row],[weathersit]]=1,"mist",IF(Append1[[#This Row],[weathersit]]=2,"lightrain","extremerain")))</f>
        <v>lightrain</v>
      </c>
    </row>
    <row r="682" spans="1:16" x14ac:dyDescent="0.25">
      <c r="A682" s="4">
        <v>680</v>
      </c>
      <c r="B682" s="4">
        <v>0.18179999999999999</v>
      </c>
      <c r="C682" s="4">
        <v>0.59</v>
      </c>
      <c r="D682" s="4">
        <v>0.1343</v>
      </c>
      <c r="E682" s="4">
        <v>3</v>
      </c>
      <c r="F682" s="4">
        <v>41</v>
      </c>
      <c r="G682" s="4">
        <v>44</v>
      </c>
      <c r="H682" s="5">
        <v>40574</v>
      </c>
      <c r="I682" s="4">
        <v>1</v>
      </c>
      <c r="J682" s="4">
        <v>15</v>
      </c>
      <c r="K682" s="4" t="b">
        <f>IF(Append1[[#This Row],[days]]="working day",FALSE,TRUE)</f>
        <v>1</v>
      </c>
      <c r="L682" s="4">
        <v>1</v>
      </c>
      <c r="M682" s="4">
        <v>2</v>
      </c>
      <c r="N682" s="6">
        <v>0.16</v>
      </c>
      <c r="O682" s="2" t="str">
        <f>IF(Append1[[#This Row],[weekday]]=0,"holiday",IF(AND(Append1[[#This Row],[weekday]]&gt;1,Append1[[#This Row],[weekday]]&lt;7),"working day","weekend"))</f>
        <v>weekend</v>
      </c>
      <c r="P682" s="4" t="str">
        <f>IF(Append1[[#This Row],[weathersit]]=0,"sunny",IF(Append1[[#This Row],[weathersit]]=1,"mist",IF(Append1[[#This Row],[weathersit]]=2,"lightrain","extremerain")))</f>
        <v>lightrain</v>
      </c>
    </row>
    <row r="683" spans="1:16" x14ac:dyDescent="0.25">
      <c r="A683" s="4">
        <v>681</v>
      </c>
      <c r="B683" s="4">
        <v>0.18179999999999999</v>
      </c>
      <c r="C683" s="4">
        <v>0.56000000000000005</v>
      </c>
      <c r="D683" s="4">
        <v>0.19400000000000001</v>
      </c>
      <c r="E683" s="4">
        <v>3</v>
      </c>
      <c r="F683" s="4">
        <v>83</v>
      </c>
      <c r="G683" s="4">
        <v>86</v>
      </c>
      <c r="H683" s="5">
        <v>40574</v>
      </c>
      <c r="I683" s="4">
        <v>1</v>
      </c>
      <c r="J683" s="4">
        <v>16</v>
      </c>
      <c r="K683" s="4" t="b">
        <f>IF(Append1[[#This Row],[days]]="working day",FALSE,TRUE)</f>
        <v>1</v>
      </c>
      <c r="L683" s="4">
        <v>1</v>
      </c>
      <c r="M683" s="4">
        <v>2</v>
      </c>
      <c r="N683" s="6">
        <v>0.16</v>
      </c>
      <c r="O683" s="2" t="str">
        <f>IF(Append1[[#This Row],[weekday]]=0,"holiday",IF(AND(Append1[[#This Row],[weekday]]&gt;1,Append1[[#This Row],[weekday]]&lt;7),"working day","weekend"))</f>
        <v>weekend</v>
      </c>
      <c r="P683" s="4" t="str">
        <f>IF(Append1[[#This Row],[weathersit]]=0,"sunny",IF(Append1[[#This Row],[weathersit]]=1,"mist",IF(Append1[[#This Row],[weathersit]]=2,"lightrain","extremerain")))</f>
        <v>lightrain</v>
      </c>
    </row>
    <row r="684" spans="1:16" x14ac:dyDescent="0.25">
      <c r="A684" s="4">
        <v>682</v>
      </c>
      <c r="B684" s="4">
        <v>0.1515</v>
      </c>
      <c r="C684" s="4">
        <v>0.59</v>
      </c>
      <c r="D684" s="4">
        <v>0.19400000000000001</v>
      </c>
      <c r="E684" s="4">
        <v>6</v>
      </c>
      <c r="F684" s="4">
        <v>155</v>
      </c>
      <c r="G684" s="4">
        <v>161</v>
      </c>
      <c r="H684" s="5">
        <v>40574</v>
      </c>
      <c r="I684" s="4">
        <v>1</v>
      </c>
      <c r="J684" s="4">
        <v>17</v>
      </c>
      <c r="K684" s="4" t="b">
        <f>IF(Append1[[#This Row],[days]]="working day",FALSE,TRUE)</f>
        <v>1</v>
      </c>
      <c r="L684" s="4">
        <v>1</v>
      </c>
      <c r="M684" s="4">
        <v>2</v>
      </c>
      <c r="N684" s="6">
        <v>0.16</v>
      </c>
      <c r="O684" s="2" t="str">
        <f>IF(Append1[[#This Row],[weekday]]=0,"holiday",IF(AND(Append1[[#This Row],[weekday]]&gt;1,Append1[[#This Row],[weekday]]&lt;7),"working day","weekend"))</f>
        <v>weekend</v>
      </c>
      <c r="P684" s="4" t="str">
        <f>IF(Append1[[#This Row],[weathersit]]=0,"sunny",IF(Append1[[#This Row],[weathersit]]=1,"mist",IF(Append1[[#This Row],[weathersit]]=2,"lightrain","extremerain")))</f>
        <v>lightrain</v>
      </c>
    </row>
    <row r="685" spans="1:16" x14ac:dyDescent="0.25">
      <c r="A685" s="4">
        <v>683</v>
      </c>
      <c r="B685" s="4">
        <v>0.1515</v>
      </c>
      <c r="C685" s="4">
        <v>0.55000000000000004</v>
      </c>
      <c r="D685" s="4">
        <v>0.22389999999999999</v>
      </c>
      <c r="E685" s="4">
        <v>3</v>
      </c>
      <c r="F685" s="4">
        <v>153</v>
      </c>
      <c r="G685" s="4">
        <v>156</v>
      </c>
      <c r="H685" s="5">
        <v>40574</v>
      </c>
      <c r="I685" s="4">
        <v>1</v>
      </c>
      <c r="J685" s="4">
        <v>18</v>
      </c>
      <c r="K685" s="4" t="b">
        <f>IF(Append1[[#This Row],[days]]="working day",FALSE,TRUE)</f>
        <v>1</v>
      </c>
      <c r="L685" s="4">
        <v>1</v>
      </c>
      <c r="M685" s="4">
        <v>2</v>
      </c>
      <c r="N685" s="6">
        <v>0.16</v>
      </c>
      <c r="O685" s="2" t="str">
        <f>IF(Append1[[#This Row],[weekday]]=0,"holiday",IF(AND(Append1[[#This Row],[weekday]]&gt;1,Append1[[#This Row],[weekday]]&lt;7),"working day","weekend"))</f>
        <v>weekend</v>
      </c>
      <c r="P685" s="4" t="str">
        <f>IF(Append1[[#This Row],[weathersit]]=0,"sunny",IF(Append1[[#This Row],[weathersit]]=1,"mist",IF(Append1[[#This Row],[weathersit]]=2,"lightrain","extremerain")))</f>
        <v>lightrain</v>
      </c>
    </row>
    <row r="686" spans="1:16" x14ac:dyDescent="0.25">
      <c r="A686" s="4">
        <v>684</v>
      </c>
      <c r="B686" s="4">
        <v>0.31819999999999998</v>
      </c>
      <c r="C686" s="4">
        <v>0.61</v>
      </c>
      <c r="D686" s="4">
        <v>0.1045</v>
      </c>
      <c r="E686" s="4">
        <v>3</v>
      </c>
      <c r="F686" s="4">
        <v>108</v>
      </c>
      <c r="G686" s="4">
        <v>111</v>
      </c>
      <c r="H686" s="5">
        <v>40574</v>
      </c>
      <c r="I686" s="4">
        <v>1</v>
      </c>
      <c r="J686" s="4">
        <v>19</v>
      </c>
      <c r="K686" s="4" t="b">
        <f>IF(Append1[[#This Row],[days]]="working day",FALSE,TRUE)</f>
        <v>1</v>
      </c>
      <c r="L686" s="4">
        <v>1</v>
      </c>
      <c r="M686" s="4">
        <v>1</v>
      </c>
      <c r="N686" s="6">
        <v>0.3</v>
      </c>
      <c r="O686" s="2" t="str">
        <f>IF(Append1[[#This Row],[weekday]]=0,"holiday",IF(AND(Append1[[#This Row],[weekday]]&gt;1,Append1[[#This Row],[weekday]]&lt;7),"working day","weekend"))</f>
        <v>weekend</v>
      </c>
      <c r="P686" s="4" t="str">
        <f>IF(Append1[[#This Row],[weathersit]]=0,"sunny",IF(Append1[[#This Row],[weathersit]]=1,"mist",IF(Append1[[#This Row],[weathersit]]=2,"lightrain","extremerain")))</f>
        <v>mist</v>
      </c>
    </row>
    <row r="687" spans="1:16" x14ac:dyDescent="0.25">
      <c r="A687" s="4">
        <v>685</v>
      </c>
      <c r="B687" s="4">
        <v>0.16669999999999999</v>
      </c>
      <c r="C687" s="4">
        <v>0.59</v>
      </c>
      <c r="D687" s="4">
        <v>0.16420000000000001</v>
      </c>
      <c r="E687" s="4">
        <v>0</v>
      </c>
      <c r="F687" s="4">
        <v>78</v>
      </c>
      <c r="G687" s="4">
        <v>78</v>
      </c>
      <c r="H687" s="5">
        <v>40574</v>
      </c>
      <c r="I687" s="4">
        <v>1</v>
      </c>
      <c r="J687" s="4">
        <v>20</v>
      </c>
      <c r="K687" s="4" t="b">
        <f>IF(Append1[[#This Row],[days]]="working day",FALSE,TRUE)</f>
        <v>1</v>
      </c>
      <c r="L687" s="4">
        <v>1</v>
      </c>
      <c r="M687" s="4">
        <v>3</v>
      </c>
      <c r="N687" s="6">
        <v>0.16</v>
      </c>
      <c r="O687" s="2" t="str">
        <f>IF(Append1[[#This Row],[weekday]]=0,"holiday",IF(AND(Append1[[#This Row],[weekday]]&gt;1,Append1[[#This Row],[weekday]]&lt;7),"working day","weekend"))</f>
        <v>weekend</v>
      </c>
      <c r="P687" s="4" t="str">
        <f>IF(Append1[[#This Row],[weathersit]]=0,"sunny",IF(Append1[[#This Row],[weathersit]]=1,"mist",IF(Append1[[#This Row],[weathersit]]=2,"lightrain","extremerain")))</f>
        <v>extremerain</v>
      </c>
    </row>
    <row r="688" spans="1:16" x14ac:dyDescent="0.25">
      <c r="A688" s="4">
        <v>686</v>
      </c>
      <c r="B688" s="4">
        <v>0.19700000000000001</v>
      </c>
      <c r="C688" s="4">
        <v>0.59</v>
      </c>
      <c r="D688" s="4">
        <v>8.9599999999999999E-2</v>
      </c>
      <c r="E688" s="4">
        <v>3</v>
      </c>
      <c r="F688" s="4">
        <v>53</v>
      </c>
      <c r="G688" s="4">
        <v>56</v>
      </c>
      <c r="H688" s="5">
        <v>40574</v>
      </c>
      <c r="I688" s="4">
        <v>1</v>
      </c>
      <c r="J688" s="4">
        <v>21</v>
      </c>
      <c r="K688" s="4" t="b">
        <f>IF(Append1[[#This Row],[days]]="working day",FALSE,TRUE)</f>
        <v>1</v>
      </c>
      <c r="L688" s="4">
        <v>1</v>
      </c>
      <c r="M688" s="4">
        <v>3</v>
      </c>
      <c r="N688" s="6">
        <v>0.16</v>
      </c>
      <c r="O688" s="2" t="str">
        <f>IF(Append1[[#This Row],[weekday]]=0,"holiday",IF(AND(Append1[[#This Row],[weekday]]&gt;1,Append1[[#This Row],[weekday]]&lt;7),"working day","weekend"))</f>
        <v>weekend</v>
      </c>
      <c r="P688" s="4" t="str">
        <f>IF(Append1[[#This Row],[weathersit]]=0,"sunny",IF(Append1[[#This Row],[weathersit]]=1,"mist",IF(Append1[[#This Row],[weathersit]]=2,"lightrain","extremerain")))</f>
        <v>extremerain</v>
      </c>
    </row>
    <row r="689" spans="1:16" x14ac:dyDescent="0.25">
      <c r="A689" s="4">
        <v>687</v>
      </c>
      <c r="B689" s="4">
        <v>0.18179999999999999</v>
      </c>
      <c r="C689" s="4">
        <v>0.59</v>
      </c>
      <c r="D689" s="4">
        <v>0.1045</v>
      </c>
      <c r="E689" s="4">
        <v>0</v>
      </c>
      <c r="F689" s="4">
        <v>34</v>
      </c>
      <c r="G689" s="4">
        <v>34</v>
      </c>
      <c r="H689" s="5">
        <v>40574</v>
      </c>
      <c r="I689" s="4">
        <v>1</v>
      </c>
      <c r="J689" s="4">
        <v>22</v>
      </c>
      <c r="K689" s="4" t="b">
        <f>IF(Append1[[#This Row],[days]]="working day",FALSE,TRUE)</f>
        <v>1</v>
      </c>
      <c r="L689" s="4">
        <v>1</v>
      </c>
      <c r="M689" s="4">
        <v>2</v>
      </c>
      <c r="N689" s="6">
        <v>0.16</v>
      </c>
      <c r="O689" s="2" t="str">
        <f>IF(Append1[[#This Row],[weekday]]=0,"holiday",IF(AND(Append1[[#This Row],[weekday]]&gt;1,Append1[[#This Row],[weekday]]&lt;7),"working day","weekend"))</f>
        <v>weekend</v>
      </c>
      <c r="P689" s="4" t="str">
        <f>IF(Append1[[#This Row],[weathersit]]=0,"sunny",IF(Append1[[#This Row],[weathersit]]=1,"mist",IF(Append1[[#This Row],[weathersit]]=2,"lightrain","extremerain")))</f>
        <v>lightrain</v>
      </c>
    </row>
    <row r="690" spans="1:16" x14ac:dyDescent="0.25">
      <c r="A690" s="4">
        <v>688</v>
      </c>
      <c r="B690" s="4">
        <v>0.19700000000000001</v>
      </c>
      <c r="C690" s="4">
        <v>0.64</v>
      </c>
      <c r="D690" s="4">
        <v>8.9599999999999999E-2</v>
      </c>
      <c r="E690" s="4">
        <v>2</v>
      </c>
      <c r="F690" s="4">
        <v>15</v>
      </c>
      <c r="G690" s="4">
        <v>17</v>
      </c>
      <c r="H690" s="5">
        <v>40574</v>
      </c>
      <c r="I690" s="4">
        <v>1</v>
      </c>
      <c r="J690" s="4">
        <v>23</v>
      </c>
      <c r="K690" s="4" t="b">
        <f>IF(Append1[[#This Row],[days]]="working day",FALSE,TRUE)</f>
        <v>1</v>
      </c>
      <c r="L690" s="4">
        <v>1</v>
      </c>
      <c r="M690" s="4">
        <v>2</v>
      </c>
      <c r="N690" s="6">
        <v>0.16</v>
      </c>
      <c r="O690" s="2" t="str">
        <f>IF(Append1[[#This Row],[weekday]]=0,"holiday",IF(AND(Append1[[#This Row],[weekday]]&gt;1,Append1[[#This Row],[weekday]]&lt;7),"working day","weekend"))</f>
        <v>weekend</v>
      </c>
      <c r="P690" s="4" t="str">
        <f>IF(Append1[[#This Row],[weathersit]]=0,"sunny",IF(Append1[[#This Row],[weathersit]]=1,"mist",IF(Append1[[#This Row],[weathersit]]=2,"lightrain","extremerain")))</f>
        <v>lightrain</v>
      </c>
    </row>
    <row r="691" spans="1:16" x14ac:dyDescent="0.25">
      <c r="A691" s="4">
        <v>689</v>
      </c>
      <c r="B691" s="4">
        <v>0.18179999999999999</v>
      </c>
      <c r="C691" s="4">
        <v>0.64</v>
      </c>
      <c r="D691" s="4">
        <v>0.1045</v>
      </c>
      <c r="E691" s="4">
        <v>2</v>
      </c>
      <c r="F691" s="4">
        <v>6</v>
      </c>
      <c r="G691" s="4">
        <v>8</v>
      </c>
      <c r="H691" s="5">
        <v>40575</v>
      </c>
      <c r="I691" s="4">
        <v>1</v>
      </c>
      <c r="J691" s="4">
        <v>0</v>
      </c>
      <c r="K691" s="4" t="b">
        <f>IF(Append1[[#This Row],[days]]="working day",FALSE,TRUE)</f>
        <v>0</v>
      </c>
      <c r="L691" s="4">
        <v>2</v>
      </c>
      <c r="M691" s="4">
        <v>2</v>
      </c>
      <c r="N691" s="6">
        <v>0.16</v>
      </c>
      <c r="O691" s="2" t="str">
        <f>IF(Append1[[#This Row],[weekday]]=0,"holiday",IF(AND(Append1[[#This Row],[weekday]]&gt;1,Append1[[#This Row],[weekday]]&lt;7),"working day","weekend"))</f>
        <v>working day</v>
      </c>
      <c r="P691" s="4" t="str">
        <f>IF(Append1[[#This Row],[weathersit]]=0,"sunny",IF(Append1[[#This Row],[weathersit]]=1,"mist",IF(Append1[[#This Row],[weathersit]]=2,"lightrain","extremerain")))</f>
        <v>lightrain</v>
      </c>
    </row>
    <row r="692" spans="1:16" x14ac:dyDescent="0.25">
      <c r="A692" s="4">
        <v>690</v>
      </c>
      <c r="B692" s="4">
        <v>0.18179999999999999</v>
      </c>
      <c r="C692" s="4">
        <v>0.69</v>
      </c>
      <c r="D692" s="4">
        <v>0.1045</v>
      </c>
      <c r="E692" s="4">
        <v>0</v>
      </c>
      <c r="F692" s="4">
        <v>3</v>
      </c>
      <c r="G692" s="4">
        <v>3</v>
      </c>
      <c r="H692" s="5">
        <v>40575</v>
      </c>
      <c r="I692" s="4">
        <v>1</v>
      </c>
      <c r="J692" s="4">
        <v>1</v>
      </c>
      <c r="K692" s="4" t="b">
        <f>IF(Append1[[#This Row],[days]]="working day",FALSE,TRUE)</f>
        <v>0</v>
      </c>
      <c r="L692" s="4">
        <v>2</v>
      </c>
      <c r="M692" s="4">
        <v>2</v>
      </c>
      <c r="N692" s="6">
        <v>0.16</v>
      </c>
      <c r="O692" s="2" t="str">
        <f>IF(Append1[[#This Row],[weekday]]=0,"holiday",IF(AND(Append1[[#This Row],[weekday]]&gt;1,Append1[[#This Row],[weekday]]&lt;7),"working day","weekend"))</f>
        <v>working day</v>
      </c>
      <c r="P692" s="4" t="str">
        <f>IF(Append1[[#This Row],[weathersit]]=0,"sunny",IF(Append1[[#This Row],[weathersit]]=1,"mist",IF(Append1[[#This Row],[weathersit]]=2,"lightrain","extremerain")))</f>
        <v>lightrain</v>
      </c>
    </row>
    <row r="693" spans="1:16" x14ac:dyDescent="0.25">
      <c r="A693" s="4">
        <v>691</v>
      </c>
      <c r="B693" s="4">
        <v>0.2273</v>
      </c>
      <c r="C693" s="4">
        <v>0.69</v>
      </c>
      <c r="D693" s="4">
        <v>0</v>
      </c>
      <c r="E693" s="4">
        <v>0</v>
      </c>
      <c r="F693" s="4">
        <v>2</v>
      </c>
      <c r="G693" s="4">
        <v>2</v>
      </c>
      <c r="H693" s="5">
        <v>40575</v>
      </c>
      <c r="I693" s="4">
        <v>1</v>
      </c>
      <c r="J693" s="4">
        <v>2</v>
      </c>
      <c r="K693" s="4" t="b">
        <f>IF(Append1[[#This Row],[days]]="working day",FALSE,TRUE)</f>
        <v>0</v>
      </c>
      <c r="L693" s="4">
        <v>2</v>
      </c>
      <c r="M693" s="4">
        <v>2</v>
      </c>
      <c r="N693" s="6">
        <v>0.16</v>
      </c>
      <c r="O693" s="2" t="str">
        <f>IF(Append1[[#This Row],[weekday]]=0,"holiday",IF(AND(Append1[[#This Row],[weekday]]&gt;1,Append1[[#This Row],[weekday]]&lt;7),"working day","weekend"))</f>
        <v>working day</v>
      </c>
      <c r="P693" s="4" t="str">
        <f>IF(Append1[[#This Row],[weathersit]]=0,"sunny",IF(Append1[[#This Row],[weathersit]]=1,"mist",IF(Append1[[#This Row],[weathersit]]=2,"lightrain","extremerain")))</f>
        <v>lightrain</v>
      </c>
    </row>
    <row r="694" spans="1:16" x14ac:dyDescent="0.25">
      <c r="A694" s="4">
        <v>692</v>
      </c>
      <c r="B694" s="4">
        <v>0.2273</v>
      </c>
      <c r="C694" s="4">
        <v>0.69</v>
      </c>
      <c r="D694" s="4">
        <v>0</v>
      </c>
      <c r="E694" s="4">
        <v>0</v>
      </c>
      <c r="F694" s="4">
        <v>2</v>
      </c>
      <c r="G694" s="4">
        <v>2</v>
      </c>
      <c r="H694" s="5">
        <v>40575</v>
      </c>
      <c r="I694" s="4">
        <v>1</v>
      </c>
      <c r="J694" s="4">
        <v>3</v>
      </c>
      <c r="K694" s="4" t="b">
        <f>IF(Append1[[#This Row],[days]]="working day",FALSE,TRUE)</f>
        <v>0</v>
      </c>
      <c r="L694" s="4">
        <v>2</v>
      </c>
      <c r="M694" s="4">
        <v>2</v>
      </c>
      <c r="N694" s="6">
        <v>0.16</v>
      </c>
      <c r="O694" s="2" t="str">
        <f>IF(Append1[[#This Row],[weekday]]=0,"holiday",IF(AND(Append1[[#This Row],[weekday]]&gt;1,Append1[[#This Row],[weekday]]&lt;7),"working day","weekend"))</f>
        <v>working day</v>
      </c>
      <c r="P694" s="4" t="str">
        <f>IF(Append1[[#This Row],[weathersit]]=0,"sunny",IF(Append1[[#This Row],[weathersit]]=1,"mist",IF(Append1[[#This Row],[weathersit]]=2,"lightrain","extremerain")))</f>
        <v>lightrain</v>
      </c>
    </row>
    <row r="695" spans="1:16" x14ac:dyDescent="0.25">
      <c r="A695" s="4">
        <v>693</v>
      </c>
      <c r="B695" s="4">
        <v>0.21210000000000001</v>
      </c>
      <c r="C695" s="4">
        <v>0.93</v>
      </c>
      <c r="D695" s="4">
        <v>0</v>
      </c>
      <c r="E695" s="4">
        <v>0</v>
      </c>
      <c r="F695" s="4">
        <v>3</v>
      </c>
      <c r="G695" s="4">
        <v>3</v>
      </c>
      <c r="H695" s="5">
        <v>40575</v>
      </c>
      <c r="I695" s="4">
        <v>1</v>
      </c>
      <c r="J695" s="4">
        <v>5</v>
      </c>
      <c r="K695" s="4" t="b">
        <f>IF(Append1[[#This Row],[days]]="working day",FALSE,TRUE)</f>
        <v>0</v>
      </c>
      <c r="L695" s="4">
        <v>2</v>
      </c>
      <c r="M695" s="4">
        <v>3</v>
      </c>
      <c r="N695" s="6">
        <v>0.14000000000000001</v>
      </c>
      <c r="O695" s="2" t="str">
        <f>IF(Append1[[#This Row],[weekday]]=0,"holiday",IF(AND(Append1[[#This Row],[weekday]]&gt;1,Append1[[#This Row],[weekday]]&lt;7),"working day","weekend"))</f>
        <v>working day</v>
      </c>
      <c r="P695" s="4" t="str">
        <f>IF(Append1[[#This Row],[weathersit]]=0,"sunny",IF(Append1[[#This Row],[weathersit]]=1,"mist",IF(Append1[[#This Row],[weathersit]]=2,"lightrain","extremerain")))</f>
        <v>extremerain</v>
      </c>
    </row>
    <row r="696" spans="1:16" x14ac:dyDescent="0.25">
      <c r="A696" s="4">
        <v>694</v>
      </c>
      <c r="B696" s="4">
        <v>0.21210000000000001</v>
      </c>
      <c r="C696" s="4">
        <v>0.93</v>
      </c>
      <c r="D696" s="4">
        <v>0</v>
      </c>
      <c r="E696" s="4">
        <v>0</v>
      </c>
      <c r="F696" s="4">
        <v>22</v>
      </c>
      <c r="G696" s="4">
        <v>22</v>
      </c>
      <c r="H696" s="5">
        <v>40575</v>
      </c>
      <c r="I696" s="4">
        <v>1</v>
      </c>
      <c r="J696" s="4">
        <v>6</v>
      </c>
      <c r="K696" s="4" t="b">
        <f>IF(Append1[[#This Row],[days]]="working day",FALSE,TRUE)</f>
        <v>0</v>
      </c>
      <c r="L696" s="4">
        <v>2</v>
      </c>
      <c r="M696" s="4">
        <v>3</v>
      </c>
      <c r="N696" s="6">
        <v>0.14000000000000001</v>
      </c>
      <c r="O696" s="2" t="str">
        <f>IF(Append1[[#This Row],[weekday]]=0,"holiday",IF(AND(Append1[[#This Row],[weekday]]&gt;1,Append1[[#This Row],[weekday]]&lt;7),"working day","weekend"))</f>
        <v>working day</v>
      </c>
      <c r="P696" s="4" t="str">
        <f>IF(Append1[[#This Row],[weathersit]]=0,"sunny",IF(Append1[[#This Row],[weathersit]]=1,"mist",IF(Append1[[#This Row],[weathersit]]=2,"lightrain","extremerain")))</f>
        <v>extremerain</v>
      </c>
    </row>
    <row r="697" spans="1:16" x14ac:dyDescent="0.25">
      <c r="A697" s="4">
        <v>695</v>
      </c>
      <c r="B697" s="4">
        <v>0.2273</v>
      </c>
      <c r="C697" s="4">
        <v>0.93</v>
      </c>
      <c r="D697" s="4">
        <v>0</v>
      </c>
      <c r="E697" s="4">
        <v>0</v>
      </c>
      <c r="F697" s="4">
        <v>52</v>
      </c>
      <c r="G697" s="4">
        <v>52</v>
      </c>
      <c r="H697" s="5">
        <v>40575</v>
      </c>
      <c r="I697" s="4">
        <v>1</v>
      </c>
      <c r="J697" s="4">
        <v>7</v>
      </c>
      <c r="K697" s="4" t="b">
        <f>IF(Append1[[#This Row],[days]]="working day",FALSE,TRUE)</f>
        <v>0</v>
      </c>
      <c r="L697" s="4">
        <v>2</v>
      </c>
      <c r="M697" s="4">
        <v>3</v>
      </c>
      <c r="N697" s="6">
        <v>0.16</v>
      </c>
      <c r="O697" s="2" t="str">
        <f>IF(Append1[[#This Row],[weekday]]=0,"holiday",IF(AND(Append1[[#This Row],[weekday]]&gt;1,Append1[[#This Row],[weekday]]&lt;7),"working day","weekend"))</f>
        <v>working day</v>
      </c>
      <c r="P697" s="4" t="str">
        <f>IF(Append1[[#This Row],[weathersit]]=0,"sunny",IF(Append1[[#This Row],[weathersit]]=1,"mist",IF(Append1[[#This Row],[weathersit]]=2,"lightrain","extremerain")))</f>
        <v>extremerain</v>
      </c>
    </row>
    <row r="698" spans="1:16" x14ac:dyDescent="0.25">
      <c r="A698" s="4">
        <v>696</v>
      </c>
      <c r="B698" s="4">
        <v>0.2273</v>
      </c>
      <c r="C698" s="4">
        <v>0.93</v>
      </c>
      <c r="D698" s="4">
        <v>0</v>
      </c>
      <c r="E698" s="4">
        <v>3</v>
      </c>
      <c r="F698" s="4">
        <v>132</v>
      </c>
      <c r="G698" s="4">
        <v>135</v>
      </c>
      <c r="H698" s="5">
        <v>40575</v>
      </c>
      <c r="I698" s="4">
        <v>1</v>
      </c>
      <c r="J698" s="4">
        <v>8</v>
      </c>
      <c r="K698" s="4" t="b">
        <f>IF(Append1[[#This Row],[days]]="working day",FALSE,TRUE)</f>
        <v>0</v>
      </c>
      <c r="L698" s="4">
        <v>2</v>
      </c>
      <c r="M698" s="4">
        <v>3</v>
      </c>
      <c r="N698" s="6">
        <v>0.16</v>
      </c>
      <c r="O698" s="2" t="str">
        <f>IF(Append1[[#This Row],[weekday]]=0,"holiday",IF(AND(Append1[[#This Row],[weekday]]&gt;1,Append1[[#This Row],[weekday]]&lt;7),"working day","weekend"))</f>
        <v>working day</v>
      </c>
      <c r="P698" s="4" t="str">
        <f>IF(Append1[[#This Row],[weathersit]]=0,"sunny",IF(Append1[[#This Row],[weathersit]]=1,"mist",IF(Append1[[#This Row],[weathersit]]=2,"lightrain","extremerain")))</f>
        <v>extremerain</v>
      </c>
    </row>
    <row r="699" spans="1:16" x14ac:dyDescent="0.25">
      <c r="A699" s="4">
        <v>697</v>
      </c>
      <c r="B699" s="4">
        <v>0.2273</v>
      </c>
      <c r="C699" s="4">
        <v>0.93</v>
      </c>
      <c r="D699" s="4">
        <v>0</v>
      </c>
      <c r="E699" s="4">
        <v>2</v>
      </c>
      <c r="F699" s="4">
        <v>114</v>
      </c>
      <c r="G699" s="4">
        <v>116</v>
      </c>
      <c r="H699" s="5">
        <v>40575</v>
      </c>
      <c r="I699" s="4">
        <v>1</v>
      </c>
      <c r="J699" s="4">
        <v>9</v>
      </c>
      <c r="K699" s="4" t="b">
        <f>IF(Append1[[#This Row],[days]]="working day",FALSE,TRUE)</f>
        <v>0</v>
      </c>
      <c r="L699" s="4">
        <v>2</v>
      </c>
      <c r="M699" s="4">
        <v>2</v>
      </c>
      <c r="N699" s="6">
        <v>0.16</v>
      </c>
      <c r="O699" s="2" t="str">
        <f>IF(Append1[[#This Row],[weekday]]=0,"holiday",IF(AND(Append1[[#This Row],[weekday]]&gt;1,Append1[[#This Row],[weekday]]&lt;7),"working day","weekend"))</f>
        <v>working day</v>
      </c>
      <c r="P699" s="4" t="str">
        <f>IF(Append1[[#This Row],[weathersit]]=0,"sunny",IF(Append1[[#This Row],[weathersit]]=1,"mist",IF(Append1[[#This Row],[weathersit]]=2,"lightrain","extremerain")))</f>
        <v>lightrain</v>
      </c>
    </row>
    <row r="700" spans="1:16" x14ac:dyDescent="0.25">
      <c r="A700" s="4">
        <v>698</v>
      </c>
      <c r="B700" s="4">
        <v>0.2273</v>
      </c>
      <c r="C700" s="4">
        <v>0.93</v>
      </c>
      <c r="D700" s="4">
        <v>0</v>
      </c>
      <c r="E700" s="4">
        <v>0</v>
      </c>
      <c r="F700" s="4">
        <v>47</v>
      </c>
      <c r="G700" s="4">
        <v>47</v>
      </c>
      <c r="H700" s="5">
        <v>40575</v>
      </c>
      <c r="I700" s="4">
        <v>1</v>
      </c>
      <c r="J700" s="4">
        <v>10</v>
      </c>
      <c r="K700" s="4" t="b">
        <f>IF(Append1[[#This Row],[days]]="working day",FALSE,TRUE)</f>
        <v>0</v>
      </c>
      <c r="L700" s="4">
        <v>2</v>
      </c>
      <c r="M700" s="4">
        <v>2</v>
      </c>
      <c r="N700" s="6">
        <v>0.16</v>
      </c>
      <c r="O700" s="2" t="str">
        <f>IF(Append1[[#This Row],[weekday]]=0,"holiday",IF(AND(Append1[[#This Row],[weekday]]&gt;1,Append1[[#This Row],[weekday]]&lt;7),"working day","weekend"))</f>
        <v>working day</v>
      </c>
      <c r="P700" s="4" t="str">
        <f>IF(Append1[[#This Row],[weathersit]]=0,"sunny",IF(Append1[[#This Row],[weathersit]]=1,"mist",IF(Append1[[#This Row],[weathersit]]=2,"lightrain","extremerain")))</f>
        <v>lightrain</v>
      </c>
    </row>
    <row r="701" spans="1:16" x14ac:dyDescent="0.25">
      <c r="A701" s="4">
        <v>699</v>
      </c>
      <c r="B701" s="4">
        <v>0.2424</v>
      </c>
      <c r="C701" s="4">
        <v>0.86</v>
      </c>
      <c r="D701" s="4">
        <v>0</v>
      </c>
      <c r="E701" s="4">
        <v>2</v>
      </c>
      <c r="F701" s="4">
        <v>49</v>
      </c>
      <c r="G701" s="4">
        <v>51</v>
      </c>
      <c r="H701" s="5">
        <v>40575</v>
      </c>
      <c r="I701" s="4">
        <v>1</v>
      </c>
      <c r="J701" s="4">
        <v>11</v>
      </c>
      <c r="K701" s="4" t="b">
        <f>IF(Append1[[#This Row],[days]]="working day",FALSE,TRUE)</f>
        <v>0</v>
      </c>
      <c r="L701" s="4">
        <v>2</v>
      </c>
      <c r="M701" s="4">
        <v>2</v>
      </c>
      <c r="N701" s="6">
        <v>0.18</v>
      </c>
      <c r="O701" s="2" t="str">
        <f>IF(Append1[[#This Row],[weekday]]=0,"holiday",IF(AND(Append1[[#This Row],[weekday]]&gt;1,Append1[[#This Row],[weekday]]&lt;7),"working day","weekend"))</f>
        <v>working day</v>
      </c>
      <c r="P701" s="4" t="str">
        <f>IF(Append1[[#This Row],[weathersit]]=0,"sunny",IF(Append1[[#This Row],[weathersit]]=1,"mist",IF(Append1[[#This Row],[weathersit]]=2,"lightrain","extremerain")))</f>
        <v>lightrain</v>
      </c>
    </row>
    <row r="702" spans="1:16" x14ac:dyDescent="0.25">
      <c r="A702" s="4">
        <v>700</v>
      </c>
      <c r="B702" s="4">
        <v>0.2576</v>
      </c>
      <c r="C702" s="4">
        <v>0.86</v>
      </c>
      <c r="D702" s="4">
        <v>0</v>
      </c>
      <c r="E702" s="4">
        <v>2</v>
      </c>
      <c r="F702" s="4">
        <v>53</v>
      </c>
      <c r="G702" s="4">
        <v>55</v>
      </c>
      <c r="H702" s="5">
        <v>40575</v>
      </c>
      <c r="I702" s="4">
        <v>1</v>
      </c>
      <c r="J702" s="4">
        <v>12</v>
      </c>
      <c r="K702" s="4" t="b">
        <f>IF(Append1[[#This Row],[days]]="working day",FALSE,TRUE)</f>
        <v>0</v>
      </c>
      <c r="L702" s="4">
        <v>2</v>
      </c>
      <c r="M702" s="4">
        <v>2</v>
      </c>
      <c r="N702" s="6">
        <v>0.2</v>
      </c>
      <c r="O702" s="2" t="str">
        <f>IF(Append1[[#This Row],[weekday]]=0,"holiday",IF(AND(Append1[[#This Row],[weekday]]&gt;1,Append1[[#This Row],[weekday]]&lt;7),"working day","weekend"))</f>
        <v>working day</v>
      </c>
      <c r="P702" s="4" t="str">
        <f>IF(Append1[[#This Row],[weathersit]]=0,"sunny",IF(Append1[[#This Row],[weathersit]]=1,"mist",IF(Append1[[#This Row],[weathersit]]=2,"lightrain","extremerain")))</f>
        <v>lightrain</v>
      </c>
    </row>
    <row r="703" spans="1:16" x14ac:dyDescent="0.25">
      <c r="A703" s="4">
        <v>701</v>
      </c>
      <c r="B703" s="4">
        <v>0.2576</v>
      </c>
      <c r="C703" s="4">
        <v>0.86</v>
      </c>
      <c r="D703" s="4">
        <v>0</v>
      </c>
      <c r="E703" s="4">
        <v>3</v>
      </c>
      <c r="F703" s="4">
        <v>49</v>
      </c>
      <c r="G703" s="4">
        <v>52</v>
      </c>
      <c r="H703" s="5">
        <v>40575</v>
      </c>
      <c r="I703" s="4">
        <v>1</v>
      </c>
      <c r="J703" s="4">
        <v>13</v>
      </c>
      <c r="K703" s="4" t="b">
        <f>IF(Append1[[#This Row],[days]]="working day",FALSE,TRUE)</f>
        <v>0</v>
      </c>
      <c r="L703" s="4">
        <v>2</v>
      </c>
      <c r="M703" s="4">
        <v>2</v>
      </c>
      <c r="N703" s="6">
        <v>0.2</v>
      </c>
      <c r="O703" s="2" t="str">
        <f>IF(Append1[[#This Row],[weekday]]=0,"holiday",IF(AND(Append1[[#This Row],[weekday]]&gt;1,Append1[[#This Row],[weekday]]&lt;7),"working day","weekend"))</f>
        <v>working day</v>
      </c>
      <c r="P703" s="4" t="str">
        <f>IF(Append1[[#This Row],[weathersit]]=0,"sunny",IF(Append1[[#This Row],[weathersit]]=1,"mist",IF(Append1[[#This Row],[weathersit]]=2,"lightrain","extremerain")))</f>
        <v>lightrain</v>
      </c>
    </row>
    <row r="704" spans="1:16" x14ac:dyDescent="0.25">
      <c r="A704" s="4">
        <v>702</v>
      </c>
      <c r="B704" s="4">
        <v>0.2576</v>
      </c>
      <c r="C704" s="4">
        <v>0.8</v>
      </c>
      <c r="D704" s="4">
        <v>8.9599999999999999E-2</v>
      </c>
      <c r="E704" s="4">
        <v>5</v>
      </c>
      <c r="F704" s="4">
        <v>49</v>
      </c>
      <c r="G704" s="4">
        <v>54</v>
      </c>
      <c r="H704" s="5">
        <v>40575</v>
      </c>
      <c r="I704" s="4">
        <v>1</v>
      </c>
      <c r="J704" s="4">
        <v>14</v>
      </c>
      <c r="K704" s="4" t="b">
        <f>IF(Append1[[#This Row],[days]]="working day",FALSE,TRUE)</f>
        <v>0</v>
      </c>
      <c r="L704" s="4">
        <v>2</v>
      </c>
      <c r="M704" s="4">
        <v>2</v>
      </c>
      <c r="N704" s="6">
        <v>0.22</v>
      </c>
      <c r="O704" s="2" t="str">
        <f>IF(Append1[[#This Row],[weekday]]=0,"holiday",IF(AND(Append1[[#This Row],[weekday]]&gt;1,Append1[[#This Row],[weekday]]&lt;7),"working day","weekend"))</f>
        <v>working day</v>
      </c>
      <c r="P704" s="4" t="str">
        <f>IF(Append1[[#This Row],[weathersit]]=0,"sunny",IF(Append1[[#This Row],[weathersit]]=1,"mist",IF(Append1[[#This Row],[weathersit]]=2,"lightrain","extremerain")))</f>
        <v>lightrain</v>
      </c>
    </row>
    <row r="705" spans="1:16" x14ac:dyDescent="0.25">
      <c r="A705" s="4">
        <v>703</v>
      </c>
      <c r="B705" s="4">
        <v>0.28789999999999999</v>
      </c>
      <c r="C705" s="4">
        <v>0.75</v>
      </c>
      <c r="D705" s="4">
        <v>0</v>
      </c>
      <c r="E705" s="4">
        <v>7</v>
      </c>
      <c r="F705" s="4">
        <v>45</v>
      </c>
      <c r="G705" s="4">
        <v>52</v>
      </c>
      <c r="H705" s="5">
        <v>40575</v>
      </c>
      <c r="I705" s="4">
        <v>1</v>
      </c>
      <c r="J705" s="4">
        <v>15</v>
      </c>
      <c r="K705" s="4" t="b">
        <f>IF(Append1[[#This Row],[days]]="working day",FALSE,TRUE)</f>
        <v>0</v>
      </c>
      <c r="L705" s="4">
        <v>2</v>
      </c>
      <c r="M705" s="4">
        <v>2</v>
      </c>
      <c r="N705" s="6">
        <v>0.24</v>
      </c>
      <c r="O705" s="2" t="str">
        <f>IF(Append1[[#This Row],[weekday]]=0,"holiday",IF(AND(Append1[[#This Row],[weekday]]&gt;1,Append1[[#This Row],[weekday]]&lt;7),"working day","weekend"))</f>
        <v>working day</v>
      </c>
      <c r="P705" s="4" t="str">
        <f>IF(Append1[[#This Row],[weathersit]]=0,"sunny",IF(Append1[[#This Row],[weathersit]]=1,"mist",IF(Append1[[#This Row],[weathersit]]=2,"lightrain","extremerain")))</f>
        <v>lightrain</v>
      </c>
    </row>
    <row r="706" spans="1:16" x14ac:dyDescent="0.25">
      <c r="A706" s="4">
        <v>704</v>
      </c>
      <c r="B706" s="4">
        <v>0.2424</v>
      </c>
      <c r="C706" s="4">
        <v>0.75</v>
      </c>
      <c r="D706" s="4">
        <v>0.1343</v>
      </c>
      <c r="E706" s="4">
        <v>3</v>
      </c>
      <c r="F706" s="4">
        <v>61</v>
      </c>
      <c r="G706" s="4">
        <v>64</v>
      </c>
      <c r="H706" s="5">
        <v>40575</v>
      </c>
      <c r="I706" s="4">
        <v>1</v>
      </c>
      <c r="J706" s="4">
        <v>16</v>
      </c>
      <c r="K706" s="4" t="b">
        <f>IF(Append1[[#This Row],[days]]="working day",FALSE,TRUE)</f>
        <v>0</v>
      </c>
      <c r="L706" s="4">
        <v>2</v>
      </c>
      <c r="M706" s="4">
        <v>2</v>
      </c>
      <c r="N706" s="6">
        <v>0.24</v>
      </c>
      <c r="O706" s="2" t="str">
        <f>IF(Append1[[#This Row],[weekday]]=0,"holiday",IF(AND(Append1[[#This Row],[weekday]]&gt;1,Append1[[#This Row],[weekday]]&lt;7),"working day","weekend"))</f>
        <v>working day</v>
      </c>
      <c r="P706" s="4" t="str">
        <f>IF(Append1[[#This Row],[weathersit]]=0,"sunny",IF(Append1[[#This Row],[weathersit]]=1,"mist",IF(Append1[[#This Row],[weathersit]]=2,"lightrain","extremerain")))</f>
        <v>lightrain</v>
      </c>
    </row>
    <row r="707" spans="1:16" x14ac:dyDescent="0.25">
      <c r="A707" s="4">
        <v>705</v>
      </c>
      <c r="B707" s="4">
        <v>0.28789999999999999</v>
      </c>
      <c r="C707" s="4">
        <v>0.75</v>
      </c>
      <c r="D707" s="4">
        <v>0</v>
      </c>
      <c r="E707" s="4">
        <v>4</v>
      </c>
      <c r="F707" s="4">
        <v>172</v>
      </c>
      <c r="G707" s="4">
        <v>176</v>
      </c>
      <c r="H707" s="5">
        <v>40575</v>
      </c>
      <c r="I707" s="4">
        <v>1</v>
      </c>
      <c r="J707" s="4">
        <v>17</v>
      </c>
      <c r="K707" s="4" t="b">
        <f>IF(Append1[[#This Row],[days]]="working day",FALSE,TRUE)</f>
        <v>0</v>
      </c>
      <c r="L707" s="4">
        <v>2</v>
      </c>
      <c r="M707" s="4">
        <v>2</v>
      </c>
      <c r="N707" s="6">
        <v>0.24</v>
      </c>
      <c r="O707" s="2" t="str">
        <f>IF(Append1[[#This Row],[weekday]]=0,"holiday",IF(AND(Append1[[#This Row],[weekday]]&gt;1,Append1[[#This Row],[weekday]]&lt;7),"working day","weekend"))</f>
        <v>working day</v>
      </c>
      <c r="P707" s="4" t="str">
        <f>IF(Append1[[#This Row],[weathersit]]=0,"sunny",IF(Append1[[#This Row],[weathersit]]=1,"mist",IF(Append1[[#This Row],[weathersit]]=2,"lightrain","extremerain")))</f>
        <v>lightrain</v>
      </c>
    </row>
    <row r="708" spans="1:16" x14ac:dyDescent="0.25">
      <c r="A708" s="4">
        <v>706</v>
      </c>
      <c r="B708" s="4">
        <v>0.2576</v>
      </c>
      <c r="C708" s="4">
        <v>0.81</v>
      </c>
      <c r="D708" s="4">
        <v>0.1045</v>
      </c>
      <c r="E708" s="4">
        <v>3</v>
      </c>
      <c r="F708" s="4">
        <v>165</v>
      </c>
      <c r="G708" s="4">
        <v>168</v>
      </c>
      <c r="H708" s="5">
        <v>40575</v>
      </c>
      <c r="I708" s="4">
        <v>1</v>
      </c>
      <c r="J708" s="4">
        <v>18</v>
      </c>
      <c r="K708" s="4" t="b">
        <f>IF(Append1[[#This Row],[days]]="working day",FALSE,TRUE)</f>
        <v>0</v>
      </c>
      <c r="L708" s="4">
        <v>2</v>
      </c>
      <c r="M708" s="4">
        <v>2</v>
      </c>
      <c r="N708" s="6">
        <v>0.24</v>
      </c>
      <c r="O708" s="2" t="str">
        <f>IF(Append1[[#This Row],[weekday]]=0,"holiday",IF(AND(Append1[[#This Row],[weekday]]&gt;1,Append1[[#This Row],[weekday]]&lt;7),"working day","weekend"))</f>
        <v>working day</v>
      </c>
      <c r="P708" s="4" t="str">
        <f>IF(Append1[[#This Row],[weathersit]]=0,"sunny",IF(Append1[[#This Row],[weathersit]]=1,"mist",IF(Append1[[#This Row],[weathersit]]=2,"lightrain","extremerain")))</f>
        <v>lightrain</v>
      </c>
    </row>
    <row r="709" spans="1:16" x14ac:dyDescent="0.25">
      <c r="A709" s="4">
        <v>707</v>
      </c>
      <c r="B709" s="4">
        <v>0.2424</v>
      </c>
      <c r="C709" s="4">
        <v>0.81</v>
      </c>
      <c r="D709" s="4">
        <v>0.1343</v>
      </c>
      <c r="E709" s="4">
        <v>3</v>
      </c>
      <c r="F709" s="4">
        <v>105</v>
      </c>
      <c r="G709" s="4">
        <v>108</v>
      </c>
      <c r="H709" s="5">
        <v>40575</v>
      </c>
      <c r="I709" s="4">
        <v>1</v>
      </c>
      <c r="J709" s="4">
        <v>19</v>
      </c>
      <c r="K709" s="4" t="b">
        <f>IF(Append1[[#This Row],[days]]="working day",FALSE,TRUE)</f>
        <v>0</v>
      </c>
      <c r="L709" s="4">
        <v>2</v>
      </c>
      <c r="M709" s="4">
        <v>2</v>
      </c>
      <c r="N709" s="6">
        <v>0.24</v>
      </c>
      <c r="O709" s="2" t="str">
        <f>IF(Append1[[#This Row],[weekday]]=0,"holiday",IF(AND(Append1[[#This Row],[weekday]]&gt;1,Append1[[#This Row],[weekday]]&lt;7),"working day","weekend"))</f>
        <v>working day</v>
      </c>
      <c r="P709" s="4" t="str">
        <f>IF(Append1[[#This Row],[weathersit]]=0,"sunny",IF(Append1[[#This Row],[weathersit]]=1,"mist",IF(Append1[[#This Row],[weathersit]]=2,"lightrain","extremerain")))</f>
        <v>lightrain</v>
      </c>
    </row>
    <row r="710" spans="1:16" x14ac:dyDescent="0.25">
      <c r="A710" s="4">
        <v>708</v>
      </c>
      <c r="B710" s="4">
        <v>0.2273</v>
      </c>
      <c r="C710" s="4">
        <v>0.87</v>
      </c>
      <c r="D710" s="4">
        <v>0.1343</v>
      </c>
      <c r="E710" s="4">
        <v>5</v>
      </c>
      <c r="F710" s="4">
        <v>69</v>
      </c>
      <c r="G710" s="4">
        <v>74</v>
      </c>
      <c r="H710" s="5">
        <v>40575</v>
      </c>
      <c r="I710" s="4">
        <v>1</v>
      </c>
      <c r="J710" s="4">
        <v>20</v>
      </c>
      <c r="K710" s="4" t="b">
        <f>IF(Append1[[#This Row],[days]]="working day",FALSE,TRUE)</f>
        <v>0</v>
      </c>
      <c r="L710" s="4">
        <v>2</v>
      </c>
      <c r="M710" s="4">
        <v>2</v>
      </c>
      <c r="N710" s="6">
        <v>0.22</v>
      </c>
      <c r="O710" s="2" t="str">
        <f>IF(Append1[[#This Row],[weekday]]=0,"holiday",IF(AND(Append1[[#This Row],[weekday]]&gt;1,Append1[[#This Row],[weekday]]&lt;7),"working day","weekend"))</f>
        <v>working day</v>
      </c>
      <c r="P710" s="4" t="str">
        <f>IF(Append1[[#This Row],[weathersit]]=0,"sunny",IF(Append1[[#This Row],[weathersit]]=1,"mist",IF(Append1[[#This Row],[weathersit]]=2,"lightrain","extremerain")))</f>
        <v>lightrain</v>
      </c>
    </row>
    <row r="711" spans="1:16" x14ac:dyDescent="0.25">
      <c r="A711" s="4">
        <v>709</v>
      </c>
      <c r="B711" s="4">
        <v>0.2273</v>
      </c>
      <c r="C711" s="4">
        <v>0.87</v>
      </c>
      <c r="D711" s="4">
        <v>0.1343</v>
      </c>
      <c r="E711" s="4">
        <v>0</v>
      </c>
      <c r="F711" s="4">
        <v>64</v>
      </c>
      <c r="G711" s="4">
        <v>64</v>
      </c>
      <c r="H711" s="5">
        <v>40575</v>
      </c>
      <c r="I711" s="4">
        <v>1</v>
      </c>
      <c r="J711" s="4">
        <v>21</v>
      </c>
      <c r="K711" s="4" t="b">
        <f>IF(Append1[[#This Row],[days]]="working day",FALSE,TRUE)</f>
        <v>0</v>
      </c>
      <c r="L711" s="4">
        <v>2</v>
      </c>
      <c r="M711" s="4">
        <v>2</v>
      </c>
      <c r="N711" s="6">
        <v>0.22</v>
      </c>
      <c r="O711" s="2" t="str">
        <f>IF(Append1[[#This Row],[weekday]]=0,"holiday",IF(AND(Append1[[#This Row],[weekday]]&gt;1,Append1[[#This Row],[weekday]]&lt;7),"working day","weekend"))</f>
        <v>working day</v>
      </c>
      <c r="P711" s="4" t="str">
        <f>IF(Append1[[#This Row],[weathersit]]=0,"sunny",IF(Append1[[#This Row],[weathersit]]=1,"mist",IF(Append1[[#This Row],[weathersit]]=2,"lightrain","extremerain")))</f>
        <v>lightrain</v>
      </c>
    </row>
    <row r="712" spans="1:16" x14ac:dyDescent="0.25">
      <c r="A712" s="4">
        <v>710</v>
      </c>
      <c r="B712" s="4">
        <v>0.2576</v>
      </c>
      <c r="C712" s="4">
        <v>0.87</v>
      </c>
      <c r="D712" s="4">
        <v>8.9599999999999999E-2</v>
      </c>
      <c r="E712" s="4">
        <v>2</v>
      </c>
      <c r="F712" s="4">
        <v>34</v>
      </c>
      <c r="G712" s="4">
        <v>36</v>
      </c>
      <c r="H712" s="5">
        <v>40575</v>
      </c>
      <c r="I712" s="4">
        <v>1</v>
      </c>
      <c r="J712" s="4">
        <v>22</v>
      </c>
      <c r="K712" s="4" t="b">
        <f>IF(Append1[[#This Row],[days]]="working day",FALSE,TRUE)</f>
        <v>0</v>
      </c>
      <c r="L712" s="4">
        <v>2</v>
      </c>
      <c r="M712" s="4">
        <v>2</v>
      </c>
      <c r="N712" s="6">
        <v>0.22</v>
      </c>
      <c r="O712" s="2" t="str">
        <f>IF(Append1[[#This Row],[weekday]]=0,"holiday",IF(AND(Append1[[#This Row],[weekday]]&gt;1,Append1[[#This Row],[weekday]]&lt;7),"working day","weekend"))</f>
        <v>working day</v>
      </c>
      <c r="P712" s="4" t="str">
        <f>IF(Append1[[#This Row],[weathersit]]=0,"sunny",IF(Append1[[#This Row],[weathersit]]=1,"mist",IF(Append1[[#This Row],[weathersit]]=2,"lightrain","extremerain")))</f>
        <v>lightrain</v>
      </c>
    </row>
    <row r="713" spans="1:16" x14ac:dyDescent="0.25">
      <c r="A713" s="4">
        <v>711</v>
      </c>
      <c r="B713" s="4">
        <v>0.19700000000000001</v>
      </c>
      <c r="C713" s="4">
        <v>0.93</v>
      </c>
      <c r="D713" s="4">
        <v>0.19400000000000001</v>
      </c>
      <c r="E713" s="4">
        <v>1</v>
      </c>
      <c r="F713" s="4">
        <v>15</v>
      </c>
      <c r="G713" s="4">
        <v>16</v>
      </c>
      <c r="H713" s="5">
        <v>40575</v>
      </c>
      <c r="I713" s="4">
        <v>1</v>
      </c>
      <c r="J713" s="4">
        <v>23</v>
      </c>
      <c r="K713" s="4" t="b">
        <f>IF(Append1[[#This Row],[days]]="working day",FALSE,TRUE)</f>
        <v>0</v>
      </c>
      <c r="L713" s="4">
        <v>2</v>
      </c>
      <c r="M713" s="4">
        <v>3</v>
      </c>
      <c r="N713" s="6">
        <v>0.2</v>
      </c>
      <c r="O713" s="2" t="str">
        <f>IF(Append1[[#This Row],[weekday]]=0,"holiday",IF(AND(Append1[[#This Row],[weekday]]&gt;1,Append1[[#This Row],[weekday]]&lt;7),"working day","weekend"))</f>
        <v>working day</v>
      </c>
      <c r="P713" s="4" t="str">
        <f>IF(Append1[[#This Row],[weathersit]]=0,"sunny",IF(Append1[[#This Row],[weathersit]]=1,"mist",IF(Append1[[#This Row],[weathersit]]=2,"lightrain","extremerain")))</f>
        <v>extremerain</v>
      </c>
    </row>
    <row r="714" spans="1:16" x14ac:dyDescent="0.25">
      <c r="A714" s="4">
        <v>712</v>
      </c>
      <c r="B714" s="4">
        <v>0.2424</v>
      </c>
      <c r="C714" s="4">
        <v>0.93</v>
      </c>
      <c r="D714" s="4">
        <v>0.1045</v>
      </c>
      <c r="E714" s="4">
        <v>0</v>
      </c>
      <c r="F714" s="4">
        <v>2</v>
      </c>
      <c r="G714" s="4">
        <v>2</v>
      </c>
      <c r="H714" s="5">
        <v>40576</v>
      </c>
      <c r="I714" s="4">
        <v>1</v>
      </c>
      <c r="J714" s="4">
        <v>0</v>
      </c>
      <c r="K714" s="4" t="b">
        <f>IF(Append1[[#This Row],[days]]="working day",FALSE,TRUE)</f>
        <v>0</v>
      </c>
      <c r="L714" s="4">
        <v>3</v>
      </c>
      <c r="M714" s="4">
        <v>3</v>
      </c>
      <c r="N714" s="6">
        <v>0.22</v>
      </c>
      <c r="O714" s="2" t="str">
        <f>IF(Append1[[#This Row],[weekday]]=0,"holiday",IF(AND(Append1[[#This Row],[weekday]]&gt;1,Append1[[#This Row],[weekday]]&lt;7),"working day","weekend"))</f>
        <v>working day</v>
      </c>
      <c r="P714" s="4" t="str">
        <f>IF(Append1[[#This Row],[weathersit]]=0,"sunny",IF(Append1[[#This Row],[weathersit]]=1,"mist",IF(Append1[[#This Row],[weathersit]]=2,"lightrain","extremerain")))</f>
        <v>extremerain</v>
      </c>
    </row>
    <row r="715" spans="1:16" x14ac:dyDescent="0.25">
      <c r="A715" s="4">
        <v>713</v>
      </c>
      <c r="B715" s="4">
        <v>0.2273</v>
      </c>
      <c r="C715" s="4">
        <v>0.93</v>
      </c>
      <c r="D715" s="4">
        <v>0.19400000000000001</v>
      </c>
      <c r="E715" s="4">
        <v>0</v>
      </c>
      <c r="F715" s="4">
        <v>3</v>
      </c>
      <c r="G715" s="4">
        <v>3</v>
      </c>
      <c r="H715" s="5">
        <v>40576</v>
      </c>
      <c r="I715" s="4">
        <v>1</v>
      </c>
      <c r="J715" s="4">
        <v>1</v>
      </c>
      <c r="K715" s="4" t="b">
        <f>IF(Append1[[#This Row],[days]]="working day",FALSE,TRUE)</f>
        <v>0</v>
      </c>
      <c r="L715" s="4">
        <v>3</v>
      </c>
      <c r="M715" s="4">
        <v>3</v>
      </c>
      <c r="N715" s="6">
        <v>0.22</v>
      </c>
      <c r="O715" s="2" t="str">
        <f>IF(Append1[[#This Row],[weekday]]=0,"holiday",IF(AND(Append1[[#This Row],[weekday]]&gt;1,Append1[[#This Row],[weekday]]&lt;7),"working day","weekend"))</f>
        <v>working day</v>
      </c>
      <c r="P715" s="4" t="str">
        <f>IF(Append1[[#This Row],[weathersit]]=0,"sunny",IF(Append1[[#This Row],[weathersit]]=1,"mist",IF(Append1[[#This Row],[weathersit]]=2,"lightrain","extremerain")))</f>
        <v>extremerain</v>
      </c>
    </row>
    <row r="716" spans="1:16" x14ac:dyDescent="0.25">
      <c r="A716" s="4">
        <v>714</v>
      </c>
      <c r="B716" s="4">
        <v>0.2273</v>
      </c>
      <c r="C716" s="4">
        <v>0.93</v>
      </c>
      <c r="D716" s="4">
        <v>0.1343</v>
      </c>
      <c r="E716" s="4">
        <v>4</v>
      </c>
      <c r="F716" s="4">
        <v>0</v>
      </c>
      <c r="G716" s="4">
        <v>4</v>
      </c>
      <c r="H716" s="5">
        <v>40576</v>
      </c>
      <c r="I716" s="4">
        <v>1</v>
      </c>
      <c r="J716" s="4">
        <v>2</v>
      </c>
      <c r="K716" s="4" t="b">
        <f>IF(Append1[[#This Row],[days]]="working day",FALSE,TRUE)</f>
        <v>0</v>
      </c>
      <c r="L716" s="4">
        <v>3</v>
      </c>
      <c r="M716" s="4">
        <v>3</v>
      </c>
      <c r="N716" s="6">
        <v>0.22</v>
      </c>
      <c r="O716" s="2" t="str">
        <f>IF(Append1[[#This Row],[weekday]]=0,"holiday",IF(AND(Append1[[#This Row],[weekday]]&gt;1,Append1[[#This Row],[weekday]]&lt;7),"working day","weekend"))</f>
        <v>working day</v>
      </c>
      <c r="P716" s="4" t="str">
        <f>IF(Append1[[#This Row],[weathersit]]=0,"sunny",IF(Append1[[#This Row],[weathersit]]=1,"mist",IF(Append1[[#This Row],[weathersit]]=2,"lightrain","extremerain")))</f>
        <v>extremerain</v>
      </c>
    </row>
    <row r="717" spans="1:16" x14ac:dyDescent="0.25">
      <c r="A717" s="4">
        <v>715</v>
      </c>
      <c r="B717" s="4">
        <v>0.2273</v>
      </c>
      <c r="C717" s="4">
        <v>0.93</v>
      </c>
      <c r="D717" s="4">
        <v>0.1343</v>
      </c>
      <c r="E717" s="4">
        <v>0</v>
      </c>
      <c r="F717" s="4">
        <v>1</v>
      </c>
      <c r="G717" s="4">
        <v>1</v>
      </c>
      <c r="H717" s="5">
        <v>40576</v>
      </c>
      <c r="I717" s="4">
        <v>1</v>
      </c>
      <c r="J717" s="4">
        <v>3</v>
      </c>
      <c r="K717" s="4" t="b">
        <f>IF(Append1[[#This Row],[days]]="working day",FALSE,TRUE)</f>
        <v>0</v>
      </c>
      <c r="L717" s="4">
        <v>3</v>
      </c>
      <c r="M717" s="4">
        <v>3</v>
      </c>
      <c r="N717" s="6">
        <v>0.22</v>
      </c>
      <c r="O717" s="2" t="str">
        <f>IF(Append1[[#This Row],[weekday]]=0,"holiday",IF(AND(Append1[[#This Row],[weekday]]&gt;1,Append1[[#This Row],[weekday]]&lt;7),"working day","weekend"))</f>
        <v>working day</v>
      </c>
      <c r="P717" s="4" t="str">
        <f>IF(Append1[[#This Row],[weathersit]]=0,"sunny",IF(Append1[[#This Row],[weathersit]]=1,"mist",IF(Append1[[#This Row],[weathersit]]=2,"lightrain","extremerain")))</f>
        <v>extremerain</v>
      </c>
    </row>
    <row r="718" spans="1:16" x14ac:dyDescent="0.25">
      <c r="A718" s="4">
        <v>716</v>
      </c>
      <c r="B718" s="4">
        <v>0.21210000000000001</v>
      </c>
      <c r="C718" s="4">
        <v>0.93</v>
      </c>
      <c r="D718" s="4">
        <v>0.28360000000000002</v>
      </c>
      <c r="E718" s="4">
        <v>0</v>
      </c>
      <c r="F718" s="4">
        <v>1</v>
      </c>
      <c r="G718" s="4">
        <v>1</v>
      </c>
      <c r="H718" s="5">
        <v>40576</v>
      </c>
      <c r="I718" s="4">
        <v>1</v>
      </c>
      <c r="J718" s="4">
        <v>4</v>
      </c>
      <c r="K718" s="4" t="b">
        <f>IF(Append1[[#This Row],[days]]="working day",FALSE,TRUE)</f>
        <v>0</v>
      </c>
      <c r="L718" s="4">
        <v>3</v>
      </c>
      <c r="M718" s="4">
        <v>3</v>
      </c>
      <c r="N718" s="6">
        <v>0.22</v>
      </c>
      <c r="O718" s="2" t="str">
        <f>IF(Append1[[#This Row],[weekday]]=0,"holiday",IF(AND(Append1[[#This Row],[weekday]]&gt;1,Append1[[#This Row],[weekday]]&lt;7),"working day","weekend"))</f>
        <v>working day</v>
      </c>
      <c r="P718" s="4" t="str">
        <f>IF(Append1[[#This Row],[weathersit]]=0,"sunny",IF(Append1[[#This Row],[weathersit]]=1,"mist",IF(Append1[[#This Row],[weathersit]]=2,"lightrain","extremerain")))</f>
        <v>extremerain</v>
      </c>
    </row>
    <row r="719" spans="1:16" x14ac:dyDescent="0.25">
      <c r="A719" s="4">
        <v>717</v>
      </c>
      <c r="B719" s="4">
        <v>0.2424</v>
      </c>
      <c r="C719" s="4">
        <v>0.93</v>
      </c>
      <c r="D719" s="4">
        <v>0.1045</v>
      </c>
      <c r="E719" s="4">
        <v>0</v>
      </c>
      <c r="F719" s="4">
        <v>3</v>
      </c>
      <c r="G719" s="4">
        <v>3</v>
      </c>
      <c r="H719" s="5">
        <v>40576</v>
      </c>
      <c r="I719" s="4">
        <v>1</v>
      </c>
      <c r="J719" s="4">
        <v>5</v>
      </c>
      <c r="K719" s="4" t="b">
        <f>IF(Append1[[#This Row],[days]]="working day",FALSE,TRUE)</f>
        <v>0</v>
      </c>
      <c r="L719" s="4">
        <v>3</v>
      </c>
      <c r="M719" s="4">
        <v>3</v>
      </c>
      <c r="N719" s="6">
        <v>0.22</v>
      </c>
      <c r="O719" s="2" t="str">
        <f>IF(Append1[[#This Row],[weekday]]=0,"holiday",IF(AND(Append1[[#This Row],[weekday]]&gt;1,Append1[[#This Row],[weekday]]&lt;7),"working day","weekend"))</f>
        <v>working day</v>
      </c>
      <c r="P719" s="4" t="str">
        <f>IF(Append1[[#This Row],[weathersit]]=0,"sunny",IF(Append1[[#This Row],[weathersit]]=1,"mist",IF(Append1[[#This Row],[weathersit]]=2,"lightrain","extremerain")))</f>
        <v>extremerain</v>
      </c>
    </row>
    <row r="720" spans="1:16" x14ac:dyDescent="0.25">
      <c r="A720" s="4">
        <v>718</v>
      </c>
      <c r="B720" s="4">
        <v>0.2424</v>
      </c>
      <c r="C720" s="4">
        <v>0.93</v>
      </c>
      <c r="D720" s="4">
        <v>0.1045</v>
      </c>
      <c r="E720" s="4">
        <v>1</v>
      </c>
      <c r="F720" s="4">
        <v>17</v>
      </c>
      <c r="G720" s="4">
        <v>18</v>
      </c>
      <c r="H720" s="5">
        <v>40576</v>
      </c>
      <c r="I720" s="4">
        <v>1</v>
      </c>
      <c r="J720" s="4">
        <v>6</v>
      </c>
      <c r="K720" s="4" t="b">
        <f>IF(Append1[[#This Row],[days]]="working day",FALSE,TRUE)</f>
        <v>0</v>
      </c>
      <c r="L720" s="4">
        <v>3</v>
      </c>
      <c r="M720" s="4">
        <v>3</v>
      </c>
      <c r="N720" s="6">
        <v>0.22</v>
      </c>
      <c r="O720" s="2" t="str">
        <f>IF(Append1[[#This Row],[weekday]]=0,"holiday",IF(AND(Append1[[#This Row],[weekday]]&gt;1,Append1[[#This Row],[weekday]]&lt;7),"working day","weekend"))</f>
        <v>working day</v>
      </c>
      <c r="P720" s="4" t="str">
        <f>IF(Append1[[#This Row],[weathersit]]=0,"sunny",IF(Append1[[#This Row],[weathersit]]=1,"mist",IF(Append1[[#This Row],[weathersit]]=2,"lightrain","extremerain")))</f>
        <v>extremerain</v>
      </c>
    </row>
    <row r="721" spans="1:16" x14ac:dyDescent="0.25">
      <c r="A721" s="4">
        <v>719</v>
      </c>
      <c r="B721" s="4">
        <v>0.21210000000000001</v>
      </c>
      <c r="C721" s="4">
        <v>0.93</v>
      </c>
      <c r="D721" s="4">
        <v>0.22389999999999999</v>
      </c>
      <c r="E721" s="4">
        <v>1</v>
      </c>
      <c r="F721" s="4">
        <v>48</v>
      </c>
      <c r="G721" s="4">
        <v>49</v>
      </c>
      <c r="H721" s="5">
        <v>40576</v>
      </c>
      <c r="I721" s="4">
        <v>1</v>
      </c>
      <c r="J721" s="4">
        <v>7</v>
      </c>
      <c r="K721" s="4" t="b">
        <f>IF(Append1[[#This Row],[days]]="working day",FALSE,TRUE)</f>
        <v>0</v>
      </c>
      <c r="L721" s="4">
        <v>3</v>
      </c>
      <c r="M721" s="4">
        <v>3</v>
      </c>
      <c r="N721" s="6">
        <v>0.22</v>
      </c>
      <c r="O721" s="2" t="str">
        <f>IF(Append1[[#This Row],[weekday]]=0,"holiday",IF(AND(Append1[[#This Row],[weekday]]&gt;1,Append1[[#This Row],[weekday]]&lt;7),"working day","weekend"))</f>
        <v>working day</v>
      </c>
      <c r="P721" s="4" t="str">
        <f>IF(Append1[[#This Row],[weathersit]]=0,"sunny",IF(Append1[[#This Row],[weathersit]]=1,"mist",IF(Append1[[#This Row],[weathersit]]=2,"lightrain","extremerain")))</f>
        <v>extremerain</v>
      </c>
    </row>
    <row r="722" spans="1:16" x14ac:dyDescent="0.25">
      <c r="A722" s="4">
        <v>720</v>
      </c>
      <c r="B722" s="4">
        <v>0.21210000000000001</v>
      </c>
      <c r="C722" s="4">
        <v>0.93</v>
      </c>
      <c r="D722" s="4">
        <v>0.22389999999999999</v>
      </c>
      <c r="E722" s="4">
        <v>1</v>
      </c>
      <c r="F722" s="4">
        <v>154</v>
      </c>
      <c r="G722" s="4">
        <v>155</v>
      </c>
      <c r="H722" s="5">
        <v>40576</v>
      </c>
      <c r="I722" s="4">
        <v>1</v>
      </c>
      <c r="J722" s="4">
        <v>8</v>
      </c>
      <c r="K722" s="4" t="b">
        <f>IF(Append1[[#This Row],[days]]="working day",FALSE,TRUE)</f>
        <v>0</v>
      </c>
      <c r="L722" s="4">
        <v>3</v>
      </c>
      <c r="M722" s="4">
        <v>3</v>
      </c>
      <c r="N722" s="6">
        <v>0.22</v>
      </c>
      <c r="O722" s="2" t="str">
        <f>IF(Append1[[#This Row],[weekday]]=0,"holiday",IF(AND(Append1[[#This Row],[weekday]]&gt;1,Append1[[#This Row],[weekday]]&lt;7),"working day","weekend"))</f>
        <v>working day</v>
      </c>
      <c r="P722" s="4" t="str">
        <f>IF(Append1[[#This Row],[weathersit]]=0,"sunny",IF(Append1[[#This Row],[weathersit]]=1,"mist",IF(Append1[[#This Row],[weathersit]]=2,"lightrain","extremerain")))</f>
        <v>extremerain</v>
      </c>
    </row>
    <row r="723" spans="1:16" x14ac:dyDescent="0.25">
      <c r="A723" s="4">
        <v>721</v>
      </c>
      <c r="B723" s="4">
        <v>0.2576</v>
      </c>
      <c r="C723" s="4">
        <v>0.93</v>
      </c>
      <c r="D723" s="4">
        <v>8.9599999999999999E-2</v>
      </c>
      <c r="E723" s="4">
        <v>4</v>
      </c>
      <c r="F723" s="4">
        <v>119</v>
      </c>
      <c r="G723" s="4">
        <v>123</v>
      </c>
      <c r="H723" s="5">
        <v>40576</v>
      </c>
      <c r="I723" s="4">
        <v>1</v>
      </c>
      <c r="J723" s="4">
        <v>9</v>
      </c>
      <c r="K723" s="4" t="b">
        <f>IF(Append1[[#This Row],[days]]="working day",FALSE,TRUE)</f>
        <v>0</v>
      </c>
      <c r="L723" s="4">
        <v>3</v>
      </c>
      <c r="M723" s="4">
        <v>2</v>
      </c>
      <c r="N723" s="6">
        <v>0.24</v>
      </c>
      <c r="O723" s="2" t="str">
        <f>IF(Append1[[#This Row],[weekday]]=0,"holiday",IF(AND(Append1[[#This Row],[weekday]]&gt;1,Append1[[#This Row],[weekday]]&lt;7),"working day","weekend"))</f>
        <v>working day</v>
      </c>
      <c r="P723" s="4" t="str">
        <f>IF(Append1[[#This Row],[weathersit]]=0,"sunny",IF(Append1[[#This Row],[weathersit]]=1,"mist",IF(Append1[[#This Row],[weathersit]]=2,"lightrain","extremerain")))</f>
        <v>lightrain</v>
      </c>
    </row>
    <row r="724" spans="1:16" x14ac:dyDescent="0.25">
      <c r="A724" s="4">
        <v>722</v>
      </c>
      <c r="B724" s="4">
        <v>0.2727</v>
      </c>
      <c r="C724" s="4">
        <v>1</v>
      </c>
      <c r="D724" s="4">
        <v>0</v>
      </c>
      <c r="E724" s="4">
        <v>2</v>
      </c>
      <c r="F724" s="4">
        <v>59</v>
      </c>
      <c r="G724" s="4">
        <v>61</v>
      </c>
      <c r="H724" s="5">
        <v>40576</v>
      </c>
      <c r="I724" s="4">
        <v>1</v>
      </c>
      <c r="J724" s="4">
        <v>10</v>
      </c>
      <c r="K724" s="4" t="b">
        <f>IF(Append1[[#This Row],[days]]="working day",FALSE,TRUE)</f>
        <v>0</v>
      </c>
      <c r="L724" s="4">
        <v>3</v>
      </c>
      <c r="M724" s="4">
        <v>2</v>
      </c>
      <c r="N724" s="6">
        <v>0.22</v>
      </c>
      <c r="O724" s="2" t="str">
        <f>IF(Append1[[#This Row],[weekday]]=0,"holiday",IF(AND(Append1[[#This Row],[weekday]]&gt;1,Append1[[#This Row],[weekday]]&lt;7),"working day","weekend"))</f>
        <v>working day</v>
      </c>
      <c r="P724" s="4" t="str">
        <f>IF(Append1[[#This Row],[weathersit]]=0,"sunny",IF(Append1[[#This Row],[weathersit]]=1,"mist",IF(Append1[[#This Row],[weathersit]]=2,"lightrain","extremerain")))</f>
        <v>lightrain</v>
      </c>
    </row>
    <row r="725" spans="1:16" x14ac:dyDescent="0.25">
      <c r="A725" s="4">
        <v>723</v>
      </c>
      <c r="B725" s="4">
        <v>0.2273</v>
      </c>
      <c r="C725" s="4">
        <v>0.93</v>
      </c>
      <c r="D725" s="4">
        <v>0.19400000000000001</v>
      </c>
      <c r="E725" s="4">
        <v>5</v>
      </c>
      <c r="F725" s="4">
        <v>47</v>
      </c>
      <c r="G725" s="4">
        <v>52</v>
      </c>
      <c r="H725" s="5">
        <v>40576</v>
      </c>
      <c r="I725" s="4">
        <v>1</v>
      </c>
      <c r="J725" s="4">
        <v>11</v>
      </c>
      <c r="K725" s="4" t="b">
        <f>IF(Append1[[#This Row],[days]]="working day",FALSE,TRUE)</f>
        <v>0</v>
      </c>
      <c r="L725" s="4">
        <v>3</v>
      </c>
      <c r="M725" s="4">
        <v>2</v>
      </c>
      <c r="N725" s="6">
        <v>0.24</v>
      </c>
      <c r="O725" s="2" t="str">
        <f>IF(Append1[[#This Row],[weekday]]=0,"holiday",IF(AND(Append1[[#This Row],[weekday]]&gt;1,Append1[[#This Row],[weekday]]&lt;7),"working day","weekend"))</f>
        <v>working day</v>
      </c>
      <c r="P725" s="4" t="str">
        <f>IF(Append1[[#This Row],[weathersit]]=0,"sunny",IF(Append1[[#This Row],[weathersit]]=1,"mist",IF(Append1[[#This Row],[weathersit]]=2,"lightrain","extremerain")))</f>
        <v>lightrain</v>
      </c>
    </row>
    <row r="726" spans="1:16" x14ac:dyDescent="0.25">
      <c r="A726" s="4">
        <v>724</v>
      </c>
      <c r="B726" s="4">
        <v>0.2273</v>
      </c>
      <c r="C726" s="4">
        <v>0.93</v>
      </c>
      <c r="D726" s="4">
        <v>0.22389999999999999</v>
      </c>
      <c r="E726" s="4">
        <v>3</v>
      </c>
      <c r="F726" s="4">
        <v>61</v>
      </c>
      <c r="G726" s="4">
        <v>64</v>
      </c>
      <c r="H726" s="5">
        <v>40576</v>
      </c>
      <c r="I726" s="4">
        <v>1</v>
      </c>
      <c r="J726" s="4">
        <v>12</v>
      </c>
      <c r="K726" s="4" t="b">
        <f>IF(Append1[[#This Row],[days]]="working day",FALSE,TRUE)</f>
        <v>0</v>
      </c>
      <c r="L726" s="4">
        <v>3</v>
      </c>
      <c r="M726" s="4">
        <v>2</v>
      </c>
      <c r="N726" s="6">
        <v>0.24</v>
      </c>
      <c r="O726" s="2" t="str">
        <f>IF(Append1[[#This Row],[weekday]]=0,"holiday",IF(AND(Append1[[#This Row],[weekday]]&gt;1,Append1[[#This Row],[weekday]]&lt;7),"working day","weekend"))</f>
        <v>working day</v>
      </c>
      <c r="P726" s="4" t="str">
        <f>IF(Append1[[#This Row],[weathersit]]=0,"sunny",IF(Append1[[#This Row],[weathersit]]=1,"mist",IF(Append1[[#This Row],[weathersit]]=2,"lightrain","extremerain")))</f>
        <v>lightrain</v>
      </c>
    </row>
    <row r="727" spans="1:16" x14ac:dyDescent="0.25">
      <c r="A727" s="4">
        <v>725</v>
      </c>
      <c r="B727" s="4">
        <v>0.33329999999999999</v>
      </c>
      <c r="C727" s="4">
        <v>0.93</v>
      </c>
      <c r="D727" s="4">
        <v>0.16420000000000001</v>
      </c>
      <c r="E727" s="4">
        <v>1</v>
      </c>
      <c r="F727" s="4">
        <v>74</v>
      </c>
      <c r="G727" s="4">
        <v>75</v>
      </c>
      <c r="H727" s="5">
        <v>40576</v>
      </c>
      <c r="I727" s="4">
        <v>1</v>
      </c>
      <c r="J727" s="4">
        <v>13</v>
      </c>
      <c r="K727" s="4" t="b">
        <f>IF(Append1[[#This Row],[days]]="working day",FALSE,TRUE)</f>
        <v>0</v>
      </c>
      <c r="L727" s="4">
        <v>3</v>
      </c>
      <c r="M727" s="4">
        <v>1</v>
      </c>
      <c r="N727" s="6">
        <v>0.34</v>
      </c>
      <c r="O727" s="2" t="str">
        <f>IF(Append1[[#This Row],[weekday]]=0,"holiday",IF(AND(Append1[[#This Row],[weekday]]&gt;1,Append1[[#This Row],[weekday]]&lt;7),"working day","weekend"))</f>
        <v>working day</v>
      </c>
      <c r="P727" s="4" t="str">
        <f>IF(Append1[[#This Row],[weathersit]]=0,"sunny",IF(Append1[[#This Row],[weathersit]]=1,"mist",IF(Append1[[#This Row],[weathersit]]=2,"lightrain","extremerain")))</f>
        <v>mist</v>
      </c>
    </row>
    <row r="728" spans="1:16" x14ac:dyDescent="0.25">
      <c r="A728" s="4">
        <v>726</v>
      </c>
      <c r="B728" s="4">
        <v>0.39389999999999997</v>
      </c>
      <c r="C728" s="4">
        <v>0.82</v>
      </c>
      <c r="D728" s="4">
        <v>0.3881</v>
      </c>
      <c r="E728" s="4">
        <v>2</v>
      </c>
      <c r="F728" s="4">
        <v>61</v>
      </c>
      <c r="G728" s="4">
        <v>63</v>
      </c>
      <c r="H728" s="5">
        <v>40576</v>
      </c>
      <c r="I728" s="4">
        <v>1</v>
      </c>
      <c r="J728" s="4">
        <v>14</v>
      </c>
      <c r="K728" s="4" t="b">
        <f>IF(Append1[[#This Row],[days]]="working day",FALSE,TRUE)</f>
        <v>0</v>
      </c>
      <c r="L728" s="4">
        <v>3</v>
      </c>
      <c r="M728" s="4">
        <v>1</v>
      </c>
      <c r="N728" s="6">
        <v>0.38</v>
      </c>
      <c r="O728" s="2" t="str">
        <f>IF(Append1[[#This Row],[weekday]]=0,"holiday",IF(AND(Append1[[#This Row],[weekday]]&gt;1,Append1[[#This Row],[weekday]]&lt;7),"working day","weekend"))</f>
        <v>working day</v>
      </c>
      <c r="P728" s="4" t="str">
        <f>IF(Append1[[#This Row],[weathersit]]=0,"sunny",IF(Append1[[#This Row],[weathersit]]=1,"mist",IF(Append1[[#This Row],[weathersit]]=2,"lightrain","extremerain")))</f>
        <v>mist</v>
      </c>
    </row>
    <row r="729" spans="1:16" x14ac:dyDescent="0.25">
      <c r="A729" s="4">
        <v>727</v>
      </c>
      <c r="B729" s="4">
        <v>0.39389999999999997</v>
      </c>
      <c r="C729" s="4">
        <v>0.76</v>
      </c>
      <c r="D729" s="4">
        <v>0.32840000000000003</v>
      </c>
      <c r="E729" s="4">
        <v>10</v>
      </c>
      <c r="F729" s="4">
        <v>66</v>
      </c>
      <c r="G729" s="4">
        <v>76</v>
      </c>
      <c r="H729" s="5">
        <v>40576</v>
      </c>
      <c r="I729" s="4">
        <v>1</v>
      </c>
      <c r="J729" s="4">
        <v>15</v>
      </c>
      <c r="K729" s="4" t="b">
        <f>IF(Append1[[#This Row],[days]]="working day",FALSE,TRUE)</f>
        <v>0</v>
      </c>
      <c r="L729" s="4">
        <v>3</v>
      </c>
      <c r="M729" s="4">
        <v>1</v>
      </c>
      <c r="N729" s="6">
        <v>0.38</v>
      </c>
      <c r="O729" s="2" t="str">
        <f>IF(Append1[[#This Row],[weekday]]=0,"holiday",IF(AND(Append1[[#This Row],[weekday]]&gt;1,Append1[[#This Row],[weekday]]&lt;7),"working day","weekend"))</f>
        <v>working day</v>
      </c>
      <c r="P729" s="4" t="str">
        <f>IF(Append1[[#This Row],[weathersit]]=0,"sunny",IF(Append1[[#This Row],[weathersit]]=1,"mist",IF(Append1[[#This Row],[weathersit]]=2,"lightrain","extremerain")))</f>
        <v>mist</v>
      </c>
    </row>
    <row r="730" spans="1:16" x14ac:dyDescent="0.25">
      <c r="A730" s="4">
        <v>728</v>
      </c>
      <c r="B730" s="4">
        <v>0.33329999999999999</v>
      </c>
      <c r="C730" s="4">
        <v>0.71</v>
      </c>
      <c r="D730" s="4">
        <v>0.29849999999999999</v>
      </c>
      <c r="E730" s="4">
        <v>8</v>
      </c>
      <c r="F730" s="4">
        <v>95</v>
      </c>
      <c r="G730" s="4">
        <v>103</v>
      </c>
      <c r="H730" s="5">
        <v>40576</v>
      </c>
      <c r="I730" s="4">
        <v>1</v>
      </c>
      <c r="J730" s="4">
        <v>16</v>
      </c>
      <c r="K730" s="4" t="b">
        <f>IF(Append1[[#This Row],[days]]="working day",FALSE,TRUE)</f>
        <v>0</v>
      </c>
      <c r="L730" s="4">
        <v>3</v>
      </c>
      <c r="M730" s="4">
        <v>1</v>
      </c>
      <c r="N730" s="6">
        <v>0.36</v>
      </c>
      <c r="O730" s="2" t="str">
        <f>IF(Append1[[#This Row],[weekday]]=0,"holiday",IF(AND(Append1[[#This Row],[weekday]]&gt;1,Append1[[#This Row],[weekday]]&lt;7),"working day","weekend"))</f>
        <v>working day</v>
      </c>
      <c r="P730" s="4" t="str">
        <f>IF(Append1[[#This Row],[weathersit]]=0,"sunny",IF(Append1[[#This Row],[weathersit]]=1,"mist",IF(Append1[[#This Row],[weathersit]]=2,"lightrain","extremerain")))</f>
        <v>mist</v>
      </c>
    </row>
    <row r="731" spans="1:16" x14ac:dyDescent="0.25">
      <c r="A731" s="4">
        <v>729</v>
      </c>
      <c r="B731" s="4">
        <v>0.31819999999999998</v>
      </c>
      <c r="C731" s="4">
        <v>0.53</v>
      </c>
      <c r="D731" s="4">
        <v>0.52239999999999998</v>
      </c>
      <c r="E731" s="4">
        <v>7</v>
      </c>
      <c r="F731" s="4">
        <v>183</v>
      </c>
      <c r="G731" s="4">
        <v>190</v>
      </c>
      <c r="H731" s="5">
        <v>40576</v>
      </c>
      <c r="I731" s="4">
        <v>1</v>
      </c>
      <c r="J731" s="4">
        <v>17</v>
      </c>
      <c r="K731" s="4" t="b">
        <f>IF(Append1[[#This Row],[days]]="working day",FALSE,TRUE)</f>
        <v>0</v>
      </c>
      <c r="L731" s="4">
        <v>3</v>
      </c>
      <c r="M731" s="4">
        <v>1</v>
      </c>
      <c r="N731" s="6">
        <v>0.36</v>
      </c>
      <c r="O731" s="2" t="str">
        <f>IF(Append1[[#This Row],[weekday]]=0,"holiday",IF(AND(Append1[[#This Row],[weekday]]&gt;1,Append1[[#This Row],[weekday]]&lt;7),"working day","weekend"))</f>
        <v>working day</v>
      </c>
      <c r="P731" s="4" t="str">
        <f>IF(Append1[[#This Row],[weathersit]]=0,"sunny",IF(Append1[[#This Row],[weathersit]]=1,"mist",IF(Append1[[#This Row],[weathersit]]=2,"lightrain","extremerain")))</f>
        <v>mist</v>
      </c>
    </row>
    <row r="732" spans="1:16" x14ac:dyDescent="0.25">
      <c r="A732" s="4">
        <v>730</v>
      </c>
      <c r="B732" s="4">
        <v>0.28789999999999999</v>
      </c>
      <c r="C732" s="4">
        <v>0.42</v>
      </c>
      <c r="D732" s="4">
        <v>0.55220000000000002</v>
      </c>
      <c r="E732" s="4">
        <v>7</v>
      </c>
      <c r="F732" s="4">
        <v>175</v>
      </c>
      <c r="G732" s="4">
        <v>182</v>
      </c>
      <c r="H732" s="5">
        <v>40576</v>
      </c>
      <c r="I732" s="4">
        <v>1</v>
      </c>
      <c r="J732" s="4">
        <v>18</v>
      </c>
      <c r="K732" s="4" t="b">
        <f>IF(Append1[[#This Row],[days]]="working day",FALSE,TRUE)</f>
        <v>0</v>
      </c>
      <c r="L732" s="4">
        <v>3</v>
      </c>
      <c r="M732" s="4">
        <v>1</v>
      </c>
      <c r="N732" s="6">
        <v>0.34</v>
      </c>
      <c r="O732" s="2" t="str">
        <f>IF(Append1[[#This Row],[weekday]]=0,"holiday",IF(AND(Append1[[#This Row],[weekday]]&gt;1,Append1[[#This Row],[weekday]]&lt;7),"working day","weekend"))</f>
        <v>working day</v>
      </c>
      <c r="P732" s="4" t="str">
        <f>IF(Append1[[#This Row],[weathersit]]=0,"sunny",IF(Append1[[#This Row],[weathersit]]=1,"mist",IF(Append1[[#This Row],[weathersit]]=2,"lightrain","extremerain")))</f>
        <v>mist</v>
      </c>
    </row>
    <row r="733" spans="1:16" x14ac:dyDescent="0.25">
      <c r="A733" s="4">
        <v>731</v>
      </c>
      <c r="B733" s="4">
        <v>0.2424</v>
      </c>
      <c r="C733" s="4">
        <v>0.45</v>
      </c>
      <c r="D733" s="4">
        <v>0.49249999999999999</v>
      </c>
      <c r="E733" s="4">
        <v>3</v>
      </c>
      <c r="F733" s="4">
        <v>88</v>
      </c>
      <c r="G733" s="4">
        <v>91</v>
      </c>
      <c r="H733" s="5">
        <v>40576</v>
      </c>
      <c r="I733" s="4">
        <v>1</v>
      </c>
      <c r="J733" s="4">
        <v>19</v>
      </c>
      <c r="K733" s="4" t="b">
        <f>IF(Append1[[#This Row],[days]]="working day",FALSE,TRUE)</f>
        <v>0</v>
      </c>
      <c r="L733" s="4">
        <v>3</v>
      </c>
      <c r="M733" s="4">
        <v>1</v>
      </c>
      <c r="N733" s="6">
        <v>0.28000000000000003</v>
      </c>
      <c r="O733" s="2" t="str">
        <f>IF(Append1[[#This Row],[weekday]]=0,"holiday",IF(AND(Append1[[#This Row],[weekday]]&gt;1,Append1[[#This Row],[weekday]]&lt;7),"working day","weekend"))</f>
        <v>working day</v>
      </c>
      <c r="P733" s="4" t="str">
        <f>IF(Append1[[#This Row],[weathersit]]=0,"sunny",IF(Append1[[#This Row],[weathersit]]=1,"mist",IF(Append1[[#This Row],[weathersit]]=2,"lightrain","extremerain")))</f>
        <v>mist</v>
      </c>
    </row>
    <row r="734" spans="1:16" x14ac:dyDescent="0.25">
      <c r="A734" s="4">
        <v>732</v>
      </c>
      <c r="B734" s="4">
        <v>0.19700000000000001</v>
      </c>
      <c r="C734" s="4">
        <v>0.48</v>
      </c>
      <c r="D734" s="4">
        <v>0.55220000000000002</v>
      </c>
      <c r="E734" s="4">
        <v>4</v>
      </c>
      <c r="F734" s="4">
        <v>71</v>
      </c>
      <c r="G734" s="4">
        <v>75</v>
      </c>
      <c r="H734" s="5">
        <v>40576</v>
      </c>
      <c r="I734" s="4">
        <v>1</v>
      </c>
      <c r="J734" s="4">
        <v>20</v>
      </c>
      <c r="K734" s="4" t="b">
        <f>IF(Append1[[#This Row],[days]]="working day",FALSE,TRUE)</f>
        <v>0</v>
      </c>
      <c r="L734" s="4">
        <v>3</v>
      </c>
      <c r="M734" s="4">
        <v>1</v>
      </c>
      <c r="N734" s="6">
        <v>0.24</v>
      </c>
      <c r="O734" s="2" t="str">
        <f>IF(Append1[[#This Row],[weekday]]=0,"holiday",IF(AND(Append1[[#This Row],[weekday]]&gt;1,Append1[[#This Row],[weekday]]&lt;7),"working day","weekend"))</f>
        <v>working day</v>
      </c>
      <c r="P734" s="4" t="str">
        <f>IF(Append1[[#This Row],[weathersit]]=0,"sunny",IF(Append1[[#This Row],[weathersit]]=1,"mist",IF(Append1[[#This Row],[weathersit]]=2,"lightrain","extremerain")))</f>
        <v>mist</v>
      </c>
    </row>
    <row r="735" spans="1:16" x14ac:dyDescent="0.25">
      <c r="A735" s="4">
        <v>733</v>
      </c>
      <c r="B735" s="4">
        <v>0.19700000000000001</v>
      </c>
      <c r="C735" s="4">
        <v>0.47</v>
      </c>
      <c r="D735" s="4">
        <v>0.32840000000000003</v>
      </c>
      <c r="E735" s="4">
        <v>1</v>
      </c>
      <c r="F735" s="4">
        <v>62</v>
      </c>
      <c r="G735" s="4">
        <v>63</v>
      </c>
      <c r="H735" s="5">
        <v>40576</v>
      </c>
      <c r="I735" s="4">
        <v>1</v>
      </c>
      <c r="J735" s="4">
        <v>21</v>
      </c>
      <c r="K735" s="4" t="b">
        <f>IF(Append1[[#This Row],[days]]="working day",FALSE,TRUE)</f>
        <v>0</v>
      </c>
      <c r="L735" s="4">
        <v>3</v>
      </c>
      <c r="M735" s="4">
        <v>1</v>
      </c>
      <c r="N735" s="6">
        <v>0.22</v>
      </c>
      <c r="O735" s="2" t="str">
        <f>IF(Append1[[#This Row],[weekday]]=0,"holiday",IF(AND(Append1[[#This Row],[weekday]]&gt;1,Append1[[#This Row],[weekday]]&lt;7),"working day","weekend"))</f>
        <v>working day</v>
      </c>
      <c r="P735" s="4" t="str">
        <f>IF(Append1[[#This Row],[weathersit]]=0,"sunny",IF(Append1[[#This Row],[weathersit]]=1,"mist",IF(Append1[[#This Row],[weathersit]]=2,"lightrain","extremerain")))</f>
        <v>mist</v>
      </c>
    </row>
    <row r="736" spans="1:16" x14ac:dyDescent="0.25">
      <c r="A736" s="4">
        <v>734</v>
      </c>
      <c r="B736" s="4">
        <v>0.21210000000000001</v>
      </c>
      <c r="C736" s="4">
        <v>0.44</v>
      </c>
      <c r="D736" s="4">
        <v>0.25369999999999998</v>
      </c>
      <c r="E736" s="4">
        <v>5</v>
      </c>
      <c r="F736" s="4">
        <v>35</v>
      </c>
      <c r="G736" s="4">
        <v>40</v>
      </c>
      <c r="H736" s="5">
        <v>40576</v>
      </c>
      <c r="I736" s="4">
        <v>1</v>
      </c>
      <c r="J736" s="4">
        <v>22</v>
      </c>
      <c r="K736" s="4" t="b">
        <f>IF(Append1[[#This Row],[days]]="working day",FALSE,TRUE)</f>
        <v>0</v>
      </c>
      <c r="L736" s="4">
        <v>3</v>
      </c>
      <c r="M736" s="4">
        <v>1</v>
      </c>
      <c r="N736" s="6">
        <v>0.22</v>
      </c>
      <c r="O736" s="2" t="str">
        <f>IF(Append1[[#This Row],[weekday]]=0,"holiday",IF(AND(Append1[[#This Row],[weekday]]&gt;1,Append1[[#This Row],[weekday]]&lt;7),"working day","weekend"))</f>
        <v>working day</v>
      </c>
      <c r="P736" s="4" t="str">
        <f>IF(Append1[[#This Row],[weathersit]]=0,"sunny",IF(Append1[[#This Row],[weathersit]]=1,"mist",IF(Append1[[#This Row],[weathersit]]=2,"lightrain","extremerain")))</f>
        <v>mist</v>
      </c>
    </row>
    <row r="737" spans="1:16" x14ac:dyDescent="0.25">
      <c r="A737" s="4">
        <v>735</v>
      </c>
      <c r="B737" s="4">
        <v>0.16669999999999999</v>
      </c>
      <c r="C737" s="4">
        <v>0.44</v>
      </c>
      <c r="D737" s="4">
        <v>0.44779999999999998</v>
      </c>
      <c r="E737" s="4">
        <v>3</v>
      </c>
      <c r="F737" s="4">
        <v>29</v>
      </c>
      <c r="G737" s="4">
        <v>32</v>
      </c>
      <c r="H737" s="5">
        <v>40576</v>
      </c>
      <c r="I737" s="4">
        <v>1</v>
      </c>
      <c r="J737" s="4">
        <v>23</v>
      </c>
      <c r="K737" s="4" t="b">
        <f>IF(Append1[[#This Row],[days]]="working day",FALSE,TRUE)</f>
        <v>0</v>
      </c>
      <c r="L737" s="4">
        <v>3</v>
      </c>
      <c r="M737" s="4">
        <v>1</v>
      </c>
      <c r="N737" s="6">
        <v>0.2</v>
      </c>
      <c r="O737" s="2" t="str">
        <f>IF(Append1[[#This Row],[weekday]]=0,"holiday",IF(AND(Append1[[#This Row],[weekday]]&gt;1,Append1[[#This Row],[weekday]]&lt;7),"working day","weekend"))</f>
        <v>working day</v>
      </c>
      <c r="P737" s="4" t="str">
        <f>IF(Append1[[#This Row],[weathersit]]=0,"sunny",IF(Append1[[#This Row],[weathersit]]=1,"mist",IF(Append1[[#This Row],[weathersit]]=2,"lightrain","extremerain")))</f>
        <v>mist</v>
      </c>
    </row>
    <row r="738" spans="1:16" x14ac:dyDescent="0.25">
      <c r="A738" s="4">
        <v>736</v>
      </c>
      <c r="B738" s="4">
        <v>0.16669999999999999</v>
      </c>
      <c r="C738" s="4">
        <v>0.4</v>
      </c>
      <c r="D738" s="4">
        <v>0.44779999999999998</v>
      </c>
      <c r="E738" s="4">
        <v>1</v>
      </c>
      <c r="F738" s="4">
        <v>11</v>
      </c>
      <c r="G738" s="4">
        <v>12</v>
      </c>
      <c r="H738" s="5">
        <v>40577</v>
      </c>
      <c r="I738" s="4">
        <v>1</v>
      </c>
      <c r="J738" s="4">
        <v>0</v>
      </c>
      <c r="K738" s="4" t="b">
        <f>IF(Append1[[#This Row],[days]]="working day",FALSE,TRUE)</f>
        <v>0</v>
      </c>
      <c r="L738" s="4">
        <v>4</v>
      </c>
      <c r="M738" s="4">
        <v>1</v>
      </c>
      <c r="N738" s="6">
        <v>0.2</v>
      </c>
      <c r="O738" s="2" t="str">
        <f>IF(Append1[[#This Row],[weekday]]=0,"holiday",IF(AND(Append1[[#This Row],[weekday]]&gt;1,Append1[[#This Row],[weekday]]&lt;7),"working day","weekend"))</f>
        <v>working day</v>
      </c>
      <c r="P738" s="4" t="str">
        <f>IF(Append1[[#This Row],[weathersit]]=0,"sunny",IF(Append1[[#This Row],[weathersit]]=1,"mist",IF(Append1[[#This Row],[weathersit]]=2,"lightrain","extremerain")))</f>
        <v>mist</v>
      </c>
    </row>
    <row r="739" spans="1:16" x14ac:dyDescent="0.25">
      <c r="A739" s="4">
        <v>737</v>
      </c>
      <c r="B739" s="4">
        <v>0.1515</v>
      </c>
      <c r="C739" s="4">
        <v>0.44</v>
      </c>
      <c r="D739" s="4">
        <v>0.52239999999999998</v>
      </c>
      <c r="E739" s="4">
        <v>0</v>
      </c>
      <c r="F739" s="4">
        <v>5</v>
      </c>
      <c r="G739" s="4">
        <v>5</v>
      </c>
      <c r="H739" s="5">
        <v>40577</v>
      </c>
      <c r="I739" s="4">
        <v>1</v>
      </c>
      <c r="J739" s="4">
        <v>1</v>
      </c>
      <c r="K739" s="4" t="b">
        <f>IF(Append1[[#This Row],[days]]="working day",FALSE,TRUE)</f>
        <v>0</v>
      </c>
      <c r="L739" s="4">
        <v>4</v>
      </c>
      <c r="M739" s="4">
        <v>1</v>
      </c>
      <c r="N739" s="6">
        <v>0.2</v>
      </c>
      <c r="O739" s="2" t="str">
        <f>IF(Append1[[#This Row],[weekday]]=0,"holiday",IF(AND(Append1[[#This Row],[weekday]]&gt;1,Append1[[#This Row],[weekday]]&lt;7),"working day","weekend"))</f>
        <v>working day</v>
      </c>
      <c r="P739" s="4" t="str">
        <f>IF(Append1[[#This Row],[weathersit]]=0,"sunny",IF(Append1[[#This Row],[weathersit]]=1,"mist",IF(Append1[[#This Row],[weathersit]]=2,"lightrain","extremerain")))</f>
        <v>mist</v>
      </c>
    </row>
    <row r="740" spans="1:16" x14ac:dyDescent="0.25">
      <c r="A740" s="4">
        <v>738</v>
      </c>
      <c r="B740" s="4">
        <v>0.16669999999999999</v>
      </c>
      <c r="C740" s="4">
        <v>0.43</v>
      </c>
      <c r="D740" s="4">
        <v>0.25369999999999998</v>
      </c>
      <c r="E740" s="4">
        <v>0</v>
      </c>
      <c r="F740" s="4">
        <v>2</v>
      </c>
      <c r="G740" s="4">
        <v>2</v>
      </c>
      <c r="H740" s="5">
        <v>40577</v>
      </c>
      <c r="I740" s="4">
        <v>1</v>
      </c>
      <c r="J740" s="4">
        <v>2</v>
      </c>
      <c r="K740" s="4" t="b">
        <f>IF(Append1[[#This Row],[days]]="working day",FALSE,TRUE)</f>
        <v>0</v>
      </c>
      <c r="L740" s="4">
        <v>4</v>
      </c>
      <c r="M740" s="4">
        <v>1</v>
      </c>
      <c r="N740" s="6">
        <v>0.18</v>
      </c>
      <c r="O740" s="2" t="str">
        <f>IF(Append1[[#This Row],[weekday]]=0,"holiday",IF(AND(Append1[[#This Row],[weekday]]&gt;1,Append1[[#This Row],[weekday]]&lt;7),"working day","weekend"))</f>
        <v>working day</v>
      </c>
      <c r="P740" s="4" t="str">
        <f>IF(Append1[[#This Row],[weathersit]]=0,"sunny",IF(Append1[[#This Row],[weathersit]]=1,"mist",IF(Append1[[#This Row],[weathersit]]=2,"lightrain","extremerain")))</f>
        <v>mist</v>
      </c>
    </row>
    <row r="741" spans="1:16" x14ac:dyDescent="0.25">
      <c r="A741" s="4">
        <v>739</v>
      </c>
      <c r="B741" s="4">
        <v>0.16669999999999999</v>
      </c>
      <c r="C741" s="4">
        <v>0.43</v>
      </c>
      <c r="D741" s="4">
        <v>0.25369999999999998</v>
      </c>
      <c r="E741" s="4">
        <v>0</v>
      </c>
      <c r="F741" s="4">
        <v>1</v>
      </c>
      <c r="G741" s="4">
        <v>1</v>
      </c>
      <c r="H741" s="5">
        <v>40577</v>
      </c>
      <c r="I741" s="4">
        <v>1</v>
      </c>
      <c r="J741" s="4">
        <v>3</v>
      </c>
      <c r="K741" s="4" t="b">
        <f>IF(Append1[[#This Row],[days]]="working day",FALSE,TRUE)</f>
        <v>0</v>
      </c>
      <c r="L741" s="4">
        <v>4</v>
      </c>
      <c r="M741" s="4">
        <v>1</v>
      </c>
      <c r="N741" s="6">
        <v>0.18</v>
      </c>
      <c r="O741" s="2" t="str">
        <f>IF(Append1[[#This Row],[weekday]]=0,"holiday",IF(AND(Append1[[#This Row],[weekday]]&gt;1,Append1[[#This Row],[weekday]]&lt;7),"working day","weekend"))</f>
        <v>working day</v>
      </c>
      <c r="P741" s="4" t="str">
        <f>IF(Append1[[#This Row],[weathersit]]=0,"sunny",IF(Append1[[#This Row],[weathersit]]=1,"mist",IF(Append1[[#This Row],[weathersit]]=2,"lightrain","extremerain")))</f>
        <v>mist</v>
      </c>
    </row>
    <row r="742" spans="1:16" x14ac:dyDescent="0.25">
      <c r="A742" s="4">
        <v>740</v>
      </c>
      <c r="B742" s="4">
        <v>0.13639999999999999</v>
      </c>
      <c r="C742" s="4">
        <v>0.5</v>
      </c>
      <c r="D742" s="4">
        <v>0.29849999999999999</v>
      </c>
      <c r="E742" s="4">
        <v>0</v>
      </c>
      <c r="F742" s="4">
        <v>2</v>
      </c>
      <c r="G742" s="4">
        <v>2</v>
      </c>
      <c r="H742" s="5">
        <v>40577</v>
      </c>
      <c r="I742" s="4">
        <v>1</v>
      </c>
      <c r="J742" s="4">
        <v>5</v>
      </c>
      <c r="K742" s="4" t="b">
        <f>IF(Append1[[#This Row],[days]]="working day",FALSE,TRUE)</f>
        <v>0</v>
      </c>
      <c r="L742" s="4">
        <v>4</v>
      </c>
      <c r="M742" s="4">
        <v>1</v>
      </c>
      <c r="N742" s="6">
        <v>0.16</v>
      </c>
      <c r="O742" s="2" t="str">
        <f>IF(Append1[[#This Row],[weekday]]=0,"holiday",IF(AND(Append1[[#This Row],[weekday]]&gt;1,Append1[[#This Row],[weekday]]&lt;7),"working day","weekend"))</f>
        <v>working day</v>
      </c>
      <c r="P742" s="4" t="str">
        <f>IF(Append1[[#This Row],[weathersit]]=0,"sunny",IF(Append1[[#This Row],[weathersit]]=1,"mist",IF(Append1[[#This Row],[weathersit]]=2,"lightrain","extremerain")))</f>
        <v>mist</v>
      </c>
    </row>
    <row r="743" spans="1:16" x14ac:dyDescent="0.25">
      <c r="A743" s="4">
        <v>741</v>
      </c>
      <c r="B743" s="4">
        <v>0.13639999999999999</v>
      </c>
      <c r="C743" s="4">
        <v>0.43</v>
      </c>
      <c r="D743" s="4">
        <v>0.35820000000000002</v>
      </c>
      <c r="E743" s="4">
        <v>0</v>
      </c>
      <c r="F743" s="4">
        <v>39</v>
      </c>
      <c r="G743" s="4">
        <v>39</v>
      </c>
      <c r="H743" s="5">
        <v>40577</v>
      </c>
      <c r="I743" s="4">
        <v>1</v>
      </c>
      <c r="J743" s="4">
        <v>6</v>
      </c>
      <c r="K743" s="4" t="b">
        <f>IF(Append1[[#This Row],[days]]="working day",FALSE,TRUE)</f>
        <v>0</v>
      </c>
      <c r="L743" s="4">
        <v>4</v>
      </c>
      <c r="M743" s="4">
        <v>1</v>
      </c>
      <c r="N743" s="6">
        <v>0.16</v>
      </c>
      <c r="O743" s="2" t="str">
        <f>IF(Append1[[#This Row],[weekday]]=0,"holiday",IF(AND(Append1[[#This Row],[weekday]]&gt;1,Append1[[#This Row],[weekday]]&lt;7),"working day","weekend"))</f>
        <v>working day</v>
      </c>
      <c r="P743" s="4" t="str">
        <f>IF(Append1[[#This Row],[weathersit]]=0,"sunny",IF(Append1[[#This Row],[weathersit]]=1,"mist",IF(Append1[[#This Row],[weathersit]]=2,"lightrain","extremerain")))</f>
        <v>mist</v>
      </c>
    </row>
    <row r="744" spans="1:16" x14ac:dyDescent="0.25">
      <c r="A744" s="4">
        <v>742</v>
      </c>
      <c r="B744" s="4">
        <v>0.1212</v>
      </c>
      <c r="C744" s="4">
        <v>0.5</v>
      </c>
      <c r="D744" s="4">
        <v>0.32840000000000003</v>
      </c>
      <c r="E744" s="4">
        <v>1</v>
      </c>
      <c r="F744" s="4">
        <v>86</v>
      </c>
      <c r="G744" s="4">
        <v>87</v>
      </c>
      <c r="H744" s="5">
        <v>40577</v>
      </c>
      <c r="I744" s="4">
        <v>1</v>
      </c>
      <c r="J744" s="4">
        <v>7</v>
      </c>
      <c r="K744" s="4" t="b">
        <f>IF(Append1[[#This Row],[days]]="working day",FALSE,TRUE)</f>
        <v>0</v>
      </c>
      <c r="L744" s="4">
        <v>4</v>
      </c>
      <c r="M744" s="4">
        <v>1</v>
      </c>
      <c r="N744" s="6">
        <v>0.14000000000000001</v>
      </c>
      <c r="O744" s="2" t="str">
        <f>IF(Append1[[#This Row],[weekday]]=0,"holiday",IF(AND(Append1[[#This Row],[weekday]]&gt;1,Append1[[#This Row],[weekday]]&lt;7),"working day","weekend"))</f>
        <v>working day</v>
      </c>
      <c r="P744" s="4" t="str">
        <f>IF(Append1[[#This Row],[weathersit]]=0,"sunny",IF(Append1[[#This Row],[weathersit]]=1,"mist",IF(Append1[[#This Row],[weathersit]]=2,"lightrain","extremerain")))</f>
        <v>mist</v>
      </c>
    </row>
    <row r="745" spans="1:16" x14ac:dyDescent="0.25">
      <c r="A745" s="4">
        <v>743</v>
      </c>
      <c r="B745" s="4">
        <v>0.1212</v>
      </c>
      <c r="C745" s="4">
        <v>0.5</v>
      </c>
      <c r="D745" s="4">
        <v>0.35820000000000002</v>
      </c>
      <c r="E745" s="4">
        <v>4</v>
      </c>
      <c r="F745" s="4">
        <v>184</v>
      </c>
      <c r="G745" s="4">
        <v>188</v>
      </c>
      <c r="H745" s="5">
        <v>40577</v>
      </c>
      <c r="I745" s="4">
        <v>1</v>
      </c>
      <c r="J745" s="4">
        <v>8</v>
      </c>
      <c r="K745" s="4" t="b">
        <f>IF(Append1[[#This Row],[days]]="working day",FALSE,TRUE)</f>
        <v>0</v>
      </c>
      <c r="L745" s="4">
        <v>4</v>
      </c>
      <c r="M745" s="4">
        <v>1</v>
      </c>
      <c r="N745" s="6">
        <v>0.14000000000000001</v>
      </c>
      <c r="O745" s="2" t="str">
        <f>IF(Append1[[#This Row],[weekday]]=0,"holiday",IF(AND(Append1[[#This Row],[weekday]]&gt;1,Append1[[#This Row],[weekday]]&lt;7),"working day","weekend"))</f>
        <v>working day</v>
      </c>
      <c r="P745" s="4" t="str">
        <f>IF(Append1[[#This Row],[weathersit]]=0,"sunny",IF(Append1[[#This Row],[weathersit]]=1,"mist",IF(Append1[[#This Row],[weathersit]]=2,"lightrain","extremerain")))</f>
        <v>mist</v>
      </c>
    </row>
    <row r="746" spans="1:16" x14ac:dyDescent="0.25">
      <c r="A746" s="4">
        <v>744</v>
      </c>
      <c r="B746" s="4">
        <v>0.13639999999999999</v>
      </c>
      <c r="C746" s="4">
        <v>0.47</v>
      </c>
      <c r="D746" s="4">
        <v>0.29849999999999999</v>
      </c>
      <c r="E746" s="4">
        <v>6</v>
      </c>
      <c r="F746" s="4">
        <v>127</v>
      </c>
      <c r="G746" s="4">
        <v>133</v>
      </c>
      <c r="H746" s="5">
        <v>40577</v>
      </c>
      <c r="I746" s="4">
        <v>1</v>
      </c>
      <c r="J746" s="4">
        <v>9</v>
      </c>
      <c r="K746" s="4" t="b">
        <f>IF(Append1[[#This Row],[days]]="working day",FALSE,TRUE)</f>
        <v>0</v>
      </c>
      <c r="L746" s="4">
        <v>4</v>
      </c>
      <c r="M746" s="4">
        <v>1</v>
      </c>
      <c r="N746" s="6">
        <v>0.16</v>
      </c>
      <c r="O746" s="2" t="str">
        <f>IF(Append1[[#This Row],[weekday]]=0,"holiday",IF(AND(Append1[[#This Row],[weekday]]&gt;1,Append1[[#This Row],[weekday]]&lt;7),"working day","weekend"))</f>
        <v>working day</v>
      </c>
      <c r="P746" s="4" t="str">
        <f>IF(Append1[[#This Row],[weathersit]]=0,"sunny",IF(Append1[[#This Row],[weathersit]]=1,"mist",IF(Append1[[#This Row],[weathersit]]=2,"lightrain","extremerain")))</f>
        <v>mist</v>
      </c>
    </row>
    <row r="747" spans="1:16" x14ac:dyDescent="0.25">
      <c r="A747" s="4">
        <v>745</v>
      </c>
      <c r="B747" s="4">
        <v>0.1515</v>
      </c>
      <c r="C747" s="4">
        <v>0.43</v>
      </c>
      <c r="D747" s="4">
        <v>0.32840000000000003</v>
      </c>
      <c r="E747" s="4">
        <v>2</v>
      </c>
      <c r="F747" s="4">
        <v>50</v>
      </c>
      <c r="G747" s="4">
        <v>52</v>
      </c>
      <c r="H747" s="5">
        <v>40577</v>
      </c>
      <c r="I747" s="4">
        <v>1</v>
      </c>
      <c r="J747" s="4">
        <v>10</v>
      </c>
      <c r="K747" s="4" t="b">
        <f>IF(Append1[[#This Row],[days]]="working day",FALSE,TRUE)</f>
        <v>0</v>
      </c>
      <c r="L747" s="4">
        <v>4</v>
      </c>
      <c r="M747" s="4">
        <v>1</v>
      </c>
      <c r="N747" s="6">
        <v>0.18</v>
      </c>
      <c r="O747" s="2" t="str">
        <f>IF(Append1[[#This Row],[weekday]]=0,"holiday",IF(AND(Append1[[#This Row],[weekday]]&gt;1,Append1[[#This Row],[weekday]]&lt;7),"working day","weekend"))</f>
        <v>working day</v>
      </c>
      <c r="P747" s="4" t="str">
        <f>IF(Append1[[#This Row],[weathersit]]=0,"sunny",IF(Append1[[#This Row],[weathersit]]=1,"mist",IF(Append1[[#This Row],[weathersit]]=2,"lightrain","extremerain")))</f>
        <v>mist</v>
      </c>
    </row>
    <row r="748" spans="1:16" x14ac:dyDescent="0.25">
      <c r="A748" s="4">
        <v>746</v>
      </c>
      <c r="B748" s="4">
        <v>0.13639999999999999</v>
      </c>
      <c r="C748" s="4">
        <v>0.43</v>
      </c>
      <c r="D748" s="4">
        <v>0.44779999999999998</v>
      </c>
      <c r="E748" s="4">
        <v>9</v>
      </c>
      <c r="F748" s="4">
        <v>55</v>
      </c>
      <c r="G748" s="4">
        <v>64</v>
      </c>
      <c r="H748" s="5">
        <v>40577</v>
      </c>
      <c r="I748" s="4">
        <v>1</v>
      </c>
      <c r="J748" s="4">
        <v>11</v>
      </c>
      <c r="K748" s="4" t="b">
        <f>IF(Append1[[#This Row],[days]]="working day",FALSE,TRUE)</f>
        <v>0</v>
      </c>
      <c r="L748" s="4">
        <v>4</v>
      </c>
      <c r="M748" s="4">
        <v>1</v>
      </c>
      <c r="N748" s="6">
        <v>0.18</v>
      </c>
      <c r="O748" s="2" t="str">
        <f>IF(Append1[[#This Row],[weekday]]=0,"holiday",IF(AND(Append1[[#This Row],[weekday]]&gt;1,Append1[[#This Row],[weekday]]&lt;7),"working day","weekend"))</f>
        <v>working day</v>
      </c>
      <c r="P748" s="4" t="str">
        <f>IF(Append1[[#This Row],[weathersit]]=0,"sunny",IF(Append1[[#This Row],[weathersit]]=1,"mist",IF(Append1[[#This Row],[weathersit]]=2,"lightrain","extremerain")))</f>
        <v>mist</v>
      </c>
    </row>
    <row r="749" spans="1:16" x14ac:dyDescent="0.25">
      <c r="A749" s="4">
        <v>747</v>
      </c>
      <c r="B749" s="4">
        <v>0.18179999999999999</v>
      </c>
      <c r="C749" s="4">
        <v>0.4</v>
      </c>
      <c r="D749" s="4">
        <v>0.35820000000000002</v>
      </c>
      <c r="E749" s="4">
        <v>2</v>
      </c>
      <c r="F749" s="4">
        <v>67</v>
      </c>
      <c r="G749" s="4">
        <v>69</v>
      </c>
      <c r="H749" s="5">
        <v>40577</v>
      </c>
      <c r="I749" s="4">
        <v>1</v>
      </c>
      <c r="J749" s="4">
        <v>12</v>
      </c>
      <c r="K749" s="4" t="b">
        <f>IF(Append1[[#This Row],[days]]="working day",FALSE,TRUE)</f>
        <v>0</v>
      </c>
      <c r="L749" s="4">
        <v>4</v>
      </c>
      <c r="M749" s="4">
        <v>1</v>
      </c>
      <c r="N749" s="6">
        <v>0.2</v>
      </c>
      <c r="O749" s="2" t="str">
        <f>IF(Append1[[#This Row],[weekday]]=0,"holiday",IF(AND(Append1[[#This Row],[weekday]]&gt;1,Append1[[#This Row],[weekday]]&lt;7),"working day","weekend"))</f>
        <v>working day</v>
      </c>
      <c r="P749" s="4" t="str">
        <f>IF(Append1[[#This Row],[weathersit]]=0,"sunny",IF(Append1[[#This Row],[weathersit]]=1,"mist",IF(Append1[[#This Row],[weathersit]]=2,"lightrain","extremerain")))</f>
        <v>mist</v>
      </c>
    </row>
    <row r="750" spans="1:16" x14ac:dyDescent="0.25">
      <c r="A750" s="4">
        <v>748</v>
      </c>
      <c r="B750" s="4">
        <v>0.16669999999999999</v>
      </c>
      <c r="C750" s="4">
        <v>0.4</v>
      </c>
      <c r="D750" s="4">
        <v>0.41789999999999999</v>
      </c>
      <c r="E750" s="4">
        <v>4</v>
      </c>
      <c r="F750" s="4">
        <v>47</v>
      </c>
      <c r="G750" s="4">
        <v>51</v>
      </c>
      <c r="H750" s="5">
        <v>40577</v>
      </c>
      <c r="I750" s="4">
        <v>1</v>
      </c>
      <c r="J750" s="4">
        <v>13</v>
      </c>
      <c r="K750" s="4" t="b">
        <f>IF(Append1[[#This Row],[days]]="working day",FALSE,TRUE)</f>
        <v>0</v>
      </c>
      <c r="L750" s="4">
        <v>4</v>
      </c>
      <c r="M750" s="4">
        <v>1</v>
      </c>
      <c r="N750" s="6">
        <v>0.2</v>
      </c>
      <c r="O750" s="2" t="str">
        <f>IF(Append1[[#This Row],[weekday]]=0,"holiday",IF(AND(Append1[[#This Row],[weekday]]&gt;1,Append1[[#This Row],[weekday]]&lt;7),"working day","weekend"))</f>
        <v>working day</v>
      </c>
      <c r="P750" s="4" t="str">
        <f>IF(Append1[[#This Row],[weathersit]]=0,"sunny",IF(Append1[[#This Row],[weathersit]]=1,"mist",IF(Append1[[#This Row],[weathersit]]=2,"lightrain","extremerain")))</f>
        <v>mist</v>
      </c>
    </row>
    <row r="751" spans="1:16" x14ac:dyDescent="0.25">
      <c r="A751" s="4">
        <v>749</v>
      </c>
      <c r="B751" s="4">
        <v>0.19700000000000001</v>
      </c>
      <c r="C751" s="4">
        <v>0.37</v>
      </c>
      <c r="D751" s="4">
        <v>0.3881</v>
      </c>
      <c r="E751" s="4">
        <v>4</v>
      </c>
      <c r="F751" s="4">
        <v>43</v>
      </c>
      <c r="G751" s="4">
        <v>47</v>
      </c>
      <c r="H751" s="5">
        <v>40577</v>
      </c>
      <c r="I751" s="4">
        <v>1</v>
      </c>
      <c r="J751" s="4">
        <v>14</v>
      </c>
      <c r="K751" s="4" t="b">
        <f>IF(Append1[[#This Row],[days]]="working day",FALSE,TRUE)</f>
        <v>0</v>
      </c>
      <c r="L751" s="4">
        <v>4</v>
      </c>
      <c r="M751" s="4">
        <v>1</v>
      </c>
      <c r="N751" s="6">
        <v>0.22</v>
      </c>
      <c r="O751" s="2" t="str">
        <f>IF(Append1[[#This Row],[weekday]]=0,"holiday",IF(AND(Append1[[#This Row],[weekday]]&gt;1,Append1[[#This Row],[weekday]]&lt;7),"working day","weekend"))</f>
        <v>working day</v>
      </c>
      <c r="P751" s="4" t="str">
        <f>IF(Append1[[#This Row],[weathersit]]=0,"sunny",IF(Append1[[#This Row],[weathersit]]=1,"mist",IF(Append1[[#This Row],[weathersit]]=2,"lightrain","extremerain")))</f>
        <v>mist</v>
      </c>
    </row>
    <row r="752" spans="1:16" x14ac:dyDescent="0.25">
      <c r="A752" s="4">
        <v>750</v>
      </c>
      <c r="B752" s="4">
        <v>0.19700000000000001</v>
      </c>
      <c r="C752" s="4">
        <v>0.37</v>
      </c>
      <c r="D752" s="4">
        <v>0.32840000000000003</v>
      </c>
      <c r="E752" s="4">
        <v>4</v>
      </c>
      <c r="F752" s="4">
        <v>56</v>
      </c>
      <c r="G752" s="4">
        <v>60</v>
      </c>
      <c r="H752" s="5">
        <v>40577</v>
      </c>
      <c r="I752" s="4">
        <v>1</v>
      </c>
      <c r="J752" s="4">
        <v>15</v>
      </c>
      <c r="K752" s="4" t="b">
        <f>IF(Append1[[#This Row],[days]]="working day",FALSE,TRUE)</f>
        <v>0</v>
      </c>
      <c r="L752" s="4">
        <v>4</v>
      </c>
      <c r="M752" s="4">
        <v>1</v>
      </c>
      <c r="N752" s="6">
        <v>0.22</v>
      </c>
      <c r="O752" s="2" t="str">
        <f>IF(Append1[[#This Row],[weekday]]=0,"holiday",IF(AND(Append1[[#This Row],[weekday]]&gt;1,Append1[[#This Row],[weekday]]&lt;7),"working day","weekend"))</f>
        <v>working day</v>
      </c>
      <c r="P752" s="4" t="str">
        <f>IF(Append1[[#This Row],[weathersit]]=0,"sunny",IF(Append1[[#This Row],[weathersit]]=1,"mist",IF(Append1[[#This Row],[weathersit]]=2,"lightrain","extremerain")))</f>
        <v>mist</v>
      </c>
    </row>
    <row r="753" spans="1:16" x14ac:dyDescent="0.25">
      <c r="A753" s="4">
        <v>751</v>
      </c>
      <c r="B753" s="4">
        <v>0.21210000000000001</v>
      </c>
      <c r="C753" s="4">
        <v>0.37</v>
      </c>
      <c r="D753" s="4">
        <v>0.25369999999999998</v>
      </c>
      <c r="E753" s="4">
        <v>5</v>
      </c>
      <c r="F753" s="4">
        <v>73</v>
      </c>
      <c r="G753" s="4">
        <v>78</v>
      </c>
      <c r="H753" s="5">
        <v>40577</v>
      </c>
      <c r="I753" s="4">
        <v>1</v>
      </c>
      <c r="J753" s="4">
        <v>16</v>
      </c>
      <c r="K753" s="4" t="b">
        <f>IF(Append1[[#This Row],[days]]="working day",FALSE,TRUE)</f>
        <v>0</v>
      </c>
      <c r="L753" s="4">
        <v>4</v>
      </c>
      <c r="M753" s="4">
        <v>1</v>
      </c>
      <c r="N753" s="6">
        <v>0.22</v>
      </c>
      <c r="O753" s="2" t="str">
        <f>IF(Append1[[#This Row],[weekday]]=0,"holiday",IF(AND(Append1[[#This Row],[weekday]]&gt;1,Append1[[#This Row],[weekday]]&lt;7),"working day","weekend"))</f>
        <v>working day</v>
      </c>
      <c r="P753" s="4" t="str">
        <f>IF(Append1[[#This Row],[weathersit]]=0,"sunny",IF(Append1[[#This Row],[weathersit]]=1,"mist",IF(Append1[[#This Row],[weathersit]]=2,"lightrain","extremerain")))</f>
        <v>mist</v>
      </c>
    </row>
    <row r="754" spans="1:16" x14ac:dyDescent="0.25">
      <c r="A754" s="4">
        <v>752</v>
      </c>
      <c r="B754" s="4">
        <v>0.19700000000000001</v>
      </c>
      <c r="C754" s="4">
        <v>0.4</v>
      </c>
      <c r="D754" s="4">
        <v>0.19400000000000001</v>
      </c>
      <c r="E754" s="4">
        <v>5</v>
      </c>
      <c r="F754" s="4">
        <v>170</v>
      </c>
      <c r="G754" s="4">
        <v>175</v>
      </c>
      <c r="H754" s="5">
        <v>40577</v>
      </c>
      <c r="I754" s="4">
        <v>1</v>
      </c>
      <c r="J754" s="4">
        <v>17</v>
      </c>
      <c r="K754" s="4" t="b">
        <f>IF(Append1[[#This Row],[days]]="working day",FALSE,TRUE)</f>
        <v>0</v>
      </c>
      <c r="L754" s="4">
        <v>4</v>
      </c>
      <c r="M754" s="4">
        <v>1</v>
      </c>
      <c r="N754" s="6">
        <v>0.2</v>
      </c>
      <c r="O754" s="2" t="str">
        <f>IF(Append1[[#This Row],[weekday]]=0,"holiday",IF(AND(Append1[[#This Row],[weekday]]&gt;1,Append1[[#This Row],[weekday]]&lt;7),"working day","weekend"))</f>
        <v>working day</v>
      </c>
      <c r="P754" s="4" t="str">
        <f>IF(Append1[[#This Row],[weathersit]]=0,"sunny",IF(Append1[[#This Row],[weathersit]]=1,"mist",IF(Append1[[#This Row],[weathersit]]=2,"lightrain","extremerain")))</f>
        <v>mist</v>
      </c>
    </row>
    <row r="755" spans="1:16" x14ac:dyDescent="0.25">
      <c r="A755" s="4">
        <v>753</v>
      </c>
      <c r="B755" s="4">
        <v>0.21210000000000001</v>
      </c>
      <c r="C755" s="4">
        <v>0.4</v>
      </c>
      <c r="D755" s="4">
        <v>0.16420000000000001</v>
      </c>
      <c r="E755" s="4">
        <v>2</v>
      </c>
      <c r="F755" s="4">
        <v>145</v>
      </c>
      <c r="G755" s="4">
        <v>147</v>
      </c>
      <c r="H755" s="5">
        <v>40577</v>
      </c>
      <c r="I755" s="4">
        <v>1</v>
      </c>
      <c r="J755" s="4">
        <v>18</v>
      </c>
      <c r="K755" s="4" t="b">
        <f>IF(Append1[[#This Row],[days]]="working day",FALSE,TRUE)</f>
        <v>0</v>
      </c>
      <c r="L755" s="4">
        <v>4</v>
      </c>
      <c r="M755" s="4">
        <v>1</v>
      </c>
      <c r="N755" s="6">
        <v>0.2</v>
      </c>
      <c r="O755" s="2" t="str">
        <f>IF(Append1[[#This Row],[weekday]]=0,"holiday",IF(AND(Append1[[#This Row],[weekday]]&gt;1,Append1[[#This Row],[weekday]]&lt;7),"working day","weekend"))</f>
        <v>working day</v>
      </c>
      <c r="P755" s="4" t="str">
        <f>IF(Append1[[#This Row],[weathersit]]=0,"sunny",IF(Append1[[#This Row],[weathersit]]=1,"mist",IF(Append1[[#This Row],[weathersit]]=2,"lightrain","extremerain")))</f>
        <v>mist</v>
      </c>
    </row>
    <row r="756" spans="1:16" x14ac:dyDescent="0.25">
      <c r="A756" s="4">
        <v>754</v>
      </c>
      <c r="B756" s="4">
        <v>0.2576</v>
      </c>
      <c r="C756" s="4">
        <v>0.4</v>
      </c>
      <c r="D756" s="4">
        <v>0</v>
      </c>
      <c r="E756" s="4">
        <v>4</v>
      </c>
      <c r="F756" s="4">
        <v>92</v>
      </c>
      <c r="G756" s="4">
        <v>96</v>
      </c>
      <c r="H756" s="5">
        <v>40577</v>
      </c>
      <c r="I756" s="4">
        <v>1</v>
      </c>
      <c r="J756" s="4">
        <v>19</v>
      </c>
      <c r="K756" s="4" t="b">
        <f>IF(Append1[[#This Row],[days]]="working day",FALSE,TRUE)</f>
        <v>0</v>
      </c>
      <c r="L756" s="4">
        <v>4</v>
      </c>
      <c r="M756" s="4">
        <v>1</v>
      </c>
      <c r="N756" s="6">
        <v>0.2</v>
      </c>
      <c r="O756" s="2" t="str">
        <f>IF(Append1[[#This Row],[weekday]]=0,"holiday",IF(AND(Append1[[#This Row],[weekday]]&gt;1,Append1[[#This Row],[weekday]]&lt;7),"working day","weekend"))</f>
        <v>working day</v>
      </c>
      <c r="P756" s="4" t="str">
        <f>IF(Append1[[#This Row],[weathersit]]=0,"sunny",IF(Append1[[#This Row],[weathersit]]=1,"mist",IF(Append1[[#This Row],[weathersit]]=2,"lightrain","extremerain")))</f>
        <v>mist</v>
      </c>
    </row>
    <row r="757" spans="1:16" x14ac:dyDescent="0.25">
      <c r="A757" s="4">
        <v>755</v>
      </c>
      <c r="B757" s="4">
        <v>0.2273</v>
      </c>
      <c r="C757" s="4">
        <v>0.47</v>
      </c>
      <c r="D757" s="4">
        <v>8.9599999999999999E-2</v>
      </c>
      <c r="E757" s="4">
        <v>1</v>
      </c>
      <c r="F757" s="4">
        <v>108</v>
      </c>
      <c r="G757" s="4">
        <v>109</v>
      </c>
      <c r="H757" s="5">
        <v>40577</v>
      </c>
      <c r="I757" s="4">
        <v>1</v>
      </c>
      <c r="J757" s="4">
        <v>20</v>
      </c>
      <c r="K757" s="4" t="b">
        <f>IF(Append1[[#This Row],[days]]="working day",FALSE,TRUE)</f>
        <v>0</v>
      </c>
      <c r="L757" s="4">
        <v>4</v>
      </c>
      <c r="M757" s="4">
        <v>1</v>
      </c>
      <c r="N757" s="6">
        <v>0.2</v>
      </c>
      <c r="O757" s="2" t="str">
        <f>IF(Append1[[#This Row],[weekday]]=0,"holiday",IF(AND(Append1[[#This Row],[weekday]]&gt;1,Append1[[#This Row],[weekday]]&lt;7),"working day","weekend"))</f>
        <v>working day</v>
      </c>
      <c r="P757" s="4" t="str">
        <f>IF(Append1[[#This Row],[weathersit]]=0,"sunny",IF(Append1[[#This Row],[weathersit]]=1,"mist",IF(Append1[[#This Row],[weathersit]]=2,"lightrain","extremerain")))</f>
        <v>mist</v>
      </c>
    </row>
    <row r="758" spans="1:16" x14ac:dyDescent="0.25">
      <c r="A758" s="4">
        <v>756</v>
      </c>
      <c r="B758" s="4">
        <v>0.21210000000000001</v>
      </c>
      <c r="C758" s="4">
        <v>0.55000000000000004</v>
      </c>
      <c r="D758" s="4">
        <v>0.1045</v>
      </c>
      <c r="E758" s="4">
        <v>1</v>
      </c>
      <c r="F758" s="4">
        <v>53</v>
      </c>
      <c r="G758" s="4">
        <v>54</v>
      </c>
      <c r="H758" s="5">
        <v>40577</v>
      </c>
      <c r="I758" s="4">
        <v>1</v>
      </c>
      <c r="J758" s="4">
        <v>21</v>
      </c>
      <c r="K758" s="4" t="b">
        <f>IF(Append1[[#This Row],[days]]="working day",FALSE,TRUE)</f>
        <v>0</v>
      </c>
      <c r="L758" s="4">
        <v>4</v>
      </c>
      <c r="M758" s="4">
        <v>1</v>
      </c>
      <c r="N758" s="6">
        <v>0.18</v>
      </c>
      <c r="O758" s="2" t="str">
        <f>IF(Append1[[#This Row],[weekday]]=0,"holiday",IF(AND(Append1[[#This Row],[weekday]]&gt;1,Append1[[#This Row],[weekday]]&lt;7),"working day","weekend"))</f>
        <v>working day</v>
      </c>
      <c r="P758" s="4" t="str">
        <f>IF(Append1[[#This Row],[weathersit]]=0,"sunny",IF(Append1[[#This Row],[weathersit]]=1,"mist",IF(Append1[[#This Row],[weathersit]]=2,"lightrain","extremerain")))</f>
        <v>mist</v>
      </c>
    </row>
    <row r="759" spans="1:16" x14ac:dyDescent="0.25">
      <c r="A759" s="4">
        <v>757</v>
      </c>
      <c r="B759" s="4">
        <v>0.21210000000000001</v>
      </c>
      <c r="C759" s="4">
        <v>0.51</v>
      </c>
      <c r="D759" s="4">
        <v>8.9599999999999999E-2</v>
      </c>
      <c r="E759" s="4">
        <v>2</v>
      </c>
      <c r="F759" s="4">
        <v>39</v>
      </c>
      <c r="G759" s="4">
        <v>41</v>
      </c>
      <c r="H759" s="5">
        <v>40577</v>
      </c>
      <c r="I759" s="4">
        <v>1</v>
      </c>
      <c r="J759" s="4">
        <v>22</v>
      </c>
      <c r="K759" s="4" t="b">
        <f>IF(Append1[[#This Row],[days]]="working day",FALSE,TRUE)</f>
        <v>0</v>
      </c>
      <c r="L759" s="4">
        <v>4</v>
      </c>
      <c r="M759" s="4">
        <v>1</v>
      </c>
      <c r="N759" s="6">
        <v>0.18</v>
      </c>
      <c r="O759" s="2" t="str">
        <f>IF(Append1[[#This Row],[weekday]]=0,"holiday",IF(AND(Append1[[#This Row],[weekday]]&gt;1,Append1[[#This Row],[weekday]]&lt;7),"working day","weekend"))</f>
        <v>working day</v>
      </c>
      <c r="P759" s="4" t="str">
        <f>IF(Append1[[#This Row],[weathersit]]=0,"sunny",IF(Append1[[#This Row],[weathersit]]=1,"mist",IF(Append1[[#This Row],[weathersit]]=2,"lightrain","extremerain")))</f>
        <v>mist</v>
      </c>
    </row>
    <row r="760" spans="1:16" x14ac:dyDescent="0.25">
      <c r="A760" s="4">
        <v>758</v>
      </c>
      <c r="B760" s="4">
        <v>0.2273</v>
      </c>
      <c r="C760" s="4">
        <v>0.47</v>
      </c>
      <c r="D760" s="4">
        <v>0.1045</v>
      </c>
      <c r="E760" s="4">
        <v>4</v>
      </c>
      <c r="F760" s="4">
        <v>34</v>
      </c>
      <c r="G760" s="4">
        <v>38</v>
      </c>
      <c r="H760" s="5">
        <v>40577</v>
      </c>
      <c r="I760" s="4">
        <v>1</v>
      </c>
      <c r="J760" s="4">
        <v>23</v>
      </c>
      <c r="K760" s="4" t="b">
        <f>IF(Append1[[#This Row],[days]]="working day",FALSE,TRUE)</f>
        <v>0</v>
      </c>
      <c r="L760" s="4">
        <v>4</v>
      </c>
      <c r="M760" s="4">
        <v>1</v>
      </c>
      <c r="N760" s="6">
        <v>0.2</v>
      </c>
      <c r="O760" s="2" t="str">
        <f>IF(Append1[[#This Row],[weekday]]=0,"holiday",IF(AND(Append1[[#This Row],[weekday]]&gt;1,Append1[[#This Row],[weekday]]&lt;7),"working day","weekend"))</f>
        <v>working day</v>
      </c>
      <c r="P760" s="4" t="str">
        <f>IF(Append1[[#This Row],[weathersit]]=0,"sunny",IF(Append1[[#This Row],[weathersit]]=1,"mist",IF(Append1[[#This Row],[weathersit]]=2,"lightrain","extremerain")))</f>
        <v>mist</v>
      </c>
    </row>
    <row r="761" spans="1:16" x14ac:dyDescent="0.25">
      <c r="A761" s="4">
        <v>759</v>
      </c>
      <c r="B761" s="4">
        <v>0.2576</v>
      </c>
      <c r="C761" s="4">
        <v>0.44</v>
      </c>
      <c r="D761" s="4">
        <v>0</v>
      </c>
      <c r="E761" s="4">
        <v>3</v>
      </c>
      <c r="F761" s="4">
        <v>10</v>
      </c>
      <c r="G761" s="4">
        <v>13</v>
      </c>
      <c r="H761" s="5">
        <v>40578</v>
      </c>
      <c r="I761" s="4">
        <v>1</v>
      </c>
      <c r="J761" s="4">
        <v>0</v>
      </c>
      <c r="K761" s="4" t="b">
        <f>IF(Append1[[#This Row],[days]]="working day",FALSE,TRUE)</f>
        <v>0</v>
      </c>
      <c r="L761" s="4">
        <v>5</v>
      </c>
      <c r="M761" s="4">
        <v>2</v>
      </c>
      <c r="N761" s="6">
        <v>0.2</v>
      </c>
      <c r="O761" s="2" t="str">
        <f>IF(Append1[[#This Row],[weekday]]=0,"holiday",IF(AND(Append1[[#This Row],[weekday]]&gt;1,Append1[[#This Row],[weekday]]&lt;7),"working day","weekend"))</f>
        <v>working day</v>
      </c>
      <c r="P761" s="4" t="str">
        <f>IF(Append1[[#This Row],[weathersit]]=0,"sunny",IF(Append1[[#This Row],[weathersit]]=1,"mist",IF(Append1[[#This Row],[weathersit]]=2,"lightrain","extremerain")))</f>
        <v>lightrain</v>
      </c>
    </row>
    <row r="762" spans="1:16" x14ac:dyDescent="0.25">
      <c r="A762" s="4">
        <v>760</v>
      </c>
      <c r="B762" s="4">
        <v>0.2273</v>
      </c>
      <c r="C762" s="4">
        <v>0.59</v>
      </c>
      <c r="D762" s="4">
        <v>0</v>
      </c>
      <c r="E762" s="4">
        <v>0</v>
      </c>
      <c r="F762" s="4">
        <v>7</v>
      </c>
      <c r="G762" s="4">
        <v>7</v>
      </c>
      <c r="H762" s="5">
        <v>40578</v>
      </c>
      <c r="I762" s="4">
        <v>1</v>
      </c>
      <c r="J762" s="4">
        <v>1</v>
      </c>
      <c r="K762" s="4" t="b">
        <f>IF(Append1[[#This Row],[days]]="working day",FALSE,TRUE)</f>
        <v>0</v>
      </c>
      <c r="L762" s="4">
        <v>5</v>
      </c>
      <c r="M762" s="4">
        <v>2</v>
      </c>
      <c r="N762" s="6">
        <v>0.16</v>
      </c>
      <c r="O762" s="2" t="str">
        <f>IF(Append1[[#This Row],[weekday]]=0,"holiday",IF(AND(Append1[[#This Row],[weekday]]&gt;1,Append1[[#This Row],[weekday]]&lt;7),"working day","weekend"))</f>
        <v>working day</v>
      </c>
      <c r="P762" s="4" t="str">
        <f>IF(Append1[[#This Row],[weathersit]]=0,"sunny",IF(Append1[[#This Row],[weathersit]]=1,"mist",IF(Append1[[#This Row],[weathersit]]=2,"lightrain","extremerain")))</f>
        <v>lightrain</v>
      </c>
    </row>
    <row r="763" spans="1:16" x14ac:dyDescent="0.25">
      <c r="A763" s="4">
        <v>761</v>
      </c>
      <c r="B763" s="4">
        <v>0.16669999999999999</v>
      </c>
      <c r="C763" s="4">
        <v>0.63</v>
      </c>
      <c r="D763" s="4">
        <v>0.1045</v>
      </c>
      <c r="E763" s="4">
        <v>0</v>
      </c>
      <c r="F763" s="4">
        <v>1</v>
      </c>
      <c r="G763" s="4">
        <v>1</v>
      </c>
      <c r="H763" s="5">
        <v>40578</v>
      </c>
      <c r="I763" s="4">
        <v>1</v>
      </c>
      <c r="J763" s="4">
        <v>2</v>
      </c>
      <c r="K763" s="4" t="b">
        <f>IF(Append1[[#This Row],[days]]="working day",FALSE,TRUE)</f>
        <v>0</v>
      </c>
      <c r="L763" s="4">
        <v>5</v>
      </c>
      <c r="M763" s="4">
        <v>2</v>
      </c>
      <c r="N763" s="6">
        <v>0.14000000000000001</v>
      </c>
      <c r="O763" s="2" t="str">
        <f>IF(Append1[[#This Row],[weekday]]=0,"holiday",IF(AND(Append1[[#This Row],[weekday]]&gt;1,Append1[[#This Row],[weekday]]&lt;7),"working day","weekend"))</f>
        <v>working day</v>
      </c>
      <c r="P763" s="4" t="str">
        <f>IF(Append1[[#This Row],[weathersit]]=0,"sunny",IF(Append1[[#This Row],[weathersit]]=1,"mist",IF(Append1[[#This Row],[weathersit]]=2,"lightrain","extremerain")))</f>
        <v>lightrain</v>
      </c>
    </row>
    <row r="764" spans="1:16" x14ac:dyDescent="0.25">
      <c r="A764" s="4">
        <v>762</v>
      </c>
      <c r="B764" s="4">
        <v>0.16669999999999999</v>
      </c>
      <c r="C764" s="4">
        <v>0.63</v>
      </c>
      <c r="D764" s="4">
        <v>0.1045</v>
      </c>
      <c r="E764" s="4">
        <v>0</v>
      </c>
      <c r="F764" s="4">
        <v>1</v>
      </c>
      <c r="G764" s="4">
        <v>1</v>
      </c>
      <c r="H764" s="5">
        <v>40578</v>
      </c>
      <c r="I764" s="4">
        <v>1</v>
      </c>
      <c r="J764" s="4">
        <v>3</v>
      </c>
      <c r="K764" s="4" t="b">
        <f>IF(Append1[[#This Row],[days]]="working day",FALSE,TRUE)</f>
        <v>0</v>
      </c>
      <c r="L764" s="4">
        <v>5</v>
      </c>
      <c r="M764" s="4">
        <v>2</v>
      </c>
      <c r="N764" s="6">
        <v>0.14000000000000001</v>
      </c>
      <c r="O764" s="2" t="str">
        <f>IF(Append1[[#This Row],[weekday]]=0,"holiday",IF(AND(Append1[[#This Row],[weekday]]&gt;1,Append1[[#This Row],[weekday]]&lt;7),"working day","weekend"))</f>
        <v>working day</v>
      </c>
      <c r="P764" s="4" t="str">
        <f>IF(Append1[[#This Row],[weathersit]]=0,"sunny",IF(Append1[[#This Row],[weathersit]]=1,"mist",IF(Append1[[#This Row],[weathersit]]=2,"lightrain","extremerain")))</f>
        <v>lightrain</v>
      </c>
    </row>
    <row r="765" spans="1:16" x14ac:dyDescent="0.25">
      <c r="A765" s="4">
        <v>763</v>
      </c>
      <c r="B765" s="4">
        <v>0.1515</v>
      </c>
      <c r="C765" s="4">
        <v>0.63</v>
      </c>
      <c r="D765" s="4">
        <v>0.1343</v>
      </c>
      <c r="E765" s="4">
        <v>0</v>
      </c>
      <c r="F765" s="4">
        <v>7</v>
      </c>
      <c r="G765" s="4">
        <v>7</v>
      </c>
      <c r="H765" s="5">
        <v>40578</v>
      </c>
      <c r="I765" s="4">
        <v>1</v>
      </c>
      <c r="J765" s="4">
        <v>5</v>
      </c>
      <c r="K765" s="4" t="b">
        <f>IF(Append1[[#This Row],[days]]="working day",FALSE,TRUE)</f>
        <v>0</v>
      </c>
      <c r="L765" s="4">
        <v>5</v>
      </c>
      <c r="M765" s="4">
        <v>2</v>
      </c>
      <c r="N765" s="6">
        <v>0.14000000000000001</v>
      </c>
      <c r="O765" s="2" t="str">
        <f>IF(Append1[[#This Row],[weekday]]=0,"holiday",IF(AND(Append1[[#This Row],[weekday]]&gt;1,Append1[[#This Row],[weekday]]&lt;7),"working day","weekend"))</f>
        <v>working day</v>
      </c>
      <c r="P765" s="4" t="str">
        <f>IF(Append1[[#This Row],[weathersit]]=0,"sunny",IF(Append1[[#This Row],[weathersit]]=1,"mist",IF(Append1[[#This Row],[weathersit]]=2,"lightrain","extremerain")))</f>
        <v>lightrain</v>
      </c>
    </row>
    <row r="766" spans="1:16" x14ac:dyDescent="0.25">
      <c r="A766" s="4">
        <v>764</v>
      </c>
      <c r="B766" s="4">
        <v>0.2273</v>
      </c>
      <c r="C766" s="4">
        <v>0.55000000000000004</v>
      </c>
      <c r="D766" s="4">
        <v>0</v>
      </c>
      <c r="E766" s="4">
        <v>2</v>
      </c>
      <c r="F766" s="4">
        <v>26</v>
      </c>
      <c r="G766" s="4">
        <v>28</v>
      </c>
      <c r="H766" s="5">
        <v>40578</v>
      </c>
      <c r="I766" s="4">
        <v>1</v>
      </c>
      <c r="J766" s="4">
        <v>6</v>
      </c>
      <c r="K766" s="4" t="b">
        <f>IF(Append1[[#This Row],[days]]="working day",FALSE,TRUE)</f>
        <v>0</v>
      </c>
      <c r="L766" s="4">
        <v>5</v>
      </c>
      <c r="M766" s="4">
        <v>2</v>
      </c>
      <c r="N766" s="6">
        <v>0.16</v>
      </c>
      <c r="O766" s="2" t="str">
        <f>IF(Append1[[#This Row],[weekday]]=0,"holiday",IF(AND(Append1[[#This Row],[weekday]]&gt;1,Append1[[#This Row],[weekday]]&lt;7),"working day","weekend"))</f>
        <v>working day</v>
      </c>
      <c r="P766" s="4" t="str">
        <f>IF(Append1[[#This Row],[weathersit]]=0,"sunny",IF(Append1[[#This Row],[weathersit]]=1,"mist",IF(Append1[[#This Row],[weathersit]]=2,"lightrain","extremerain")))</f>
        <v>lightrain</v>
      </c>
    </row>
    <row r="767" spans="1:16" x14ac:dyDescent="0.25">
      <c r="A767" s="4">
        <v>765</v>
      </c>
      <c r="B767" s="4">
        <v>0.21210000000000001</v>
      </c>
      <c r="C767" s="4">
        <v>0.59</v>
      </c>
      <c r="D767" s="4">
        <v>0</v>
      </c>
      <c r="E767" s="4">
        <v>0</v>
      </c>
      <c r="F767" s="4">
        <v>87</v>
      </c>
      <c r="G767" s="4">
        <v>87</v>
      </c>
      <c r="H767" s="5">
        <v>40578</v>
      </c>
      <c r="I767" s="4">
        <v>1</v>
      </c>
      <c r="J767" s="4">
        <v>7</v>
      </c>
      <c r="K767" s="4" t="b">
        <f>IF(Append1[[#This Row],[days]]="working day",FALSE,TRUE)</f>
        <v>0</v>
      </c>
      <c r="L767" s="4">
        <v>5</v>
      </c>
      <c r="M767" s="4">
        <v>1</v>
      </c>
      <c r="N767" s="6">
        <v>0.14000000000000001</v>
      </c>
      <c r="O767" s="2" t="str">
        <f>IF(Append1[[#This Row],[weekday]]=0,"holiday",IF(AND(Append1[[#This Row],[weekday]]&gt;1,Append1[[#This Row],[weekday]]&lt;7),"working day","weekend"))</f>
        <v>working day</v>
      </c>
      <c r="P767" s="4" t="str">
        <f>IF(Append1[[#This Row],[weathersit]]=0,"sunny",IF(Append1[[#This Row],[weathersit]]=1,"mist",IF(Append1[[#This Row],[weathersit]]=2,"lightrain","extremerain")))</f>
        <v>mist</v>
      </c>
    </row>
    <row r="768" spans="1:16" x14ac:dyDescent="0.25">
      <c r="A768" s="4">
        <v>766</v>
      </c>
      <c r="B768" s="4">
        <v>0.1515</v>
      </c>
      <c r="C768" s="4">
        <v>0.74</v>
      </c>
      <c r="D768" s="4">
        <v>0.1343</v>
      </c>
      <c r="E768" s="4">
        <v>3</v>
      </c>
      <c r="F768" s="4">
        <v>217</v>
      </c>
      <c r="G768" s="4">
        <v>220</v>
      </c>
      <c r="H768" s="5">
        <v>40578</v>
      </c>
      <c r="I768" s="4">
        <v>1</v>
      </c>
      <c r="J768" s="4">
        <v>8</v>
      </c>
      <c r="K768" s="4" t="b">
        <f>IF(Append1[[#This Row],[days]]="working day",FALSE,TRUE)</f>
        <v>0</v>
      </c>
      <c r="L768" s="4">
        <v>5</v>
      </c>
      <c r="M768" s="4">
        <v>1</v>
      </c>
      <c r="N768" s="6">
        <v>0.14000000000000001</v>
      </c>
      <c r="O768" s="2" t="str">
        <f>IF(Append1[[#This Row],[weekday]]=0,"holiday",IF(AND(Append1[[#This Row],[weekday]]&gt;1,Append1[[#This Row],[weekday]]&lt;7),"working day","weekend"))</f>
        <v>working day</v>
      </c>
      <c r="P768" s="4" t="str">
        <f>IF(Append1[[#This Row],[weathersit]]=0,"sunny",IF(Append1[[#This Row],[weathersit]]=1,"mist",IF(Append1[[#This Row],[weathersit]]=2,"lightrain","extremerain")))</f>
        <v>mist</v>
      </c>
    </row>
    <row r="769" spans="1:16" x14ac:dyDescent="0.25">
      <c r="A769" s="4">
        <v>767</v>
      </c>
      <c r="B769" s="4">
        <v>0.18179999999999999</v>
      </c>
      <c r="C769" s="4">
        <v>0.8</v>
      </c>
      <c r="D769" s="4">
        <v>0.1343</v>
      </c>
      <c r="E769" s="4">
        <v>3</v>
      </c>
      <c r="F769" s="4">
        <v>124</v>
      </c>
      <c r="G769" s="4">
        <v>127</v>
      </c>
      <c r="H769" s="5">
        <v>40578</v>
      </c>
      <c r="I769" s="4">
        <v>1</v>
      </c>
      <c r="J769" s="4">
        <v>9</v>
      </c>
      <c r="K769" s="4" t="b">
        <f>IF(Append1[[#This Row],[days]]="working day",FALSE,TRUE)</f>
        <v>0</v>
      </c>
      <c r="L769" s="4">
        <v>5</v>
      </c>
      <c r="M769" s="4">
        <v>2</v>
      </c>
      <c r="N769" s="6">
        <v>0.16</v>
      </c>
      <c r="O769" s="2" t="str">
        <f>IF(Append1[[#This Row],[weekday]]=0,"holiday",IF(AND(Append1[[#This Row],[weekday]]&gt;1,Append1[[#This Row],[weekday]]&lt;7),"working day","weekend"))</f>
        <v>working day</v>
      </c>
      <c r="P769" s="4" t="str">
        <f>IF(Append1[[#This Row],[weathersit]]=0,"sunny",IF(Append1[[#This Row],[weathersit]]=1,"mist",IF(Append1[[#This Row],[weathersit]]=2,"lightrain","extremerain")))</f>
        <v>lightrain</v>
      </c>
    </row>
    <row r="770" spans="1:16" x14ac:dyDescent="0.25">
      <c r="A770" s="4">
        <v>768</v>
      </c>
      <c r="B770" s="4">
        <v>0.21210000000000001</v>
      </c>
      <c r="C770" s="4">
        <v>0.51</v>
      </c>
      <c r="D770" s="4">
        <v>0.1343</v>
      </c>
      <c r="E770" s="4">
        <v>5</v>
      </c>
      <c r="F770" s="4">
        <v>46</v>
      </c>
      <c r="G770" s="4">
        <v>51</v>
      </c>
      <c r="H770" s="5">
        <v>40578</v>
      </c>
      <c r="I770" s="4">
        <v>1</v>
      </c>
      <c r="J770" s="4">
        <v>10</v>
      </c>
      <c r="K770" s="4" t="b">
        <f>IF(Append1[[#This Row],[days]]="working day",FALSE,TRUE)</f>
        <v>0</v>
      </c>
      <c r="L770" s="4">
        <v>5</v>
      </c>
      <c r="M770" s="4">
        <v>2</v>
      </c>
      <c r="N770" s="6">
        <v>0.2</v>
      </c>
      <c r="O770" s="2" t="str">
        <f>IF(Append1[[#This Row],[weekday]]=0,"holiday",IF(AND(Append1[[#This Row],[weekday]]&gt;1,Append1[[#This Row],[weekday]]&lt;7),"working day","weekend"))</f>
        <v>working day</v>
      </c>
      <c r="P770" s="4" t="str">
        <f>IF(Append1[[#This Row],[weathersit]]=0,"sunny",IF(Append1[[#This Row],[weathersit]]=1,"mist",IF(Append1[[#This Row],[weathersit]]=2,"lightrain","extremerain")))</f>
        <v>lightrain</v>
      </c>
    </row>
    <row r="771" spans="1:16" x14ac:dyDescent="0.25">
      <c r="A771" s="4">
        <v>769</v>
      </c>
      <c r="B771" s="4">
        <v>0.2273</v>
      </c>
      <c r="C771" s="4">
        <v>0.51</v>
      </c>
      <c r="D771" s="4">
        <v>0.16420000000000001</v>
      </c>
      <c r="E771" s="4">
        <v>3</v>
      </c>
      <c r="F771" s="4">
        <v>61</v>
      </c>
      <c r="G771" s="4">
        <v>64</v>
      </c>
      <c r="H771" s="5">
        <v>40578</v>
      </c>
      <c r="I771" s="4">
        <v>1</v>
      </c>
      <c r="J771" s="4">
        <v>11</v>
      </c>
      <c r="K771" s="4" t="b">
        <f>IF(Append1[[#This Row],[days]]="working day",FALSE,TRUE)</f>
        <v>0</v>
      </c>
      <c r="L771" s="4">
        <v>5</v>
      </c>
      <c r="M771" s="4">
        <v>1</v>
      </c>
      <c r="N771" s="6">
        <v>0.22</v>
      </c>
      <c r="O771" s="2" t="str">
        <f>IF(Append1[[#This Row],[weekday]]=0,"holiday",IF(AND(Append1[[#This Row],[weekday]]&gt;1,Append1[[#This Row],[weekday]]&lt;7),"working day","weekend"))</f>
        <v>working day</v>
      </c>
      <c r="P771" s="4" t="str">
        <f>IF(Append1[[#This Row],[weathersit]]=0,"sunny",IF(Append1[[#This Row],[weathersit]]=1,"mist",IF(Append1[[#This Row],[weathersit]]=2,"lightrain","extremerain")))</f>
        <v>mist</v>
      </c>
    </row>
    <row r="772" spans="1:16" x14ac:dyDescent="0.25">
      <c r="A772" s="4">
        <v>770</v>
      </c>
      <c r="B772" s="4">
        <v>0.2424</v>
      </c>
      <c r="C772" s="4">
        <v>0.48</v>
      </c>
      <c r="D772" s="4">
        <v>0.16420000000000001</v>
      </c>
      <c r="E772" s="4">
        <v>8</v>
      </c>
      <c r="F772" s="4">
        <v>78</v>
      </c>
      <c r="G772" s="4">
        <v>86</v>
      </c>
      <c r="H772" s="5">
        <v>40578</v>
      </c>
      <c r="I772" s="4">
        <v>1</v>
      </c>
      <c r="J772" s="4">
        <v>12</v>
      </c>
      <c r="K772" s="4" t="b">
        <f>IF(Append1[[#This Row],[days]]="working day",FALSE,TRUE)</f>
        <v>0</v>
      </c>
      <c r="L772" s="4">
        <v>5</v>
      </c>
      <c r="M772" s="4">
        <v>2</v>
      </c>
      <c r="N772" s="6">
        <v>0.24</v>
      </c>
      <c r="O772" s="2" t="str">
        <f>IF(Append1[[#This Row],[weekday]]=0,"holiday",IF(AND(Append1[[#This Row],[weekday]]&gt;1,Append1[[#This Row],[weekday]]&lt;7),"working day","weekend"))</f>
        <v>working day</v>
      </c>
      <c r="P772" s="4" t="str">
        <f>IF(Append1[[#This Row],[weathersit]]=0,"sunny",IF(Append1[[#This Row],[weathersit]]=1,"mist",IF(Append1[[#This Row],[weathersit]]=2,"lightrain","extremerain")))</f>
        <v>lightrain</v>
      </c>
    </row>
    <row r="773" spans="1:16" x14ac:dyDescent="0.25">
      <c r="A773" s="4">
        <v>771</v>
      </c>
      <c r="B773" s="4">
        <v>0.2576</v>
      </c>
      <c r="C773" s="4">
        <v>0.5</v>
      </c>
      <c r="D773" s="4">
        <v>0.22389999999999999</v>
      </c>
      <c r="E773" s="4">
        <v>9</v>
      </c>
      <c r="F773" s="4">
        <v>73</v>
      </c>
      <c r="G773" s="4">
        <v>82</v>
      </c>
      <c r="H773" s="5">
        <v>40578</v>
      </c>
      <c r="I773" s="4">
        <v>1</v>
      </c>
      <c r="J773" s="4">
        <v>13</v>
      </c>
      <c r="K773" s="4" t="b">
        <f>IF(Append1[[#This Row],[days]]="working day",FALSE,TRUE)</f>
        <v>0</v>
      </c>
      <c r="L773" s="4">
        <v>5</v>
      </c>
      <c r="M773" s="4">
        <v>2</v>
      </c>
      <c r="N773" s="6">
        <v>0.26</v>
      </c>
      <c r="O773" s="2" t="str">
        <f>IF(Append1[[#This Row],[weekday]]=0,"holiday",IF(AND(Append1[[#This Row],[weekday]]&gt;1,Append1[[#This Row],[weekday]]&lt;7),"working day","weekend"))</f>
        <v>working day</v>
      </c>
      <c r="P773" s="4" t="str">
        <f>IF(Append1[[#This Row],[weathersit]]=0,"sunny",IF(Append1[[#This Row],[weathersit]]=1,"mist",IF(Append1[[#This Row],[weathersit]]=2,"lightrain","extremerain")))</f>
        <v>lightrain</v>
      </c>
    </row>
    <row r="774" spans="1:16" x14ac:dyDescent="0.25">
      <c r="A774" s="4">
        <v>772</v>
      </c>
      <c r="B774" s="4">
        <v>0.2727</v>
      </c>
      <c r="C774" s="4">
        <v>0.45</v>
      </c>
      <c r="D774" s="4">
        <v>0.16420000000000001</v>
      </c>
      <c r="E774" s="4">
        <v>15</v>
      </c>
      <c r="F774" s="4">
        <v>76</v>
      </c>
      <c r="G774" s="4">
        <v>91</v>
      </c>
      <c r="H774" s="5">
        <v>40578</v>
      </c>
      <c r="I774" s="4">
        <v>1</v>
      </c>
      <c r="J774" s="4">
        <v>14</v>
      </c>
      <c r="K774" s="4" t="b">
        <f>IF(Append1[[#This Row],[days]]="working day",FALSE,TRUE)</f>
        <v>0</v>
      </c>
      <c r="L774" s="4">
        <v>5</v>
      </c>
      <c r="M774" s="4">
        <v>2</v>
      </c>
      <c r="N774" s="6">
        <v>0.28000000000000003</v>
      </c>
      <c r="O774" s="2" t="str">
        <f>IF(Append1[[#This Row],[weekday]]=0,"holiday",IF(AND(Append1[[#This Row],[weekday]]&gt;1,Append1[[#This Row],[weekday]]&lt;7),"working day","weekend"))</f>
        <v>working day</v>
      </c>
      <c r="P774" s="4" t="str">
        <f>IF(Append1[[#This Row],[weathersit]]=0,"sunny",IF(Append1[[#This Row],[weathersit]]=1,"mist",IF(Append1[[#This Row],[weathersit]]=2,"lightrain","extremerain")))</f>
        <v>lightrain</v>
      </c>
    </row>
    <row r="775" spans="1:16" x14ac:dyDescent="0.25">
      <c r="A775" s="4">
        <v>773</v>
      </c>
      <c r="B775" s="4">
        <v>0.2727</v>
      </c>
      <c r="C775" s="4">
        <v>0.48</v>
      </c>
      <c r="D775" s="4">
        <v>0.25369999999999998</v>
      </c>
      <c r="E775" s="4">
        <v>9</v>
      </c>
      <c r="F775" s="4">
        <v>81</v>
      </c>
      <c r="G775" s="4">
        <v>90</v>
      </c>
      <c r="H775" s="5">
        <v>40578</v>
      </c>
      <c r="I775" s="4">
        <v>1</v>
      </c>
      <c r="J775" s="4">
        <v>15</v>
      </c>
      <c r="K775" s="4" t="b">
        <f>IF(Append1[[#This Row],[days]]="working day",FALSE,TRUE)</f>
        <v>0</v>
      </c>
      <c r="L775" s="4">
        <v>5</v>
      </c>
      <c r="M775" s="4">
        <v>2</v>
      </c>
      <c r="N775" s="6">
        <v>0.28000000000000003</v>
      </c>
      <c r="O775" s="2" t="str">
        <f>IF(Append1[[#This Row],[weekday]]=0,"holiday",IF(AND(Append1[[#This Row],[weekday]]&gt;1,Append1[[#This Row],[weekday]]&lt;7),"working day","weekend"))</f>
        <v>working day</v>
      </c>
      <c r="P775" s="4" t="str">
        <f>IF(Append1[[#This Row],[weathersit]]=0,"sunny",IF(Append1[[#This Row],[weathersit]]=1,"mist",IF(Append1[[#This Row],[weathersit]]=2,"lightrain","extremerain")))</f>
        <v>lightrain</v>
      </c>
    </row>
    <row r="776" spans="1:16" x14ac:dyDescent="0.25">
      <c r="A776" s="4">
        <v>774</v>
      </c>
      <c r="B776" s="4">
        <v>0.28789999999999999</v>
      </c>
      <c r="C776" s="4">
        <v>0.42</v>
      </c>
      <c r="D776" s="4">
        <v>0.22389999999999999</v>
      </c>
      <c r="E776" s="4">
        <v>8</v>
      </c>
      <c r="F776" s="4">
        <v>91</v>
      </c>
      <c r="G776" s="4">
        <v>99</v>
      </c>
      <c r="H776" s="5">
        <v>40578</v>
      </c>
      <c r="I776" s="4">
        <v>1</v>
      </c>
      <c r="J776" s="4">
        <v>16</v>
      </c>
      <c r="K776" s="4" t="b">
        <f>IF(Append1[[#This Row],[days]]="working day",FALSE,TRUE)</f>
        <v>0</v>
      </c>
      <c r="L776" s="4">
        <v>5</v>
      </c>
      <c r="M776" s="4">
        <v>2</v>
      </c>
      <c r="N776" s="6">
        <v>0.3</v>
      </c>
      <c r="O776" s="2" t="str">
        <f>IF(Append1[[#This Row],[weekday]]=0,"holiday",IF(AND(Append1[[#This Row],[weekday]]&gt;1,Append1[[#This Row],[weekday]]&lt;7),"working day","weekend"))</f>
        <v>working day</v>
      </c>
      <c r="P776" s="4" t="str">
        <f>IF(Append1[[#This Row],[weathersit]]=0,"sunny",IF(Append1[[#This Row],[weathersit]]=1,"mist",IF(Append1[[#This Row],[weathersit]]=2,"lightrain","extremerain")))</f>
        <v>lightrain</v>
      </c>
    </row>
    <row r="777" spans="1:16" x14ac:dyDescent="0.25">
      <c r="A777" s="4">
        <v>775</v>
      </c>
      <c r="B777" s="4">
        <v>0.2727</v>
      </c>
      <c r="C777" s="4">
        <v>0.56000000000000005</v>
      </c>
      <c r="D777" s="4">
        <v>0.1343</v>
      </c>
      <c r="E777" s="4">
        <v>10</v>
      </c>
      <c r="F777" s="4">
        <v>195</v>
      </c>
      <c r="G777" s="4">
        <v>205</v>
      </c>
      <c r="H777" s="5">
        <v>40578</v>
      </c>
      <c r="I777" s="4">
        <v>1</v>
      </c>
      <c r="J777" s="4">
        <v>17</v>
      </c>
      <c r="K777" s="4" t="b">
        <f>IF(Append1[[#This Row],[days]]="working day",FALSE,TRUE)</f>
        <v>0</v>
      </c>
      <c r="L777" s="4">
        <v>5</v>
      </c>
      <c r="M777" s="4">
        <v>2</v>
      </c>
      <c r="N777" s="6">
        <v>0.26</v>
      </c>
      <c r="O777" s="2" t="str">
        <f>IF(Append1[[#This Row],[weekday]]=0,"holiday",IF(AND(Append1[[#This Row],[weekday]]&gt;1,Append1[[#This Row],[weekday]]&lt;7),"working day","weekend"))</f>
        <v>working day</v>
      </c>
      <c r="P777" s="4" t="str">
        <f>IF(Append1[[#This Row],[weathersit]]=0,"sunny",IF(Append1[[#This Row],[weathersit]]=1,"mist",IF(Append1[[#This Row],[weathersit]]=2,"lightrain","extremerain")))</f>
        <v>lightrain</v>
      </c>
    </row>
    <row r="778" spans="1:16" x14ac:dyDescent="0.25">
      <c r="A778" s="4">
        <v>776</v>
      </c>
      <c r="B778" s="4">
        <v>0.2576</v>
      </c>
      <c r="C778" s="4">
        <v>0.6</v>
      </c>
      <c r="D778" s="4">
        <v>0.1045</v>
      </c>
      <c r="E778" s="4">
        <v>3</v>
      </c>
      <c r="F778" s="4">
        <v>152</v>
      </c>
      <c r="G778" s="4">
        <v>155</v>
      </c>
      <c r="H778" s="5">
        <v>40578</v>
      </c>
      <c r="I778" s="4">
        <v>1</v>
      </c>
      <c r="J778" s="4">
        <v>18</v>
      </c>
      <c r="K778" s="4" t="b">
        <f>IF(Append1[[#This Row],[days]]="working day",FALSE,TRUE)</f>
        <v>0</v>
      </c>
      <c r="L778" s="4">
        <v>5</v>
      </c>
      <c r="M778" s="4">
        <v>2</v>
      </c>
      <c r="N778" s="6">
        <v>0.24</v>
      </c>
      <c r="O778" s="2" t="str">
        <f>IF(Append1[[#This Row],[weekday]]=0,"holiday",IF(AND(Append1[[#This Row],[weekday]]&gt;1,Append1[[#This Row],[weekday]]&lt;7),"working day","weekend"))</f>
        <v>working day</v>
      </c>
      <c r="P778" s="4" t="str">
        <f>IF(Append1[[#This Row],[weathersit]]=0,"sunny",IF(Append1[[#This Row],[weathersit]]=1,"mist",IF(Append1[[#This Row],[weathersit]]=2,"lightrain","extremerain")))</f>
        <v>lightrain</v>
      </c>
    </row>
    <row r="779" spans="1:16" x14ac:dyDescent="0.25">
      <c r="A779" s="4">
        <v>777</v>
      </c>
      <c r="B779" s="4">
        <v>0.2424</v>
      </c>
      <c r="C779" s="4">
        <v>0.65</v>
      </c>
      <c r="D779" s="4">
        <v>0.1343</v>
      </c>
      <c r="E779" s="4">
        <v>1</v>
      </c>
      <c r="F779" s="4">
        <v>102</v>
      </c>
      <c r="G779" s="4">
        <v>103</v>
      </c>
      <c r="H779" s="5">
        <v>40578</v>
      </c>
      <c r="I779" s="4">
        <v>1</v>
      </c>
      <c r="J779" s="4">
        <v>19</v>
      </c>
      <c r="K779" s="4" t="b">
        <f>IF(Append1[[#This Row],[days]]="working day",FALSE,TRUE)</f>
        <v>0</v>
      </c>
      <c r="L779" s="4">
        <v>5</v>
      </c>
      <c r="M779" s="4">
        <v>2</v>
      </c>
      <c r="N779" s="6">
        <v>0.24</v>
      </c>
      <c r="O779" s="2" t="str">
        <f>IF(Append1[[#This Row],[weekday]]=0,"holiday",IF(AND(Append1[[#This Row],[weekday]]&gt;1,Append1[[#This Row],[weekday]]&lt;7),"working day","weekend"))</f>
        <v>working day</v>
      </c>
      <c r="P779" s="4" t="str">
        <f>IF(Append1[[#This Row],[weathersit]]=0,"sunny",IF(Append1[[#This Row],[weathersit]]=1,"mist",IF(Append1[[#This Row],[weathersit]]=2,"lightrain","extremerain")))</f>
        <v>lightrain</v>
      </c>
    </row>
    <row r="780" spans="1:16" x14ac:dyDescent="0.25">
      <c r="A780" s="4">
        <v>778</v>
      </c>
      <c r="B780" s="4">
        <v>0.2424</v>
      </c>
      <c r="C780" s="4">
        <v>0.65</v>
      </c>
      <c r="D780" s="4">
        <v>0.16420000000000001</v>
      </c>
      <c r="E780" s="4">
        <v>2</v>
      </c>
      <c r="F780" s="4">
        <v>69</v>
      </c>
      <c r="G780" s="4">
        <v>71</v>
      </c>
      <c r="H780" s="5">
        <v>40578</v>
      </c>
      <c r="I780" s="4">
        <v>1</v>
      </c>
      <c r="J780" s="4">
        <v>20</v>
      </c>
      <c r="K780" s="4" t="b">
        <f>IF(Append1[[#This Row],[days]]="working day",FALSE,TRUE)</f>
        <v>0</v>
      </c>
      <c r="L780" s="4">
        <v>5</v>
      </c>
      <c r="M780" s="4">
        <v>2</v>
      </c>
      <c r="N780" s="6">
        <v>0.24</v>
      </c>
      <c r="O780" s="2" t="str">
        <f>IF(Append1[[#This Row],[weekday]]=0,"holiday",IF(AND(Append1[[#This Row],[weekday]]&gt;1,Append1[[#This Row],[weekday]]&lt;7),"working day","weekend"))</f>
        <v>working day</v>
      </c>
      <c r="P780" s="4" t="str">
        <f>IF(Append1[[#This Row],[weathersit]]=0,"sunny",IF(Append1[[#This Row],[weathersit]]=1,"mist",IF(Append1[[#This Row],[weathersit]]=2,"lightrain","extremerain")))</f>
        <v>lightrain</v>
      </c>
    </row>
    <row r="781" spans="1:16" x14ac:dyDescent="0.25">
      <c r="A781" s="4">
        <v>779</v>
      </c>
      <c r="B781" s="4">
        <v>0.2424</v>
      </c>
      <c r="C781" s="4">
        <v>0.7</v>
      </c>
      <c r="D781" s="4">
        <v>0.16420000000000001</v>
      </c>
      <c r="E781" s="4">
        <v>2</v>
      </c>
      <c r="F781" s="4">
        <v>41</v>
      </c>
      <c r="G781" s="4">
        <v>43</v>
      </c>
      <c r="H781" s="5">
        <v>40578</v>
      </c>
      <c r="I781" s="4">
        <v>1</v>
      </c>
      <c r="J781" s="4">
        <v>21</v>
      </c>
      <c r="K781" s="4" t="b">
        <f>IF(Append1[[#This Row],[days]]="working day",FALSE,TRUE)</f>
        <v>0</v>
      </c>
      <c r="L781" s="4">
        <v>5</v>
      </c>
      <c r="M781" s="4">
        <v>2</v>
      </c>
      <c r="N781" s="6">
        <v>0.24</v>
      </c>
      <c r="O781" s="2" t="str">
        <f>IF(Append1[[#This Row],[weekday]]=0,"holiday",IF(AND(Append1[[#This Row],[weekday]]&gt;1,Append1[[#This Row],[weekday]]&lt;7),"working day","weekend"))</f>
        <v>working day</v>
      </c>
      <c r="P781" s="4" t="str">
        <f>IF(Append1[[#This Row],[weathersit]]=0,"sunny",IF(Append1[[#This Row],[weathersit]]=1,"mist",IF(Append1[[#This Row],[weathersit]]=2,"lightrain","extremerain")))</f>
        <v>lightrain</v>
      </c>
    </row>
    <row r="782" spans="1:16" x14ac:dyDescent="0.25">
      <c r="A782" s="4">
        <v>780</v>
      </c>
      <c r="B782" s="4">
        <v>0.2424</v>
      </c>
      <c r="C782" s="4">
        <v>0.65</v>
      </c>
      <c r="D782" s="4">
        <v>0.16420000000000001</v>
      </c>
      <c r="E782" s="4">
        <v>1</v>
      </c>
      <c r="F782" s="4">
        <v>45</v>
      </c>
      <c r="G782" s="4">
        <v>46</v>
      </c>
      <c r="H782" s="5">
        <v>40578</v>
      </c>
      <c r="I782" s="4">
        <v>1</v>
      </c>
      <c r="J782" s="4">
        <v>22</v>
      </c>
      <c r="K782" s="4" t="b">
        <f>IF(Append1[[#This Row],[days]]="working day",FALSE,TRUE)</f>
        <v>0</v>
      </c>
      <c r="L782" s="4">
        <v>5</v>
      </c>
      <c r="M782" s="4">
        <v>2</v>
      </c>
      <c r="N782" s="6">
        <v>0.24</v>
      </c>
      <c r="O782" s="2" t="str">
        <f>IF(Append1[[#This Row],[weekday]]=0,"holiday",IF(AND(Append1[[#This Row],[weekday]]&gt;1,Append1[[#This Row],[weekday]]&lt;7),"working day","weekend"))</f>
        <v>working day</v>
      </c>
      <c r="P782" s="4" t="str">
        <f>IF(Append1[[#This Row],[weathersit]]=0,"sunny",IF(Append1[[#This Row],[weathersit]]=1,"mist",IF(Append1[[#This Row],[weathersit]]=2,"lightrain","extremerain")))</f>
        <v>lightrain</v>
      </c>
    </row>
    <row r="783" spans="1:16" x14ac:dyDescent="0.25">
      <c r="A783" s="4">
        <v>781</v>
      </c>
      <c r="B783" s="4">
        <v>0.2424</v>
      </c>
      <c r="C783" s="4">
        <v>0.7</v>
      </c>
      <c r="D783" s="4">
        <v>0.1343</v>
      </c>
      <c r="E783" s="4">
        <v>1</v>
      </c>
      <c r="F783" s="4">
        <v>30</v>
      </c>
      <c r="G783" s="4">
        <v>31</v>
      </c>
      <c r="H783" s="5">
        <v>40578</v>
      </c>
      <c r="I783" s="4">
        <v>1</v>
      </c>
      <c r="J783" s="4">
        <v>23</v>
      </c>
      <c r="K783" s="4" t="b">
        <f>IF(Append1[[#This Row],[days]]="working day",FALSE,TRUE)</f>
        <v>0</v>
      </c>
      <c r="L783" s="4">
        <v>5</v>
      </c>
      <c r="M783" s="4">
        <v>2</v>
      </c>
      <c r="N783" s="6">
        <v>0.24</v>
      </c>
      <c r="O783" s="2" t="str">
        <f>IF(Append1[[#This Row],[weekday]]=0,"holiday",IF(AND(Append1[[#This Row],[weekday]]&gt;1,Append1[[#This Row],[weekday]]&lt;7),"working day","weekend"))</f>
        <v>working day</v>
      </c>
      <c r="P783" s="4" t="str">
        <f>IF(Append1[[#This Row],[weathersit]]=0,"sunny",IF(Append1[[#This Row],[weathersit]]=1,"mist",IF(Append1[[#This Row],[weathersit]]=2,"lightrain","extremerain")))</f>
        <v>lightrain</v>
      </c>
    </row>
    <row r="784" spans="1:16" x14ac:dyDescent="0.25">
      <c r="A784" s="4">
        <v>782</v>
      </c>
      <c r="B784" s="4">
        <v>0.2424</v>
      </c>
      <c r="C784" s="4">
        <v>0.7</v>
      </c>
      <c r="D784" s="4">
        <v>0.16420000000000001</v>
      </c>
      <c r="E784" s="4">
        <v>3</v>
      </c>
      <c r="F784" s="4">
        <v>36</v>
      </c>
      <c r="G784" s="4">
        <v>39</v>
      </c>
      <c r="H784" s="5">
        <v>40579</v>
      </c>
      <c r="I784" s="4">
        <v>1</v>
      </c>
      <c r="J784" s="4">
        <v>0</v>
      </c>
      <c r="K784" s="4" t="b">
        <f>IF(Append1[[#This Row],[days]]="working day",FALSE,TRUE)</f>
        <v>0</v>
      </c>
      <c r="L784" s="4">
        <v>6</v>
      </c>
      <c r="M784" s="4">
        <v>2</v>
      </c>
      <c r="N784" s="6">
        <v>0.24</v>
      </c>
      <c r="O784" s="2" t="str">
        <f>IF(Append1[[#This Row],[weekday]]=0,"holiday",IF(AND(Append1[[#This Row],[weekday]]&gt;1,Append1[[#This Row],[weekday]]&lt;7),"working day","weekend"))</f>
        <v>working day</v>
      </c>
      <c r="P784" s="4" t="str">
        <f>IF(Append1[[#This Row],[weathersit]]=0,"sunny",IF(Append1[[#This Row],[weathersit]]=1,"mist",IF(Append1[[#This Row],[weathersit]]=2,"lightrain","extremerain")))</f>
        <v>lightrain</v>
      </c>
    </row>
    <row r="785" spans="1:16" x14ac:dyDescent="0.25">
      <c r="A785" s="4">
        <v>783</v>
      </c>
      <c r="B785" s="4">
        <v>0.2424</v>
      </c>
      <c r="C785" s="4">
        <v>0.65</v>
      </c>
      <c r="D785" s="4">
        <v>0.16420000000000001</v>
      </c>
      <c r="E785" s="4">
        <v>1</v>
      </c>
      <c r="F785" s="4">
        <v>17</v>
      </c>
      <c r="G785" s="4">
        <v>18</v>
      </c>
      <c r="H785" s="5">
        <v>40579</v>
      </c>
      <c r="I785" s="4">
        <v>1</v>
      </c>
      <c r="J785" s="4">
        <v>1</v>
      </c>
      <c r="K785" s="4" t="b">
        <f>IF(Append1[[#This Row],[days]]="working day",FALSE,TRUE)</f>
        <v>0</v>
      </c>
      <c r="L785" s="4">
        <v>6</v>
      </c>
      <c r="M785" s="4">
        <v>2</v>
      </c>
      <c r="N785" s="6">
        <v>0.24</v>
      </c>
      <c r="O785" s="2" t="str">
        <f>IF(Append1[[#This Row],[weekday]]=0,"holiday",IF(AND(Append1[[#This Row],[weekday]]&gt;1,Append1[[#This Row],[weekday]]&lt;7),"working day","weekend"))</f>
        <v>working day</v>
      </c>
      <c r="P785" s="4" t="str">
        <f>IF(Append1[[#This Row],[weathersit]]=0,"sunny",IF(Append1[[#This Row],[weathersit]]=1,"mist",IF(Append1[[#This Row],[weathersit]]=2,"lightrain","extremerain")))</f>
        <v>lightrain</v>
      </c>
    </row>
    <row r="786" spans="1:16" x14ac:dyDescent="0.25">
      <c r="A786" s="4">
        <v>784</v>
      </c>
      <c r="B786" s="4">
        <v>0.2424</v>
      </c>
      <c r="C786" s="4">
        <v>0.75</v>
      </c>
      <c r="D786" s="4">
        <v>0.16420000000000001</v>
      </c>
      <c r="E786" s="4">
        <v>5</v>
      </c>
      <c r="F786" s="4">
        <v>12</v>
      </c>
      <c r="G786" s="4">
        <v>17</v>
      </c>
      <c r="H786" s="5">
        <v>40579</v>
      </c>
      <c r="I786" s="4">
        <v>1</v>
      </c>
      <c r="J786" s="4">
        <v>2</v>
      </c>
      <c r="K786" s="4" t="b">
        <f>IF(Append1[[#This Row],[days]]="working day",FALSE,TRUE)</f>
        <v>0</v>
      </c>
      <c r="L786" s="4">
        <v>6</v>
      </c>
      <c r="M786" s="4">
        <v>2</v>
      </c>
      <c r="N786" s="6">
        <v>0.24</v>
      </c>
      <c r="O786" s="2" t="str">
        <f>IF(Append1[[#This Row],[weekday]]=0,"holiday",IF(AND(Append1[[#This Row],[weekday]]&gt;1,Append1[[#This Row],[weekday]]&lt;7),"working day","weekend"))</f>
        <v>working day</v>
      </c>
      <c r="P786" s="4" t="str">
        <f>IF(Append1[[#This Row],[weathersit]]=0,"sunny",IF(Append1[[#This Row],[weathersit]]=1,"mist",IF(Append1[[#This Row],[weathersit]]=2,"lightrain","extremerain")))</f>
        <v>lightrain</v>
      </c>
    </row>
    <row r="787" spans="1:16" x14ac:dyDescent="0.25">
      <c r="A787" s="4">
        <v>785</v>
      </c>
      <c r="B787" s="4">
        <v>0.2424</v>
      </c>
      <c r="C787" s="4">
        <v>0.75</v>
      </c>
      <c r="D787" s="4">
        <v>0.16420000000000001</v>
      </c>
      <c r="E787" s="4">
        <v>1</v>
      </c>
      <c r="F787" s="4">
        <v>10</v>
      </c>
      <c r="G787" s="4">
        <v>11</v>
      </c>
      <c r="H787" s="5">
        <v>40579</v>
      </c>
      <c r="I787" s="4">
        <v>1</v>
      </c>
      <c r="J787" s="4">
        <v>3</v>
      </c>
      <c r="K787" s="4" t="b">
        <f>IF(Append1[[#This Row],[days]]="working day",FALSE,TRUE)</f>
        <v>0</v>
      </c>
      <c r="L787" s="4">
        <v>6</v>
      </c>
      <c r="M787" s="4">
        <v>2</v>
      </c>
      <c r="N787" s="6">
        <v>0.24</v>
      </c>
      <c r="O787" s="2" t="str">
        <f>IF(Append1[[#This Row],[weekday]]=0,"holiday",IF(AND(Append1[[#This Row],[weekday]]&gt;1,Append1[[#This Row],[weekday]]&lt;7),"working day","weekend"))</f>
        <v>working day</v>
      </c>
      <c r="P787" s="4" t="str">
        <f>IF(Append1[[#This Row],[weathersit]]=0,"sunny",IF(Append1[[#This Row],[weathersit]]=1,"mist",IF(Append1[[#This Row],[weathersit]]=2,"lightrain","extremerain")))</f>
        <v>lightrain</v>
      </c>
    </row>
    <row r="788" spans="1:16" x14ac:dyDescent="0.25">
      <c r="A788" s="4">
        <v>786</v>
      </c>
      <c r="B788" s="4">
        <v>0.2273</v>
      </c>
      <c r="C788" s="4">
        <v>0.93</v>
      </c>
      <c r="D788" s="4">
        <v>0.1343</v>
      </c>
      <c r="E788" s="4">
        <v>0</v>
      </c>
      <c r="F788" s="4">
        <v>8</v>
      </c>
      <c r="G788" s="4">
        <v>8</v>
      </c>
      <c r="H788" s="5">
        <v>40579</v>
      </c>
      <c r="I788" s="4">
        <v>1</v>
      </c>
      <c r="J788" s="4">
        <v>4</v>
      </c>
      <c r="K788" s="4" t="b">
        <f>IF(Append1[[#This Row],[days]]="working day",FALSE,TRUE)</f>
        <v>0</v>
      </c>
      <c r="L788" s="4">
        <v>6</v>
      </c>
      <c r="M788" s="4">
        <v>3</v>
      </c>
      <c r="N788" s="6">
        <v>0.22</v>
      </c>
      <c r="O788" s="2" t="str">
        <f>IF(Append1[[#This Row],[weekday]]=0,"holiday",IF(AND(Append1[[#This Row],[weekday]]&gt;1,Append1[[#This Row],[weekday]]&lt;7),"working day","weekend"))</f>
        <v>working day</v>
      </c>
      <c r="P788" s="4" t="str">
        <f>IF(Append1[[#This Row],[weathersit]]=0,"sunny",IF(Append1[[#This Row],[weathersit]]=1,"mist",IF(Append1[[#This Row],[weathersit]]=2,"lightrain","extremerain")))</f>
        <v>extremerain</v>
      </c>
    </row>
    <row r="789" spans="1:16" x14ac:dyDescent="0.25">
      <c r="A789" s="4">
        <v>787</v>
      </c>
      <c r="B789" s="4">
        <v>0.2273</v>
      </c>
      <c r="C789" s="4">
        <v>1</v>
      </c>
      <c r="D789" s="4">
        <v>8.9599999999999999E-2</v>
      </c>
      <c r="E789" s="4">
        <v>0</v>
      </c>
      <c r="F789" s="4">
        <v>9</v>
      </c>
      <c r="G789" s="4">
        <v>9</v>
      </c>
      <c r="H789" s="5">
        <v>40579</v>
      </c>
      <c r="I789" s="4">
        <v>1</v>
      </c>
      <c r="J789" s="4">
        <v>5</v>
      </c>
      <c r="K789" s="4" t="b">
        <f>IF(Append1[[#This Row],[days]]="working day",FALSE,TRUE)</f>
        <v>0</v>
      </c>
      <c r="L789" s="4">
        <v>6</v>
      </c>
      <c r="M789" s="4">
        <v>3</v>
      </c>
      <c r="N789" s="6">
        <v>0.2</v>
      </c>
      <c r="O789" s="2" t="str">
        <f>IF(Append1[[#This Row],[weekday]]=0,"holiday",IF(AND(Append1[[#This Row],[weekday]]&gt;1,Append1[[#This Row],[weekday]]&lt;7),"working day","weekend"))</f>
        <v>working day</v>
      </c>
      <c r="P789" s="4" t="str">
        <f>IF(Append1[[#This Row],[weathersit]]=0,"sunny",IF(Append1[[#This Row],[weathersit]]=1,"mist",IF(Append1[[#This Row],[weathersit]]=2,"lightrain","extremerain")))</f>
        <v>extremerain</v>
      </c>
    </row>
    <row r="790" spans="1:16" x14ac:dyDescent="0.25">
      <c r="A790" s="4">
        <v>788</v>
      </c>
      <c r="B790" s="4">
        <v>0.2576</v>
      </c>
      <c r="C790" s="4">
        <v>1</v>
      </c>
      <c r="D790" s="4">
        <v>0</v>
      </c>
      <c r="E790" s="4">
        <v>0</v>
      </c>
      <c r="F790" s="4">
        <v>4</v>
      </c>
      <c r="G790" s="4">
        <v>4</v>
      </c>
      <c r="H790" s="5">
        <v>40579</v>
      </c>
      <c r="I790" s="4">
        <v>1</v>
      </c>
      <c r="J790" s="4">
        <v>6</v>
      </c>
      <c r="K790" s="4" t="b">
        <f>IF(Append1[[#This Row],[days]]="working day",FALSE,TRUE)</f>
        <v>0</v>
      </c>
      <c r="L790" s="4">
        <v>6</v>
      </c>
      <c r="M790" s="4">
        <v>3</v>
      </c>
      <c r="N790" s="6">
        <v>0.2</v>
      </c>
      <c r="O790" s="2" t="str">
        <f>IF(Append1[[#This Row],[weekday]]=0,"holiday",IF(AND(Append1[[#This Row],[weekday]]&gt;1,Append1[[#This Row],[weekday]]&lt;7),"working day","weekend"))</f>
        <v>working day</v>
      </c>
      <c r="P790" s="4" t="str">
        <f>IF(Append1[[#This Row],[weathersit]]=0,"sunny",IF(Append1[[#This Row],[weathersit]]=1,"mist",IF(Append1[[#This Row],[weathersit]]=2,"lightrain","extremerain")))</f>
        <v>extremerain</v>
      </c>
    </row>
    <row r="791" spans="1:16" x14ac:dyDescent="0.25">
      <c r="A791" s="4">
        <v>789</v>
      </c>
      <c r="B791" s="4">
        <v>0.2576</v>
      </c>
      <c r="C791" s="4">
        <v>0.93</v>
      </c>
      <c r="D791" s="4">
        <v>8.9599999999999999E-2</v>
      </c>
      <c r="E791" s="4">
        <v>0</v>
      </c>
      <c r="F791" s="4">
        <v>4</v>
      </c>
      <c r="G791" s="4">
        <v>4</v>
      </c>
      <c r="H791" s="5">
        <v>40579</v>
      </c>
      <c r="I791" s="4">
        <v>1</v>
      </c>
      <c r="J791" s="4">
        <v>7</v>
      </c>
      <c r="K791" s="4" t="b">
        <f>IF(Append1[[#This Row],[days]]="working day",FALSE,TRUE)</f>
        <v>0</v>
      </c>
      <c r="L791" s="4">
        <v>6</v>
      </c>
      <c r="M791" s="4">
        <v>3</v>
      </c>
      <c r="N791" s="6">
        <v>0.22</v>
      </c>
      <c r="O791" s="2" t="str">
        <f>IF(Append1[[#This Row],[weekday]]=0,"holiday",IF(AND(Append1[[#This Row],[weekday]]&gt;1,Append1[[#This Row],[weekday]]&lt;7),"working day","weekend"))</f>
        <v>working day</v>
      </c>
      <c r="P791" s="4" t="str">
        <f>IF(Append1[[#This Row],[weathersit]]=0,"sunny",IF(Append1[[#This Row],[weathersit]]=1,"mist",IF(Append1[[#This Row],[weathersit]]=2,"lightrain","extremerain")))</f>
        <v>extremerain</v>
      </c>
    </row>
    <row r="792" spans="1:16" x14ac:dyDescent="0.25">
      <c r="A792" s="4">
        <v>790</v>
      </c>
      <c r="B792" s="4">
        <v>0.2273</v>
      </c>
      <c r="C792" s="4">
        <v>1</v>
      </c>
      <c r="D792" s="4">
        <v>8.9599999999999999E-2</v>
      </c>
      <c r="E792" s="4">
        <v>0</v>
      </c>
      <c r="F792" s="4">
        <v>10</v>
      </c>
      <c r="G792" s="4">
        <v>10</v>
      </c>
      <c r="H792" s="5">
        <v>40579</v>
      </c>
      <c r="I792" s="4">
        <v>1</v>
      </c>
      <c r="J792" s="4">
        <v>8</v>
      </c>
      <c r="K792" s="4" t="b">
        <f>IF(Append1[[#This Row],[days]]="working day",FALSE,TRUE)</f>
        <v>0</v>
      </c>
      <c r="L792" s="4">
        <v>6</v>
      </c>
      <c r="M792" s="4">
        <v>3</v>
      </c>
      <c r="N792" s="6">
        <v>0.2</v>
      </c>
      <c r="O792" s="2" t="str">
        <f>IF(Append1[[#This Row],[weekday]]=0,"holiday",IF(AND(Append1[[#This Row],[weekday]]&gt;1,Append1[[#This Row],[weekday]]&lt;7),"working day","weekend"))</f>
        <v>working day</v>
      </c>
      <c r="P792" s="4" t="str">
        <f>IF(Append1[[#This Row],[weathersit]]=0,"sunny",IF(Append1[[#This Row],[weathersit]]=1,"mist",IF(Append1[[#This Row],[weathersit]]=2,"lightrain","extremerain")))</f>
        <v>extremerain</v>
      </c>
    </row>
    <row r="793" spans="1:16" x14ac:dyDescent="0.25">
      <c r="A793" s="4">
        <v>791</v>
      </c>
      <c r="B793" s="4">
        <v>0.2273</v>
      </c>
      <c r="C793" s="4">
        <v>1</v>
      </c>
      <c r="D793" s="4">
        <v>8.9599999999999999E-2</v>
      </c>
      <c r="E793" s="4">
        <v>3</v>
      </c>
      <c r="F793" s="4">
        <v>17</v>
      </c>
      <c r="G793" s="4">
        <v>20</v>
      </c>
      <c r="H793" s="5">
        <v>40579</v>
      </c>
      <c r="I793" s="4">
        <v>1</v>
      </c>
      <c r="J793" s="4">
        <v>9</v>
      </c>
      <c r="K793" s="4" t="b">
        <f>IF(Append1[[#This Row],[days]]="working day",FALSE,TRUE)</f>
        <v>0</v>
      </c>
      <c r="L793" s="4">
        <v>6</v>
      </c>
      <c r="M793" s="4">
        <v>3</v>
      </c>
      <c r="N793" s="6">
        <v>0.2</v>
      </c>
      <c r="O793" s="2" t="str">
        <f>IF(Append1[[#This Row],[weekday]]=0,"holiday",IF(AND(Append1[[#This Row],[weekday]]&gt;1,Append1[[#This Row],[weekday]]&lt;7),"working day","weekend"))</f>
        <v>working day</v>
      </c>
      <c r="P793" s="4" t="str">
        <f>IF(Append1[[#This Row],[weathersit]]=0,"sunny",IF(Append1[[#This Row],[weathersit]]=1,"mist",IF(Append1[[#This Row],[weathersit]]=2,"lightrain","extremerain")))</f>
        <v>extremerain</v>
      </c>
    </row>
    <row r="794" spans="1:16" x14ac:dyDescent="0.25">
      <c r="A794" s="4">
        <v>792</v>
      </c>
      <c r="B794" s="4">
        <v>0.21210000000000001</v>
      </c>
      <c r="C794" s="4">
        <v>1</v>
      </c>
      <c r="D794" s="4">
        <v>0.1343</v>
      </c>
      <c r="E794" s="4">
        <v>3</v>
      </c>
      <c r="F794" s="4">
        <v>31</v>
      </c>
      <c r="G794" s="4">
        <v>34</v>
      </c>
      <c r="H794" s="5">
        <v>40579</v>
      </c>
      <c r="I794" s="4">
        <v>1</v>
      </c>
      <c r="J794" s="4">
        <v>10</v>
      </c>
      <c r="K794" s="4" t="b">
        <f>IF(Append1[[#This Row],[days]]="working day",FALSE,TRUE)</f>
        <v>0</v>
      </c>
      <c r="L794" s="4">
        <v>6</v>
      </c>
      <c r="M794" s="4">
        <v>3</v>
      </c>
      <c r="N794" s="6">
        <v>0.2</v>
      </c>
      <c r="O794" s="2" t="str">
        <f>IF(Append1[[#This Row],[weekday]]=0,"holiday",IF(AND(Append1[[#This Row],[weekday]]&gt;1,Append1[[#This Row],[weekday]]&lt;7),"working day","weekend"))</f>
        <v>working day</v>
      </c>
      <c r="P794" s="4" t="str">
        <f>IF(Append1[[#This Row],[weathersit]]=0,"sunny",IF(Append1[[#This Row],[weathersit]]=1,"mist",IF(Append1[[#This Row],[weathersit]]=2,"lightrain","extremerain")))</f>
        <v>extremerain</v>
      </c>
    </row>
    <row r="795" spans="1:16" x14ac:dyDescent="0.25">
      <c r="A795" s="4">
        <v>793</v>
      </c>
      <c r="B795" s="4">
        <v>0.2273</v>
      </c>
      <c r="C795" s="4">
        <v>1</v>
      </c>
      <c r="D795" s="4">
        <v>0.1343</v>
      </c>
      <c r="E795" s="4">
        <v>1</v>
      </c>
      <c r="F795" s="4">
        <v>46</v>
      </c>
      <c r="G795" s="4">
        <v>47</v>
      </c>
      <c r="H795" s="5">
        <v>40579</v>
      </c>
      <c r="I795" s="4">
        <v>1</v>
      </c>
      <c r="J795" s="4">
        <v>11</v>
      </c>
      <c r="K795" s="4" t="b">
        <f>IF(Append1[[#This Row],[days]]="working day",FALSE,TRUE)</f>
        <v>0</v>
      </c>
      <c r="L795" s="4">
        <v>6</v>
      </c>
      <c r="M795" s="4">
        <v>3</v>
      </c>
      <c r="N795" s="6">
        <v>0.22</v>
      </c>
      <c r="O795" s="2" t="str">
        <f>IF(Append1[[#This Row],[weekday]]=0,"holiday",IF(AND(Append1[[#This Row],[weekday]]&gt;1,Append1[[#This Row],[weekday]]&lt;7),"working day","weekend"))</f>
        <v>working day</v>
      </c>
      <c r="P795" s="4" t="str">
        <f>IF(Append1[[#This Row],[weathersit]]=0,"sunny",IF(Append1[[#This Row],[weathersit]]=1,"mist",IF(Append1[[#This Row],[weathersit]]=2,"lightrain","extremerain")))</f>
        <v>extremerain</v>
      </c>
    </row>
    <row r="796" spans="1:16" x14ac:dyDescent="0.25">
      <c r="A796" s="4">
        <v>794</v>
      </c>
      <c r="B796" s="4">
        <v>0.2273</v>
      </c>
      <c r="C796" s="4">
        <v>1</v>
      </c>
      <c r="D796" s="4">
        <v>0.16420000000000001</v>
      </c>
      <c r="E796" s="4">
        <v>10</v>
      </c>
      <c r="F796" s="4">
        <v>42</v>
      </c>
      <c r="G796" s="4">
        <v>52</v>
      </c>
      <c r="H796" s="5">
        <v>40579</v>
      </c>
      <c r="I796" s="4">
        <v>1</v>
      </c>
      <c r="J796" s="4">
        <v>12</v>
      </c>
      <c r="K796" s="4" t="b">
        <f>IF(Append1[[#This Row],[days]]="working day",FALSE,TRUE)</f>
        <v>0</v>
      </c>
      <c r="L796" s="4">
        <v>6</v>
      </c>
      <c r="M796" s="4">
        <v>3</v>
      </c>
      <c r="N796" s="6">
        <v>0.22</v>
      </c>
      <c r="O796" s="2" t="str">
        <f>IF(Append1[[#This Row],[weekday]]=0,"holiday",IF(AND(Append1[[#This Row],[weekday]]&gt;1,Append1[[#This Row],[weekday]]&lt;7),"working day","weekend"))</f>
        <v>working day</v>
      </c>
      <c r="P796" s="4" t="str">
        <f>IF(Append1[[#This Row],[weathersit]]=0,"sunny",IF(Append1[[#This Row],[weathersit]]=1,"mist",IF(Append1[[#This Row],[weathersit]]=2,"lightrain","extremerain")))</f>
        <v>extremerain</v>
      </c>
    </row>
    <row r="797" spans="1:16" x14ac:dyDescent="0.25">
      <c r="A797" s="4">
        <v>795</v>
      </c>
      <c r="B797" s="4">
        <v>0.2273</v>
      </c>
      <c r="C797" s="4">
        <v>1</v>
      </c>
      <c r="D797" s="4">
        <v>0.16420000000000001</v>
      </c>
      <c r="E797" s="4">
        <v>10</v>
      </c>
      <c r="F797" s="4">
        <v>62</v>
      </c>
      <c r="G797" s="4">
        <v>72</v>
      </c>
      <c r="H797" s="5">
        <v>40579</v>
      </c>
      <c r="I797" s="4">
        <v>1</v>
      </c>
      <c r="J797" s="4">
        <v>13</v>
      </c>
      <c r="K797" s="4" t="b">
        <f>IF(Append1[[#This Row],[days]]="working day",FALSE,TRUE)</f>
        <v>0</v>
      </c>
      <c r="L797" s="4">
        <v>6</v>
      </c>
      <c r="M797" s="4">
        <v>3</v>
      </c>
      <c r="N797" s="6">
        <v>0.22</v>
      </c>
      <c r="O797" s="2" t="str">
        <f>IF(Append1[[#This Row],[weekday]]=0,"holiday",IF(AND(Append1[[#This Row],[weekday]]&gt;1,Append1[[#This Row],[weekday]]&lt;7),"working day","weekend"))</f>
        <v>working day</v>
      </c>
      <c r="P797" s="4" t="str">
        <f>IF(Append1[[#This Row],[weathersit]]=0,"sunny",IF(Append1[[#This Row],[weathersit]]=1,"mist",IF(Append1[[#This Row],[weathersit]]=2,"lightrain","extremerain")))</f>
        <v>extremerain</v>
      </c>
    </row>
    <row r="798" spans="1:16" x14ac:dyDescent="0.25">
      <c r="A798" s="4">
        <v>796</v>
      </c>
      <c r="B798" s="4">
        <v>0.2727</v>
      </c>
      <c r="C798" s="4">
        <v>1</v>
      </c>
      <c r="D798" s="4">
        <v>0</v>
      </c>
      <c r="E798" s="4">
        <v>5</v>
      </c>
      <c r="F798" s="4">
        <v>50</v>
      </c>
      <c r="G798" s="4">
        <v>55</v>
      </c>
      <c r="H798" s="5">
        <v>40579</v>
      </c>
      <c r="I798" s="4">
        <v>1</v>
      </c>
      <c r="J798" s="4">
        <v>14</v>
      </c>
      <c r="K798" s="4" t="b">
        <f>IF(Append1[[#This Row],[days]]="working day",FALSE,TRUE)</f>
        <v>0</v>
      </c>
      <c r="L798" s="4">
        <v>6</v>
      </c>
      <c r="M798" s="4">
        <v>3</v>
      </c>
      <c r="N798" s="6">
        <v>0.22</v>
      </c>
      <c r="O798" s="2" t="str">
        <f>IF(Append1[[#This Row],[weekday]]=0,"holiday",IF(AND(Append1[[#This Row],[weekday]]&gt;1,Append1[[#This Row],[weekday]]&lt;7),"working day","weekend"))</f>
        <v>working day</v>
      </c>
      <c r="P798" s="4" t="str">
        <f>IF(Append1[[#This Row],[weathersit]]=0,"sunny",IF(Append1[[#This Row],[weathersit]]=1,"mist",IF(Append1[[#This Row],[weathersit]]=2,"lightrain","extremerain")))</f>
        <v>extremerain</v>
      </c>
    </row>
    <row r="799" spans="1:16" x14ac:dyDescent="0.25">
      <c r="A799" s="4">
        <v>797</v>
      </c>
      <c r="B799" s="4">
        <v>0.2727</v>
      </c>
      <c r="C799" s="4">
        <v>1</v>
      </c>
      <c r="D799" s="4">
        <v>0</v>
      </c>
      <c r="E799" s="4">
        <v>11</v>
      </c>
      <c r="F799" s="4">
        <v>49</v>
      </c>
      <c r="G799" s="4">
        <v>60</v>
      </c>
      <c r="H799" s="5">
        <v>40579</v>
      </c>
      <c r="I799" s="4">
        <v>1</v>
      </c>
      <c r="J799" s="4">
        <v>15</v>
      </c>
      <c r="K799" s="4" t="b">
        <f>IF(Append1[[#This Row],[days]]="working day",FALSE,TRUE)</f>
        <v>0</v>
      </c>
      <c r="L799" s="4">
        <v>6</v>
      </c>
      <c r="M799" s="4">
        <v>3</v>
      </c>
      <c r="N799" s="6">
        <v>0.22</v>
      </c>
      <c r="O799" s="2" t="str">
        <f>IF(Append1[[#This Row],[weekday]]=0,"holiday",IF(AND(Append1[[#This Row],[weekday]]&gt;1,Append1[[#This Row],[weekday]]&lt;7),"working day","weekend"))</f>
        <v>working day</v>
      </c>
      <c r="P799" s="4" t="str">
        <f>IF(Append1[[#This Row],[weathersit]]=0,"sunny",IF(Append1[[#This Row],[weathersit]]=1,"mist",IF(Append1[[#This Row],[weathersit]]=2,"lightrain","extremerain")))</f>
        <v>extremerain</v>
      </c>
    </row>
    <row r="800" spans="1:16" x14ac:dyDescent="0.25">
      <c r="A800" s="4">
        <v>798</v>
      </c>
      <c r="B800" s="4">
        <v>0.2273</v>
      </c>
      <c r="C800" s="4">
        <v>1</v>
      </c>
      <c r="D800" s="4">
        <v>0.1343</v>
      </c>
      <c r="E800" s="4">
        <v>8</v>
      </c>
      <c r="F800" s="4">
        <v>63</v>
      </c>
      <c r="G800" s="4">
        <v>71</v>
      </c>
      <c r="H800" s="5">
        <v>40579</v>
      </c>
      <c r="I800" s="4">
        <v>1</v>
      </c>
      <c r="J800" s="4">
        <v>16</v>
      </c>
      <c r="K800" s="4" t="b">
        <f>IF(Append1[[#This Row],[days]]="working day",FALSE,TRUE)</f>
        <v>0</v>
      </c>
      <c r="L800" s="4">
        <v>6</v>
      </c>
      <c r="M800" s="4">
        <v>3</v>
      </c>
      <c r="N800" s="6">
        <v>0.22</v>
      </c>
      <c r="O800" s="2" t="str">
        <f>IF(Append1[[#This Row],[weekday]]=0,"holiday",IF(AND(Append1[[#This Row],[weekday]]&gt;1,Append1[[#This Row],[weekday]]&lt;7),"working day","weekend"))</f>
        <v>working day</v>
      </c>
      <c r="P800" s="4" t="str">
        <f>IF(Append1[[#This Row],[weathersit]]=0,"sunny",IF(Append1[[#This Row],[weathersit]]=1,"mist",IF(Append1[[#This Row],[weathersit]]=2,"lightrain","extremerain")))</f>
        <v>extremerain</v>
      </c>
    </row>
    <row r="801" spans="1:16" x14ac:dyDescent="0.25">
      <c r="A801" s="4">
        <v>799</v>
      </c>
      <c r="B801" s="4">
        <v>0.21210000000000001</v>
      </c>
      <c r="C801" s="4">
        <v>1</v>
      </c>
      <c r="D801" s="4">
        <v>0.28360000000000002</v>
      </c>
      <c r="E801" s="4">
        <v>14</v>
      </c>
      <c r="F801" s="4">
        <v>64</v>
      </c>
      <c r="G801" s="4">
        <v>78</v>
      </c>
      <c r="H801" s="5">
        <v>40579</v>
      </c>
      <c r="I801" s="4">
        <v>1</v>
      </c>
      <c r="J801" s="4">
        <v>17</v>
      </c>
      <c r="K801" s="4" t="b">
        <f>IF(Append1[[#This Row],[days]]="working day",FALSE,TRUE)</f>
        <v>0</v>
      </c>
      <c r="L801" s="4">
        <v>6</v>
      </c>
      <c r="M801" s="4">
        <v>2</v>
      </c>
      <c r="N801" s="6">
        <v>0.24</v>
      </c>
      <c r="O801" s="2" t="str">
        <f>IF(Append1[[#This Row],[weekday]]=0,"holiday",IF(AND(Append1[[#This Row],[weekday]]&gt;1,Append1[[#This Row],[weekday]]&lt;7),"working day","weekend"))</f>
        <v>working day</v>
      </c>
      <c r="P801" s="4" t="str">
        <f>IF(Append1[[#This Row],[weathersit]]=0,"sunny",IF(Append1[[#This Row],[weathersit]]=1,"mist",IF(Append1[[#This Row],[weathersit]]=2,"lightrain","extremerain")))</f>
        <v>lightrain</v>
      </c>
    </row>
    <row r="802" spans="1:16" x14ac:dyDescent="0.25">
      <c r="A802" s="4">
        <v>800</v>
      </c>
      <c r="B802" s="4">
        <v>0.2424</v>
      </c>
      <c r="C802" s="4">
        <v>0.93</v>
      </c>
      <c r="D802" s="4">
        <v>0.44779999999999998</v>
      </c>
      <c r="E802" s="4">
        <v>2</v>
      </c>
      <c r="F802" s="4">
        <v>81</v>
      </c>
      <c r="G802" s="4">
        <v>83</v>
      </c>
      <c r="H802" s="5">
        <v>40579</v>
      </c>
      <c r="I802" s="4">
        <v>1</v>
      </c>
      <c r="J802" s="4">
        <v>18</v>
      </c>
      <c r="K802" s="4" t="b">
        <f>IF(Append1[[#This Row],[days]]="working day",FALSE,TRUE)</f>
        <v>0</v>
      </c>
      <c r="L802" s="4">
        <v>6</v>
      </c>
      <c r="M802" s="4">
        <v>2</v>
      </c>
      <c r="N802" s="6">
        <v>0.28000000000000003</v>
      </c>
      <c r="O802" s="2" t="str">
        <f>IF(Append1[[#This Row],[weekday]]=0,"holiday",IF(AND(Append1[[#This Row],[weekday]]&gt;1,Append1[[#This Row],[weekday]]&lt;7),"working day","weekend"))</f>
        <v>working day</v>
      </c>
      <c r="P802" s="4" t="str">
        <f>IF(Append1[[#This Row],[weathersit]]=0,"sunny",IF(Append1[[#This Row],[weathersit]]=1,"mist",IF(Append1[[#This Row],[weathersit]]=2,"lightrain","extremerain")))</f>
        <v>lightrain</v>
      </c>
    </row>
    <row r="803" spans="1:16" x14ac:dyDescent="0.25">
      <c r="A803" s="4">
        <v>801</v>
      </c>
      <c r="B803" s="4">
        <v>0.2424</v>
      </c>
      <c r="C803" s="4">
        <v>0.93</v>
      </c>
      <c r="D803" s="4">
        <v>0.44779999999999998</v>
      </c>
      <c r="E803" s="4">
        <v>6</v>
      </c>
      <c r="F803" s="4">
        <v>78</v>
      </c>
      <c r="G803" s="4">
        <v>84</v>
      </c>
      <c r="H803" s="5">
        <v>40579</v>
      </c>
      <c r="I803" s="4">
        <v>1</v>
      </c>
      <c r="J803" s="4">
        <v>19</v>
      </c>
      <c r="K803" s="4" t="b">
        <f>IF(Append1[[#This Row],[days]]="working day",FALSE,TRUE)</f>
        <v>0</v>
      </c>
      <c r="L803" s="4">
        <v>6</v>
      </c>
      <c r="M803" s="4">
        <v>2</v>
      </c>
      <c r="N803" s="6">
        <v>0.28000000000000003</v>
      </c>
      <c r="O803" s="2" t="str">
        <f>IF(Append1[[#This Row],[weekday]]=0,"holiday",IF(AND(Append1[[#This Row],[weekday]]&gt;1,Append1[[#This Row],[weekday]]&lt;7),"working day","weekend"))</f>
        <v>working day</v>
      </c>
      <c r="P803" s="4" t="str">
        <f>IF(Append1[[#This Row],[weathersit]]=0,"sunny",IF(Append1[[#This Row],[weathersit]]=1,"mist",IF(Append1[[#This Row],[weathersit]]=2,"lightrain","extremerain")))</f>
        <v>lightrain</v>
      </c>
    </row>
    <row r="804" spans="1:16" x14ac:dyDescent="0.25">
      <c r="A804" s="4">
        <v>802</v>
      </c>
      <c r="B804" s="4">
        <v>0.28789999999999999</v>
      </c>
      <c r="C804" s="4">
        <v>0.87</v>
      </c>
      <c r="D804" s="4">
        <v>0.25369999999999998</v>
      </c>
      <c r="E804" s="4">
        <v>5</v>
      </c>
      <c r="F804" s="4">
        <v>64</v>
      </c>
      <c r="G804" s="4">
        <v>69</v>
      </c>
      <c r="H804" s="5">
        <v>40579</v>
      </c>
      <c r="I804" s="4">
        <v>1</v>
      </c>
      <c r="J804" s="4">
        <v>20</v>
      </c>
      <c r="K804" s="4" t="b">
        <f>IF(Append1[[#This Row],[days]]="working day",FALSE,TRUE)</f>
        <v>0</v>
      </c>
      <c r="L804" s="4">
        <v>6</v>
      </c>
      <c r="M804" s="4">
        <v>1</v>
      </c>
      <c r="N804" s="6">
        <v>0.3</v>
      </c>
      <c r="O804" s="2" t="str">
        <f>IF(Append1[[#This Row],[weekday]]=0,"holiday",IF(AND(Append1[[#This Row],[weekday]]&gt;1,Append1[[#This Row],[weekday]]&lt;7),"working day","weekend"))</f>
        <v>working day</v>
      </c>
      <c r="P804" s="4" t="str">
        <f>IF(Append1[[#This Row],[weathersit]]=0,"sunny",IF(Append1[[#This Row],[weathersit]]=1,"mist",IF(Append1[[#This Row],[weathersit]]=2,"lightrain","extremerain")))</f>
        <v>mist</v>
      </c>
    </row>
    <row r="805" spans="1:16" x14ac:dyDescent="0.25">
      <c r="A805" s="4">
        <v>803</v>
      </c>
      <c r="B805" s="4">
        <v>0.2576</v>
      </c>
      <c r="C805" s="4">
        <v>1</v>
      </c>
      <c r="D805" s="4">
        <v>0.19400000000000001</v>
      </c>
      <c r="E805" s="4">
        <v>3</v>
      </c>
      <c r="F805" s="4">
        <v>53</v>
      </c>
      <c r="G805" s="4">
        <v>56</v>
      </c>
      <c r="H805" s="5">
        <v>40579</v>
      </c>
      <c r="I805" s="4">
        <v>1</v>
      </c>
      <c r="J805" s="4">
        <v>21</v>
      </c>
      <c r="K805" s="4" t="b">
        <f>IF(Append1[[#This Row],[days]]="working day",FALSE,TRUE)</f>
        <v>0</v>
      </c>
      <c r="L805" s="4">
        <v>6</v>
      </c>
      <c r="M805" s="4">
        <v>1</v>
      </c>
      <c r="N805" s="6">
        <v>0.26</v>
      </c>
      <c r="O805" s="2" t="str">
        <f>IF(Append1[[#This Row],[weekday]]=0,"holiday",IF(AND(Append1[[#This Row],[weekday]]&gt;1,Append1[[#This Row],[weekday]]&lt;7),"working day","weekend"))</f>
        <v>working day</v>
      </c>
      <c r="P805" s="4" t="str">
        <f>IF(Append1[[#This Row],[weathersit]]=0,"sunny",IF(Append1[[#This Row],[weathersit]]=1,"mist",IF(Append1[[#This Row],[weathersit]]=2,"lightrain","extremerain")))</f>
        <v>mist</v>
      </c>
    </row>
    <row r="806" spans="1:16" x14ac:dyDescent="0.25">
      <c r="A806" s="4">
        <v>804</v>
      </c>
      <c r="B806" s="4">
        <v>0.2727</v>
      </c>
      <c r="C806" s="4">
        <v>0.93</v>
      </c>
      <c r="D806" s="4">
        <v>0.1343</v>
      </c>
      <c r="E806" s="4">
        <v>2</v>
      </c>
      <c r="F806" s="4">
        <v>43</v>
      </c>
      <c r="G806" s="4">
        <v>45</v>
      </c>
      <c r="H806" s="5">
        <v>40579</v>
      </c>
      <c r="I806" s="4">
        <v>1</v>
      </c>
      <c r="J806" s="4">
        <v>22</v>
      </c>
      <c r="K806" s="4" t="b">
        <f>IF(Append1[[#This Row],[days]]="working day",FALSE,TRUE)</f>
        <v>0</v>
      </c>
      <c r="L806" s="4">
        <v>6</v>
      </c>
      <c r="M806" s="4">
        <v>1</v>
      </c>
      <c r="N806" s="6">
        <v>0.26</v>
      </c>
      <c r="O806" s="2" t="str">
        <f>IF(Append1[[#This Row],[weekday]]=0,"holiday",IF(AND(Append1[[#This Row],[weekday]]&gt;1,Append1[[#This Row],[weekday]]&lt;7),"working day","weekend"))</f>
        <v>working day</v>
      </c>
      <c r="P806" s="4" t="str">
        <f>IF(Append1[[#This Row],[weathersit]]=0,"sunny",IF(Append1[[#This Row],[weathersit]]=1,"mist",IF(Append1[[#This Row],[weathersit]]=2,"lightrain","extremerain")))</f>
        <v>mist</v>
      </c>
    </row>
    <row r="807" spans="1:16" x14ac:dyDescent="0.25">
      <c r="A807" s="4">
        <v>805</v>
      </c>
      <c r="B807" s="4">
        <v>0.2576</v>
      </c>
      <c r="C807" s="4">
        <v>0.93</v>
      </c>
      <c r="D807" s="4">
        <v>0.22389999999999999</v>
      </c>
      <c r="E807" s="4">
        <v>7</v>
      </c>
      <c r="F807" s="4">
        <v>52</v>
      </c>
      <c r="G807" s="4">
        <v>59</v>
      </c>
      <c r="H807" s="5">
        <v>40579</v>
      </c>
      <c r="I807" s="4">
        <v>1</v>
      </c>
      <c r="J807" s="4">
        <v>23</v>
      </c>
      <c r="K807" s="4" t="b">
        <f>IF(Append1[[#This Row],[days]]="working day",FALSE,TRUE)</f>
        <v>0</v>
      </c>
      <c r="L807" s="4">
        <v>6</v>
      </c>
      <c r="M807" s="4">
        <v>1</v>
      </c>
      <c r="N807" s="6">
        <v>0.26</v>
      </c>
      <c r="O807" s="2" t="str">
        <f>IF(Append1[[#This Row],[weekday]]=0,"holiday",IF(AND(Append1[[#This Row],[weekday]]&gt;1,Append1[[#This Row],[weekday]]&lt;7),"working day","weekend"))</f>
        <v>working day</v>
      </c>
      <c r="P807" s="4" t="str">
        <f>IF(Append1[[#This Row],[weathersit]]=0,"sunny",IF(Append1[[#This Row],[weathersit]]=1,"mist",IF(Append1[[#This Row],[weathersit]]=2,"lightrain","extremerain")))</f>
        <v>mist</v>
      </c>
    </row>
    <row r="808" spans="1:16" x14ac:dyDescent="0.25">
      <c r="A808" s="4">
        <v>806</v>
      </c>
      <c r="B808" s="4">
        <v>0.2576</v>
      </c>
      <c r="C808" s="4">
        <v>0.7</v>
      </c>
      <c r="D808" s="4">
        <v>0.19400000000000001</v>
      </c>
      <c r="E808" s="4">
        <v>2</v>
      </c>
      <c r="F808" s="4">
        <v>37</v>
      </c>
      <c r="G808" s="4">
        <v>39</v>
      </c>
      <c r="H808" s="5">
        <v>40580</v>
      </c>
      <c r="I808" s="4">
        <v>1</v>
      </c>
      <c r="J808" s="4">
        <v>0</v>
      </c>
      <c r="K808" s="4" t="b">
        <f>IF(Append1[[#This Row],[days]]="working day",FALSE,TRUE)</f>
        <v>1</v>
      </c>
      <c r="L808" s="4">
        <v>0</v>
      </c>
      <c r="M808" s="4">
        <v>1</v>
      </c>
      <c r="N808" s="6">
        <v>0.26</v>
      </c>
      <c r="O808" s="2" t="str">
        <f>IF(Append1[[#This Row],[weekday]]=0,"holiday",IF(AND(Append1[[#This Row],[weekday]]&gt;1,Append1[[#This Row],[weekday]]&lt;7),"working day","weekend"))</f>
        <v>holiday</v>
      </c>
      <c r="P808" s="4" t="str">
        <f>IF(Append1[[#This Row],[weathersit]]=0,"sunny",IF(Append1[[#This Row],[weathersit]]=1,"mist",IF(Append1[[#This Row],[weathersit]]=2,"lightrain","extremerain")))</f>
        <v>mist</v>
      </c>
    </row>
    <row r="809" spans="1:16" x14ac:dyDescent="0.25">
      <c r="A809" s="4">
        <v>807</v>
      </c>
      <c r="B809" s="4">
        <v>0.2273</v>
      </c>
      <c r="C809" s="4">
        <v>0.65</v>
      </c>
      <c r="D809" s="4">
        <v>0.41789999999999999</v>
      </c>
      <c r="E809" s="4">
        <v>4</v>
      </c>
      <c r="F809" s="4">
        <v>40</v>
      </c>
      <c r="G809" s="4">
        <v>44</v>
      </c>
      <c r="H809" s="5">
        <v>40580</v>
      </c>
      <c r="I809" s="4">
        <v>1</v>
      </c>
      <c r="J809" s="4">
        <v>1</v>
      </c>
      <c r="K809" s="4" t="b">
        <f>IF(Append1[[#This Row],[days]]="working day",FALSE,TRUE)</f>
        <v>1</v>
      </c>
      <c r="L809" s="4">
        <v>0</v>
      </c>
      <c r="M809" s="4">
        <v>1</v>
      </c>
      <c r="N809" s="6">
        <v>0.26</v>
      </c>
      <c r="O809" s="2" t="str">
        <f>IF(Append1[[#This Row],[weekday]]=0,"holiday",IF(AND(Append1[[#This Row],[weekday]]&gt;1,Append1[[#This Row],[weekday]]&lt;7),"working day","weekend"))</f>
        <v>holiday</v>
      </c>
      <c r="P809" s="4" t="str">
        <f>IF(Append1[[#This Row],[weathersit]]=0,"sunny",IF(Append1[[#This Row],[weathersit]]=1,"mist",IF(Append1[[#This Row],[weathersit]]=2,"lightrain","extremerain")))</f>
        <v>mist</v>
      </c>
    </row>
    <row r="810" spans="1:16" x14ac:dyDescent="0.25">
      <c r="A810" s="4">
        <v>808</v>
      </c>
      <c r="B810" s="4">
        <v>0.2273</v>
      </c>
      <c r="C810" s="4">
        <v>0.6</v>
      </c>
      <c r="D810" s="4">
        <v>0.32840000000000003</v>
      </c>
      <c r="E810" s="4">
        <v>0</v>
      </c>
      <c r="F810" s="4">
        <v>20</v>
      </c>
      <c r="G810" s="4">
        <v>20</v>
      </c>
      <c r="H810" s="5">
        <v>40580</v>
      </c>
      <c r="I810" s="4">
        <v>1</v>
      </c>
      <c r="J810" s="4">
        <v>2</v>
      </c>
      <c r="K810" s="4" t="b">
        <f>IF(Append1[[#This Row],[days]]="working day",FALSE,TRUE)</f>
        <v>1</v>
      </c>
      <c r="L810" s="4">
        <v>0</v>
      </c>
      <c r="M810" s="4">
        <v>1</v>
      </c>
      <c r="N810" s="6">
        <v>0.26</v>
      </c>
      <c r="O810" s="2" t="str">
        <f>IF(Append1[[#This Row],[weekday]]=0,"holiday",IF(AND(Append1[[#This Row],[weekday]]&gt;1,Append1[[#This Row],[weekday]]&lt;7),"working day","weekend"))</f>
        <v>holiday</v>
      </c>
      <c r="P810" s="4" t="str">
        <f>IF(Append1[[#This Row],[weathersit]]=0,"sunny",IF(Append1[[#This Row],[weathersit]]=1,"mist",IF(Append1[[#This Row],[weathersit]]=2,"lightrain","extremerain")))</f>
        <v>mist</v>
      </c>
    </row>
    <row r="811" spans="1:16" x14ac:dyDescent="0.25">
      <c r="A811" s="4">
        <v>809</v>
      </c>
      <c r="B811" s="4">
        <v>0.28789999999999999</v>
      </c>
      <c r="C811" s="4">
        <v>0.6</v>
      </c>
      <c r="D811" s="4">
        <v>8.9599999999999999E-2</v>
      </c>
      <c r="E811" s="4">
        <v>3</v>
      </c>
      <c r="F811" s="4">
        <v>10</v>
      </c>
      <c r="G811" s="4">
        <v>13</v>
      </c>
      <c r="H811" s="5">
        <v>40580</v>
      </c>
      <c r="I811" s="4">
        <v>1</v>
      </c>
      <c r="J811" s="4">
        <v>3</v>
      </c>
      <c r="K811" s="4" t="b">
        <f>IF(Append1[[#This Row],[days]]="working day",FALSE,TRUE)</f>
        <v>1</v>
      </c>
      <c r="L811" s="4">
        <v>0</v>
      </c>
      <c r="M811" s="4">
        <v>1</v>
      </c>
      <c r="N811" s="6">
        <v>0.26</v>
      </c>
      <c r="O811" s="2" t="str">
        <f>IF(Append1[[#This Row],[weekday]]=0,"holiday",IF(AND(Append1[[#This Row],[weekday]]&gt;1,Append1[[#This Row],[weekday]]&lt;7),"working day","weekend"))</f>
        <v>holiday</v>
      </c>
      <c r="P811" s="4" t="str">
        <f>IF(Append1[[#This Row],[weathersit]]=0,"sunny",IF(Append1[[#This Row],[weathersit]]=1,"mist",IF(Append1[[#This Row],[weathersit]]=2,"lightrain","extremerain")))</f>
        <v>mist</v>
      </c>
    </row>
    <row r="812" spans="1:16" x14ac:dyDescent="0.25">
      <c r="A812" s="4">
        <v>810</v>
      </c>
      <c r="B812" s="4">
        <v>0.2273</v>
      </c>
      <c r="C812" s="4">
        <v>0.6</v>
      </c>
      <c r="D812" s="4">
        <v>0.35820000000000002</v>
      </c>
      <c r="E812" s="4">
        <v>0</v>
      </c>
      <c r="F812" s="4">
        <v>2</v>
      </c>
      <c r="G812" s="4">
        <v>2</v>
      </c>
      <c r="H812" s="5">
        <v>40580</v>
      </c>
      <c r="I812" s="4">
        <v>1</v>
      </c>
      <c r="J812" s="4">
        <v>4</v>
      </c>
      <c r="K812" s="4" t="b">
        <f>IF(Append1[[#This Row],[days]]="working day",FALSE,TRUE)</f>
        <v>1</v>
      </c>
      <c r="L812" s="4">
        <v>0</v>
      </c>
      <c r="M812" s="4">
        <v>1</v>
      </c>
      <c r="N812" s="6">
        <v>0.26</v>
      </c>
      <c r="O812" s="2" t="str">
        <f>IF(Append1[[#This Row],[weekday]]=0,"holiday",IF(AND(Append1[[#This Row],[weekday]]&gt;1,Append1[[#This Row],[weekday]]&lt;7),"working day","weekend"))</f>
        <v>holiday</v>
      </c>
      <c r="P812" s="4" t="str">
        <f>IF(Append1[[#This Row],[weathersit]]=0,"sunny",IF(Append1[[#This Row],[weathersit]]=1,"mist",IF(Append1[[#This Row],[weathersit]]=2,"lightrain","extremerain")))</f>
        <v>mist</v>
      </c>
    </row>
    <row r="813" spans="1:16" x14ac:dyDescent="0.25">
      <c r="A813" s="4">
        <v>811</v>
      </c>
      <c r="B813" s="4">
        <v>0.2576</v>
      </c>
      <c r="C813" s="4">
        <v>0.6</v>
      </c>
      <c r="D813" s="4">
        <v>0.22389999999999999</v>
      </c>
      <c r="E813" s="4">
        <v>0</v>
      </c>
      <c r="F813" s="4">
        <v>1</v>
      </c>
      <c r="G813" s="4">
        <v>1</v>
      </c>
      <c r="H813" s="5">
        <v>40580</v>
      </c>
      <c r="I813" s="4">
        <v>1</v>
      </c>
      <c r="J813" s="4">
        <v>5</v>
      </c>
      <c r="K813" s="4" t="b">
        <f>IF(Append1[[#This Row],[days]]="working day",FALSE,TRUE)</f>
        <v>1</v>
      </c>
      <c r="L813" s="4">
        <v>0</v>
      </c>
      <c r="M813" s="4">
        <v>1</v>
      </c>
      <c r="N813" s="6">
        <v>0.26</v>
      </c>
      <c r="O813" s="2" t="str">
        <f>IF(Append1[[#This Row],[weekday]]=0,"holiday",IF(AND(Append1[[#This Row],[weekday]]&gt;1,Append1[[#This Row],[weekday]]&lt;7),"working day","weekend"))</f>
        <v>holiday</v>
      </c>
      <c r="P813" s="4" t="str">
        <f>IF(Append1[[#This Row],[weathersit]]=0,"sunny",IF(Append1[[#This Row],[weathersit]]=1,"mist",IF(Append1[[#This Row],[weathersit]]=2,"lightrain","extremerain")))</f>
        <v>mist</v>
      </c>
    </row>
    <row r="814" spans="1:16" x14ac:dyDescent="0.25">
      <c r="A814" s="4">
        <v>812</v>
      </c>
      <c r="B814" s="4">
        <v>0.2576</v>
      </c>
      <c r="C814" s="4">
        <v>0.6</v>
      </c>
      <c r="D814" s="4">
        <v>0.22389999999999999</v>
      </c>
      <c r="E814" s="4">
        <v>0</v>
      </c>
      <c r="F814" s="4">
        <v>1</v>
      </c>
      <c r="G814" s="4">
        <v>1</v>
      </c>
      <c r="H814" s="5">
        <v>40580</v>
      </c>
      <c r="I814" s="4">
        <v>1</v>
      </c>
      <c r="J814" s="4">
        <v>6</v>
      </c>
      <c r="K814" s="4" t="b">
        <f>IF(Append1[[#This Row],[days]]="working day",FALSE,TRUE)</f>
        <v>1</v>
      </c>
      <c r="L814" s="4">
        <v>0</v>
      </c>
      <c r="M814" s="4">
        <v>1</v>
      </c>
      <c r="N814" s="6">
        <v>0.26</v>
      </c>
      <c r="O814" s="2" t="str">
        <f>IF(Append1[[#This Row],[weekday]]=0,"holiday",IF(AND(Append1[[#This Row],[weekday]]&gt;1,Append1[[#This Row],[weekday]]&lt;7),"working day","weekend"))</f>
        <v>holiday</v>
      </c>
      <c r="P814" s="4" t="str">
        <f>IF(Append1[[#This Row],[weathersit]]=0,"sunny",IF(Append1[[#This Row],[weathersit]]=1,"mist",IF(Append1[[#This Row],[weathersit]]=2,"lightrain","extremerain")))</f>
        <v>mist</v>
      </c>
    </row>
    <row r="815" spans="1:16" x14ac:dyDescent="0.25">
      <c r="A815" s="4">
        <v>813</v>
      </c>
      <c r="B815" s="4">
        <v>0.2424</v>
      </c>
      <c r="C815" s="4">
        <v>0.65</v>
      </c>
      <c r="D815" s="4">
        <v>0.16420000000000001</v>
      </c>
      <c r="E815" s="4">
        <v>0</v>
      </c>
      <c r="F815" s="4">
        <v>8</v>
      </c>
      <c r="G815" s="4">
        <v>8</v>
      </c>
      <c r="H815" s="5">
        <v>40580</v>
      </c>
      <c r="I815" s="4">
        <v>1</v>
      </c>
      <c r="J815" s="4">
        <v>7</v>
      </c>
      <c r="K815" s="4" t="b">
        <f>IF(Append1[[#This Row],[days]]="working day",FALSE,TRUE)</f>
        <v>1</v>
      </c>
      <c r="L815" s="4">
        <v>0</v>
      </c>
      <c r="M815" s="4">
        <v>1</v>
      </c>
      <c r="N815" s="6">
        <v>0.24</v>
      </c>
      <c r="O815" s="2" t="str">
        <f>IF(Append1[[#This Row],[weekday]]=0,"holiday",IF(AND(Append1[[#This Row],[weekday]]&gt;1,Append1[[#This Row],[weekday]]&lt;7),"working day","weekend"))</f>
        <v>holiday</v>
      </c>
      <c r="P815" s="4" t="str">
        <f>IF(Append1[[#This Row],[weathersit]]=0,"sunny",IF(Append1[[#This Row],[weathersit]]=1,"mist",IF(Append1[[#This Row],[weathersit]]=2,"lightrain","extremerain")))</f>
        <v>mist</v>
      </c>
    </row>
    <row r="816" spans="1:16" x14ac:dyDescent="0.25">
      <c r="A816" s="4">
        <v>814</v>
      </c>
      <c r="B816" s="4">
        <v>0.2576</v>
      </c>
      <c r="C816" s="4">
        <v>0.65</v>
      </c>
      <c r="D816" s="4">
        <v>0.1045</v>
      </c>
      <c r="E816" s="4">
        <v>2</v>
      </c>
      <c r="F816" s="4">
        <v>21</v>
      </c>
      <c r="G816" s="4">
        <v>23</v>
      </c>
      <c r="H816" s="5">
        <v>40580</v>
      </c>
      <c r="I816" s="4">
        <v>1</v>
      </c>
      <c r="J816" s="4">
        <v>8</v>
      </c>
      <c r="K816" s="4" t="b">
        <f>IF(Append1[[#This Row],[days]]="working day",FALSE,TRUE)</f>
        <v>1</v>
      </c>
      <c r="L816" s="4">
        <v>0</v>
      </c>
      <c r="M816" s="4">
        <v>1</v>
      </c>
      <c r="N816" s="6">
        <v>0.24</v>
      </c>
      <c r="O816" s="2" t="str">
        <f>IF(Append1[[#This Row],[weekday]]=0,"holiday",IF(AND(Append1[[#This Row],[weekday]]&gt;1,Append1[[#This Row],[weekday]]&lt;7),"working day","weekend"))</f>
        <v>holiday</v>
      </c>
      <c r="P816" s="4" t="str">
        <f>IF(Append1[[#This Row],[weathersit]]=0,"sunny",IF(Append1[[#This Row],[weathersit]]=1,"mist",IF(Append1[[#This Row],[weathersit]]=2,"lightrain","extremerain")))</f>
        <v>mist</v>
      </c>
    </row>
    <row r="817" spans="1:16" x14ac:dyDescent="0.25">
      <c r="A817" s="4">
        <v>815</v>
      </c>
      <c r="B817" s="4">
        <v>0.28789999999999999</v>
      </c>
      <c r="C817" s="4">
        <v>0.56000000000000005</v>
      </c>
      <c r="D817" s="4">
        <v>0.1045</v>
      </c>
      <c r="E817" s="4">
        <v>7</v>
      </c>
      <c r="F817" s="4">
        <v>38</v>
      </c>
      <c r="G817" s="4">
        <v>45</v>
      </c>
      <c r="H817" s="5">
        <v>40580</v>
      </c>
      <c r="I817" s="4">
        <v>1</v>
      </c>
      <c r="J817" s="4">
        <v>9</v>
      </c>
      <c r="K817" s="4" t="b">
        <f>IF(Append1[[#This Row],[days]]="working day",FALSE,TRUE)</f>
        <v>1</v>
      </c>
      <c r="L817" s="4">
        <v>0</v>
      </c>
      <c r="M817" s="4">
        <v>1</v>
      </c>
      <c r="N817" s="6">
        <v>0.28000000000000003</v>
      </c>
      <c r="O817" s="2" t="str">
        <f>IF(Append1[[#This Row],[weekday]]=0,"holiday",IF(AND(Append1[[#This Row],[weekday]]&gt;1,Append1[[#This Row],[weekday]]&lt;7),"working day","weekend"))</f>
        <v>holiday</v>
      </c>
      <c r="P817" s="4" t="str">
        <f>IF(Append1[[#This Row],[weathersit]]=0,"sunny",IF(Append1[[#This Row],[weathersit]]=1,"mist",IF(Append1[[#This Row],[weathersit]]=2,"lightrain","extremerain")))</f>
        <v>mist</v>
      </c>
    </row>
    <row r="818" spans="1:16" x14ac:dyDescent="0.25">
      <c r="A818" s="4">
        <v>816</v>
      </c>
      <c r="B818" s="4">
        <v>0.28789999999999999</v>
      </c>
      <c r="C818" s="4">
        <v>0.52</v>
      </c>
      <c r="D818" s="4">
        <v>0.25369999999999998</v>
      </c>
      <c r="E818" s="4">
        <v>15</v>
      </c>
      <c r="F818" s="4">
        <v>74</v>
      </c>
      <c r="G818" s="4">
        <v>89</v>
      </c>
      <c r="H818" s="5">
        <v>40580</v>
      </c>
      <c r="I818" s="4">
        <v>1</v>
      </c>
      <c r="J818" s="4">
        <v>10</v>
      </c>
      <c r="K818" s="4" t="b">
        <f>IF(Append1[[#This Row],[days]]="working day",FALSE,TRUE)</f>
        <v>1</v>
      </c>
      <c r="L818" s="4">
        <v>0</v>
      </c>
      <c r="M818" s="4">
        <v>1</v>
      </c>
      <c r="N818" s="6">
        <v>0.3</v>
      </c>
      <c r="O818" s="2" t="str">
        <f>IF(Append1[[#This Row],[weekday]]=0,"holiday",IF(AND(Append1[[#This Row],[weekday]]&gt;1,Append1[[#This Row],[weekday]]&lt;7),"working day","weekend"))</f>
        <v>holiday</v>
      </c>
      <c r="P818" s="4" t="str">
        <f>IF(Append1[[#This Row],[weathersit]]=0,"sunny",IF(Append1[[#This Row],[weathersit]]=1,"mist",IF(Append1[[#This Row],[weathersit]]=2,"lightrain","extremerain")))</f>
        <v>mist</v>
      </c>
    </row>
    <row r="819" spans="1:16" x14ac:dyDescent="0.25">
      <c r="A819" s="4">
        <v>817</v>
      </c>
      <c r="B819" s="4">
        <v>0.30299999999999999</v>
      </c>
      <c r="C819" s="4">
        <v>0.49</v>
      </c>
      <c r="D819" s="4">
        <v>0.25369999999999998</v>
      </c>
      <c r="E819" s="4">
        <v>28</v>
      </c>
      <c r="F819" s="4">
        <v>89</v>
      </c>
      <c r="G819" s="4">
        <v>117</v>
      </c>
      <c r="H819" s="5">
        <v>40580</v>
      </c>
      <c r="I819" s="4">
        <v>1</v>
      </c>
      <c r="J819" s="4">
        <v>11</v>
      </c>
      <c r="K819" s="4" t="b">
        <f>IF(Append1[[#This Row],[days]]="working day",FALSE,TRUE)</f>
        <v>1</v>
      </c>
      <c r="L819" s="4">
        <v>0</v>
      </c>
      <c r="M819" s="4">
        <v>1</v>
      </c>
      <c r="N819" s="6">
        <v>0.32</v>
      </c>
      <c r="O819" s="2" t="str">
        <f>IF(Append1[[#This Row],[weekday]]=0,"holiday",IF(AND(Append1[[#This Row],[weekday]]&gt;1,Append1[[#This Row],[weekday]]&lt;7),"working day","weekend"))</f>
        <v>holiday</v>
      </c>
      <c r="P819" s="4" t="str">
        <f>IF(Append1[[#This Row],[weathersit]]=0,"sunny",IF(Append1[[#This Row],[weathersit]]=1,"mist",IF(Append1[[#This Row],[weathersit]]=2,"lightrain","extremerain")))</f>
        <v>mist</v>
      </c>
    </row>
    <row r="820" spans="1:16" x14ac:dyDescent="0.25">
      <c r="A820" s="4">
        <v>818</v>
      </c>
      <c r="B820" s="4">
        <v>0.33329999999999999</v>
      </c>
      <c r="C820" s="4">
        <v>0.46</v>
      </c>
      <c r="D820" s="4">
        <v>0</v>
      </c>
      <c r="E820" s="4">
        <v>48</v>
      </c>
      <c r="F820" s="4">
        <v>126</v>
      </c>
      <c r="G820" s="4">
        <v>174</v>
      </c>
      <c r="H820" s="5">
        <v>40580</v>
      </c>
      <c r="I820" s="4">
        <v>1</v>
      </c>
      <c r="J820" s="4">
        <v>12</v>
      </c>
      <c r="K820" s="4" t="b">
        <f>IF(Append1[[#This Row],[days]]="working day",FALSE,TRUE)</f>
        <v>1</v>
      </c>
      <c r="L820" s="4">
        <v>0</v>
      </c>
      <c r="M820" s="4">
        <v>1</v>
      </c>
      <c r="N820" s="6">
        <v>0.34</v>
      </c>
      <c r="O820" s="2" t="str">
        <f>IF(Append1[[#This Row],[weekday]]=0,"holiday",IF(AND(Append1[[#This Row],[weekday]]&gt;1,Append1[[#This Row],[weekday]]&lt;7),"working day","weekend"))</f>
        <v>holiday</v>
      </c>
      <c r="P820" s="4" t="str">
        <f>IF(Append1[[#This Row],[weathersit]]=0,"sunny",IF(Append1[[#This Row],[weathersit]]=1,"mist",IF(Append1[[#This Row],[weathersit]]=2,"lightrain","extremerain")))</f>
        <v>mist</v>
      </c>
    </row>
    <row r="821" spans="1:16" x14ac:dyDescent="0.25">
      <c r="A821" s="4">
        <v>819</v>
      </c>
      <c r="B821" s="4">
        <v>0.36359999999999998</v>
      </c>
      <c r="C821" s="4">
        <v>0.46</v>
      </c>
      <c r="D821" s="4">
        <v>0</v>
      </c>
      <c r="E821" s="4">
        <v>47</v>
      </c>
      <c r="F821" s="4">
        <v>135</v>
      </c>
      <c r="G821" s="4">
        <v>182</v>
      </c>
      <c r="H821" s="5">
        <v>40580</v>
      </c>
      <c r="I821" s="4">
        <v>1</v>
      </c>
      <c r="J821" s="4">
        <v>13</v>
      </c>
      <c r="K821" s="4" t="b">
        <f>IF(Append1[[#This Row],[days]]="working day",FALSE,TRUE)</f>
        <v>1</v>
      </c>
      <c r="L821" s="4">
        <v>0</v>
      </c>
      <c r="M821" s="4">
        <v>1</v>
      </c>
      <c r="N821" s="6">
        <v>0.34</v>
      </c>
      <c r="O821" s="2" t="str">
        <f>IF(Append1[[#This Row],[weekday]]=0,"holiday",IF(AND(Append1[[#This Row],[weekday]]&gt;1,Append1[[#This Row],[weekday]]&lt;7),"working day","weekend"))</f>
        <v>holiday</v>
      </c>
      <c r="P821" s="4" t="str">
        <f>IF(Append1[[#This Row],[weathersit]]=0,"sunny",IF(Append1[[#This Row],[weathersit]]=1,"mist",IF(Append1[[#This Row],[weathersit]]=2,"lightrain","extremerain")))</f>
        <v>mist</v>
      </c>
    </row>
    <row r="822" spans="1:16" x14ac:dyDescent="0.25">
      <c r="A822" s="4">
        <v>820</v>
      </c>
      <c r="B822" s="4">
        <v>0.34849999999999998</v>
      </c>
      <c r="C822" s="4">
        <v>0.46</v>
      </c>
      <c r="D822" s="4">
        <v>8.9599999999999999E-2</v>
      </c>
      <c r="E822" s="4">
        <v>47</v>
      </c>
      <c r="F822" s="4">
        <v>114</v>
      </c>
      <c r="G822" s="4">
        <v>161</v>
      </c>
      <c r="H822" s="5">
        <v>40580</v>
      </c>
      <c r="I822" s="4">
        <v>1</v>
      </c>
      <c r="J822" s="4">
        <v>14</v>
      </c>
      <c r="K822" s="4" t="b">
        <f>IF(Append1[[#This Row],[days]]="working day",FALSE,TRUE)</f>
        <v>1</v>
      </c>
      <c r="L822" s="4">
        <v>0</v>
      </c>
      <c r="M822" s="4">
        <v>1</v>
      </c>
      <c r="N822" s="6">
        <v>0.34</v>
      </c>
      <c r="O822" s="2" t="str">
        <f>IF(Append1[[#This Row],[weekday]]=0,"holiday",IF(AND(Append1[[#This Row],[weekday]]&gt;1,Append1[[#This Row],[weekday]]&lt;7),"working day","weekend"))</f>
        <v>holiday</v>
      </c>
      <c r="P822" s="4" t="str">
        <f>IF(Append1[[#This Row],[weathersit]]=0,"sunny",IF(Append1[[#This Row],[weathersit]]=1,"mist",IF(Append1[[#This Row],[weathersit]]=2,"lightrain","extremerain")))</f>
        <v>mist</v>
      </c>
    </row>
    <row r="823" spans="1:16" x14ac:dyDescent="0.25">
      <c r="A823" s="4">
        <v>821</v>
      </c>
      <c r="B823" s="4">
        <v>0.34849999999999998</v>
      </c>
      <c r="C823" s="4">
        <v>0.46</v>
      </c>
      <c r="D823" s="4">
        <v>8.9599999999999999E-2</v>
      </c>
      <c r="E823" s="4">
        <v>52</v>
      </c>
      <c r="F823" s="4">
        <v>130</v>
      </c>
      <c r="G823" s="4">
        <v>182</v>
      </c>
      <c r="H823" s="5">
        <v>40580</v>
      </c>
      <c r="I823" s="4">
        <v>1</v>
      </c>
      <c r="J823" s="4">
        <v>15</v>
      </c>
      <c r="K823" s="4" t="b">
        <f>IF(Append1[[#This Row],[days]]="working day",FALSE,TRUE)</f>
        <v>1</v>
      </c>
      <c r="L823" s="4">
        <v>0</v>
      </c>
      <c r="M823" s="4">
        <v>1</v>
      </c>
      <c r="N823" s="6">
        <v>0.34</v>
      </c>
      <c r="O823" s="2" t="str">
        <f>IF(Append1[[#This Row],[weekday]]=0,"holiday",IF(AND(Append1[[#This Row],[weekday]]&gt;1,Append1[[#This Row],[weekday]]&lt;7),"working day","weekend"))</f>
        <v>holiday</v>
      </c>
      <c r="P823" s="4" t="str">
        <f>IF(Append1[[#This Row],[weathersit]]=0,"sunny",IF(Append1[[#This Row],[weathersit]]=1,"mist",IF(Append1[[#This Row],[weathersit]]=2,"lightrain","extremerain")))</f>
        <v>mist</v>
      </c>
    </row>
    <row r="824" spans="1:16" x14ac:dyDescent="0.25">
      <c r="A824" s="4">
        <v>822</v>
      </c>
      <c r="B824" s="4">
        <v>0.34849999999999998</v>
      </c>
      <c r="C824" s="4">
        <v>0.49</v>
      </c>
      <c r="D824" s="4">
        <v>0.1045</v>
      </c>
      <c r="E824" s="4">
        <v>42</v>
      </c>
      <c r="F824" s="4">
        <v>115</v>
      </c>
      <c r="G824" s="4">
        <v>157</v>
      </c>
      <c r="H824" s="5">
        <v>40580</v>
      </c>
      <c r="I824" s="4">
        <v>1</v>
      </c>
      <c r="J824" s="4">
        <v>16</v>
      </c>
      <c r="K824" s="4" t="b">
        <f>IF(Append1[[#This Row],[days]]="working day",FALSE,TRUE)</f>
        <v>1</v>
      </c>
      <c r="L824" s="4">
        <v>0</v>
      </c>
      <c r="M824" s="4">
        <v>1</v>
      </c>
      <c r="N824" s="6">
        <v>0.34</v>
      </c>
      <c r="O824" s="2" t="str">
        <f>IF(Append1[[#This Row],[weekday]]=0,"holiday",IF(AND(Append1[[#This Row],[weekday]]&gt;1,Append1[[#This Row],[weekday]]&lt;7),"working day","weekend"))</f>
        <v>holiday</v>
      </c>
      <c r="P824" s="4" t="str">
        <f>IF(Append1[[#This Row],[weathersit]]=0,"sunny",IF(Append1[[#This Row],[weathersit]]=1,"mist",IF(Append1[[#This Row],[weathersit]]=2,"lightrain","extremerain")))</f>
        <v>mist</v>
      </c>
    </row>
    <row r="825" spans="1:16" x14ac:dyDescent="0.25">
      <c r="A825" s="4">
        <v>823</v>
      </c>
      <c r="B825" s="4">
        <v>0.36359999999999998</v>
      </c>
      <c r="C825" s="4">
        <v>0.46</v>
      </c>
      <c r="D825" s="4">
        <v>0</v>
      </c>
      <c r="E825" s="4">
        <v>24</v>
      </c>
      <c r="F825" s="4">
        <v>97</v>
      </c>
      <c r="G825" s="4">
        <v>121</v>
      </c>
      <c r="H825" s="5">
        <v>40580</v>
      </c>
      <c r="I825" s="4">
        <v>1</v>
      </c>
      <c r="J825" s="4">
        <v>17</v>
      </c>
      <c r="K825" s="4" t="b">
        <f>IF(Append1[[#This Row],[days]]="working day",FALSE,TRUE)</f>
        <v>1</v>
      </c>
      <c r="L825" s="4">
        <v>0</v>
      </c>
      <c r="M825" s="4">
        <v>1</v>
      </c>
      <c r="N825" s="6">
        <v>0.34</v>
      </c>
      <c r="O825" s="2" t="str">
        <f>IF(Append1[[#This Row],[weekday]]=0,"holiday",IF(AND(Append1[[#This Row],[weekday]]&gt;1,Append1[[#This Row],[weekday]]&lt;7),"working day","weekend"))</f>
        <v>holiday</v>
      </c>
      <c r="P825" s="4" t="str">
        <f>IF(Append1[[#This Row],[weathersit]]=0,"sunny",IF(Append1[[#This Row],[weathersit]]=1,"mist",IF(Append1[[#This Row],[weathersit]]=2,"lightrain","extremerain")))</f>
        <v>mist</v>
      </c>
    </row>
    <row r="826" spans="1:16" x14ac:dyDescent="0.25">
      <c r="A826" s="4">
        <v>824</v>
      </c>
      <c r="B826" s="4">
        <v>0.30299999999999999</v>
      </c>
      <c r="C826" s="4">
        <v>0.56000000000000005</v>
      </c>
      <c r="D826" s="4">
        <v>0.16420000000000001</v>
      </c>
      <c r="E826" s="4">
        <v>13</v>
      </c>
      <c r="F826" s="4">
        <v>65</v>
      </c>
      <c r="G826" s="4">
        <v>78</v>
      </c>
      <c r="H826" s="5">
        <v>40580</v>
      </c>
      <c r="I826" s="4">
        <v>1</v>
      </c>
      <c r="J826" s="4">
        <v>18</v>
      </c>
      <c r="K826" s="4" t="b">
        <f>IF(Append1[[#This Row],[days]]="working day",FALSE,TRUE)</f>
        <v>1</v>
      </c>
      <c r="L826" s="4">
        <v>0</v>
      </c>
      <c r="M826" s="4">
        <v>1</v>
      </c>
      <c r="N826" s="6">
        <v>0.3</v>
      </c>
      <c r="O826" s="2" t="str">
        <f>IF(Append1[[#This Row],[weekday]]=0,"holiday",IF(AND(Append1[[#This Row],[weekday]]&gt;1,Append1[[#This Row],[weekday]]&lt;7),"working day","weekend"))</f>
        <v>holiday</v>
      </c>
      <c r="P826" s="4" t="str">
        <f>IF(Append1[[#This Row],[weathersit]]=0,"sunny",IF(Append1[[#This Row],[weathersit]]=1,"mist",IF(Append1[[#This Row],[weathersit]]=2,"lightrain","extremerain")))</f>
        <v>mist</v>
      </c>
    </row>
    <row r="827" spans="1:16" x14ac:dyDescent="0.25">
      <c r="A827" s="4">
        <v>825</v>
      </c>
      <c r="B827" s="4">
        <v>0.28789999999999999</v>
      </c>
      <c r="C827" s="4">
        <v>0.61</v>
      </c>
      <c r="D827" s="4">
        <v>0.1343</v>
      </c>
      <c r="E827" s="4">
        <v>1</v>
      </c>
      <c r="F827" s="4">
        <v>20</v>
      </c>
      <c r="G827" s="4">
        <v>21</v>
      </c>
      <c r="H827" s="5">
        <v>40580</v>
      </c>
      <c r="I827" s="4">
        <v>1</v>
      </c>
      <c r="J827" s="4">
        <v>19</v>
      </c>
      <c r="K827" s="4" t="b">
        <f>IF(Append1[[#This Row],[days]]="working day",FALSE,TRUE)</f>
        <v>1</v>
      </c>
      <c r="L827" s="4">
        <v>0</v>
      </c>
      <c r="M827" s="4">
        <v>1</v>
      </c>
      <c r="N827" s="6">
        <v>0.28000000000000003</v>
      </c>
      <c r="O827" s="2" t="str">
        <f>IF(Append1[[#This Row],[weekday]]=0,"holiday",IF(AND(Append1[[#This Row],[weekday]]&gt;1,Append1[[#This Row],[weekday]]&lt;7),"working day","weekend"))</f>
        <v>holiday</v>
      </c>
      <c r="P827" s="4" t="str">
        <f>IF(Append1[[#This Row],[weathersit]]=0,"sunny",IF(Append1[[#This Row],[weathersit]]=1,"mist",IF(Append1[[#This Row],[weathersit]]=2,"lightrain","extremerain")))</f>
        <v>mist</v>
      </c>
    </row>
    <row r="828" spans="1:16" x14ac:dyDescent="0.25">
      <c r="A828" s="4">
        <v>826</v>
      </c>
      <c r="B828" s="4">
        <v>0.28789999999999999</v>
      </c>
      <c r="C828" s="4">
        <v>0.61</v>
      </c>
      <c r="D828" s="4">
        <v>0.1045</v>
      </c>
      <c r="E828" s="4">
        <v>5</v>
      </c>
      <c r="F828" s="4">
        <v>21</v>
      </c>
      <c r="G828" s="4">
        <v>26</v>
      </c>
      <c r="H828" s="5">
        <v>40580</v>
      </c>
      <c r="I828" s="4">
        <v>1</v>
      </c>
      <c r="J828" s="4">
        <v>20</v>
      </c>
      <c r="K828" s="4" t="b">
        <f>IF(Append1[[#This Row],[days]]="working day",FALSE,TRUE)</f>
        <v>1</v>
      </c>
      <c r="L828" s="4">
        <v>0</v>
      </c>
      <c r="M828" s="4">
        <v>1</v>
      </c>
      <c r="N828" s="6">
        <v>0.28000000000000003</v>
      </c>
      <c r="O828" s="2" t="str">
        <f>IF(Append1[[#This Row],[weekday]]=0,"holiday",IF(AND(Append1[[#This Row],[weekday]]&gt;1,Append1[[#This Row],[weekday]]&lt;7),"working day","weekend"))</f>
        <v>holiday</v>
      </c>
      <c r="P828" s="4" t="str">
        <f>IF(Append1[[#This Row],[weathersit]]=0,"sunny",IF(Append1[[#This Row],[weathersit]]=1,"mist",IF(Append1[[#This Row],[weathersit]]=2,"lightrain","extremerain")))</f>
        <v>mist</v>
      </c>
    </row>
    <row r="829" spans="1:16" x14ac:dyDescent="0.25">
      <c r="A829" s="4">
        <v>827</v>
      </c>
      <c r="B829" s="4">
        <v>0.30299999999999999</v>
      </c>
      <c r="C829" s="4">
        <v>0.6</v>
      </c>
      <c r="D829" s="4">
        <v>0</v>
      </c>
      <c r="E829" s="4">
        <v>5</v>
      </c>
      <c r="F829" s="4">
        <v>22</v>
      </c>
      <c r="G829" s="4">
        <v>27</v>
      </c>
      <c r="H829" s="5">
        <v>40580</v>
      </c>
      <c r="I829" s="4">
        <v>1</v>
      </c>
      <c r="J829" s="4">
        <v>21</v>
      </c>
      <c r="K829" s="4" t="b">
        <f>IF(Append1[[#This Row],[days]]="working day",FALSE,TRUE)</f>
        <v>1</v>
      </c>
      <c r="L829" s="4">
        <v>0</v>
      </c>
      <c r="M829" s="4">
        <v>1</v>
      </c>
      <c r="N829" s="6">
        <v>0.26</v>
      </c>
      <c r="O829" s="2" t="str">
        <f>IF(Append1[[#This Row],[weekday]]=0,"holiday",IF(AND(Append1[[#This Row],[weekday]]&gt;1,Append1[[#This Row],[weekday]]&lt;7),"working day","weekend"))</f>
        <v>holiday</v>
      </c>
      <c r="P829" s="4" t="str">
        <f>IF(Append1[[#This Row],[weathersit]]=0,"sunny",IF(Append1[[#This Row],[weathersit]]=1,"mist",IF(Append1[[#This Row],[weathersit]]=2,"lightrain","extremerain")))</f>
        <v>mist</v>
      </c>
    </row>
    <row r="830" spans="1:16" x14ac:dyDescent="0.25">
      <c r="A830" s="4">
        <v>828</v>
      </c>
      <c r="B830" s="4">
        <v>0.30299999999999999</v>
      </c>
      <c r="C830" s="4">
        <v>0.6</v>
      </c>
      <c r="D830" s="4">
        <v>0</v>
      </c>
      <c r="E830" s="4">
        <v>5</v>
      </c>
      <c r="F830" s="4">
        <v>57</v>
      </c>
      <c r="G830" s="4">
        <v>62</v>
      </c>
      <c r="H830" s="5">
        <v>40580</v>
      </c>
      <c r="I830" s="4">
        <v>1</v>
      </c>
      <c r="J830" s="4">
        <v>22</v>
      </c>
      <c r="K830" s="4" t="b">
        <f>IF(Append1[[#This Row],[days]]="working day",FALSE,TRUE)</f>
        <v>1</v>
      </c>
      <c r="L830" s="4">
        <v>0</v>
      </c>
      <c r="M830" s="4">
        <v>1</v>
      </c>
      <c r="N830" s="6">
        <v>0.26</v>
      </c>
      <c r="O830" s="2" t="str">
        <f>IF(Append1[[#This Row],[weekday]]=0,"holiday",IF(AND(Append1[[#This Row],[weekday]]&gt;1,Append1[[#This Row],[weekday]]&lt;7),"working day","weekend"))</f>
        <v>holiday</v>
      </c>
      <c r="P830" s="4" t="str">
        <f>IF(Append1[[#This Row],[weathersit]]=0,"sunny",IF(Append1[[#This Row],[weathersit]]=1,"mist",IF(Append1[[#This Row],[weathersit]]=2,"lightrain","extremerain")))</f>
        <v>mist</v>
      </c>
    </row>
    <row r="831" spans="1:16" x14ac:dyDescent="0.25">
      <c r="A831" s="4">
        <v>829</v>
      </c>
      <c r="B831" s="4">
        <v>0.28789999999999999</v>
      </c>
      <c r="C831" s="4">
        <v>0.65</v>
      </c>
      <c r="D831" s="4">
        <v>0</v>
      </c>
      <c r="E831" s="4">
        <v>4</v>
      </c>
      <c r="F831" s="4">
        <v>26</v>
      </c>
      <c r="G831" s="4">
        <v>30</v>
      </c>
      <c r="H831" s="5">
        <v>40580</v>
      </c>
      <c r="I831" s="4">
        <v>1</v>
      </c>
      <c r="J831" s="4">
        <v>23</v>
      </c>
      <c r="K831" s="4" t="b">
        <f>IF(Append1[[#This Row],[days]]="working day",FALSE,TRUE)</f>
        <v>1</v>
      </c>
      <c r="L831" s="4">
        <v>0</v>
      </c>
      <c r="M831" s="4">
        <v>1</v>
      </c>
      <c r="N831" s="6">
        <v>0.24</v>
      </c>
      <c r="O831" s="2" t="str">
        <f>IF(Append1[[#This Row],[weekday]]=0,"holiday",IF(AND(Append1[[#This Row],[weekday]]&gt;1,Append1[[#This Row],[weekday]]&lt;7),"working day","weekend"))</f>
        <v>holiday</v>
      </c>
      <c r="P831" s="4" t="str">
        <f>IF(Append1[[#This Row],[weathersit]]=0,"sunny",IF(Append1[[#This Row],[weathersit]]=1,"mist",IF(Append1[[#This Row],[weathersit]]=2,"lightrain","extremerain")))</f>
        <v>mist</v>
      </c>
    </row>
    <row r="832" spans="1:16" x14ac:dyDescent="0.25">
      <c r="A832" s="4">
        <v>830</v>
      </c>
      <c r="B832" s="4">
        <v>0.28789999999999999</v>
      </c>
      <c r="C832" s="4">
        <v>0.65</v>
      </c>
      <c r="D832" s="4">
        <v>0</v>
      </c>
      <c r="E832" s="4">
        <v>1</v>
      </c>
      <c r="F832" s="4">
        <v>14</v>
      </c>
      <c r="G832" s="4">
        <v>15</v>
      </c>
      <c r="H832" s="5">
        <v>40581</v>
      </c>
      <c r="I832" s="4">
        <v>1</v>
      </c>
      <c r="J832" s="4">
        <v>0</v>
      </c>
      <c r="K832" s="4" t="b">
        <f>IF(Append1[[#This Row],[days]]="working day",FALSE,TRUE)</f>
        <v>1</v>
      </c>
      <c r="L832" s="4">
        <v>1</v>
      </c>
      <c r="M832" s="4">
        <v>1</v>
      </c>
      <c r="N832" s="6">
        <v>0.24</v>
      </c>
      <c r="O832" s="2" t="str">
        <f>IF(Append1[[#This Row],[weekday]]=0,"holiday",IF(AND(Append1[[#This Row],[weekday]]&gt;1,Append1[[#This Row],[weekday]]&lt;7),"working day","weekend"))</f>
        <v>weekend</v>
      </c>
      <c r="P832" s="4" t="str">
        <f>IF(Append1[[#This Row],[weathersit]]=0,"sunny",IF(Append1[[#This Row],[weathersit]]=1,"mist",IF(Append1[[#This Row],[weathersit]]=2,"lightrain","extremerain")))</f>
        <v>mist</v>
      </c>
    </row>
    <row r="833" spans="1:16" x14ac:dyDescent="0.25">
      <c r="A833" s="4">
        <v>831</v>
      </c>
      <c r="B833" s="4">
        <v>0.2727</v>
      </c>
      <c r="C833" s="4">
        <v>0.75</v>
      </c>
      <c r="D833" s="4">
        <v>0</v>
      </c>
      <c r="E833" s="4">
        <v>1</v>
      </c>
      <c r="F833" s="4">
        <v>4</v>
      </c>
      <c r="G833" s="4">
        <v>5</v>
      </c>
      <c r="H833" s="5">
        <v>40581</v>
      </c>
      <c r="I833" s="4">
        <v>1</v>
      </c>
      <c r="J833" s="4">
        <v>1</v>
      </c>
      <c r="K833" s="4" t="b">
        <f>IF(Append1[[#This Row],[days]]="working day",FALSE,TRUE)</f>
        <v>1</v>
      </c>
      <c r="L833" s="4">
        <v>1</v>
      </c>
      <c r="M833" s="4">
        <v>1</v>
      </c>
      <c r="N833" s="6">
        <v>0.22</v>
      </c>
      <c r="O833" s="2" t="str">
        <f>IF(Append1[[#This Row],[weekday]]=0,"holiday",IF(AND(Append1[[#This Row],[weekday]]&gt;1,Append1[[#This Row],[weekday]]&lt;7),"working day","weekend"))</f>
        <v>weekend</v>
      </c>
      <c r="P833" s="4" t="str">
        <f>IF(Append1[[#This Row],[weathersit]]=0,"sunny",IF(Append1[[#This Row],[weathersit]]=1,"mist",IF(Append1[[#This Row],[weathersit]]=2,"lightrain","extremerain")))</f>
        <v>mist</v>
      </c>
    </row>
    <row r="834" spans="1:16" x14ac:dyDescent="0.25">
      <c r="A834" s="4">
        <v>832</v>
      </c>
      <c r="B834" s="4">
        <v>0.2576</v>
      </c>
      <c r="C834" s="4">
        <v>0.8</v>
      </c>
      <c r="D834" s="4">
        <v>0</v>
      </c>
      <c r="E834" s="4">
        <v>0</v>
      </c>
      <c r="F834" s="4">
        <v>3</v>
      </c>
      <c r="G834" s="4">
        <v>3</v>
      </c>
      <c r="H834" s="5">
        <v>40581</v>
      </c>
      <c r="I834" s="4">
        <v>1</v>
      </c>
      <c r="J834" s="4">
        <v>2</v>
      </c>
      <c r="K834" s="4" t="b">
        <f>IF(Append1[[#This Row],[days]]="working day",FALSE,TRUE)</f>
        <v>1</v>
      </c>
      <c r="L834" s="4">
        <v>1</v>
      </c>
      <c r="M834" s="4">
        <v>1</v>
      </c>
      <c r="N834" s="6">
        <v>0.2</v>
      </c>
      <c r="O834" s="2" t="str">
        <f>IF(Append1[[#This Row],[weekday]]=0,"holiday",IF(AND(Append1[[#This Row],[weekday]]&gt;1,Append1[[#This Row],[weekday]]&lt;7),"working day","weekend"))</f>
        <v>weekend</v>
      </c>
      <c r="P834" s="4" t="str">
        <f>IF(Append1[[#This Row],[weathersit]]=0,"sunny",IF(Append1[[#This Row],[weathersit]]=1,"mist",IF(Append1[[#This Row],[weathersit]]=2,"lightrain","extremerain")))</f>
        <v>mist</v>
      </c>
    </row>
    <row r="835" spans="1:16" x14ac:dyDescent="0.25">
      <c r="A835" s="4">
        <v>833</v>
      </c>
      <c r="B835" s="4">
        <v>0.2576</v>
      </c>
      <c r="C835" s="4">
        <v>0.86</v>
      </c>
      <c r="D835" s="4">
        <v>0</v>
      </c>
      <c r="E835" s="4">
        <v>0</v>
      </c>
      <c r="F835" s="4">
        <v>1</v>
      </c>
      <c r="G835" s="4">
        <v>1</v>
      </c>
      <c r="H835" s="5">
        <v>40581</v>
      </c>
      <c r="I835" s="4">
        <v>1</v>
      </c>
      <c r="J835" s="4">
        <v>3</v>
      </c>
      <c r="K835" s="4" t="b">
        <f>IF(Append1[[#This Row],[days]]="working day",FALSE,TRUE)</f>
        <v>1</v>
      </c>
      <c r="L835" s="4">
        <v>1</v>
      </c>
      <c r="M835" s="4">
        <v>1</v>
      </c>
      <c r="N835" s="6">
        <v>0.2</v>
      </c>
      <c r="O835" s="2" t="str">
        <f>IF(Append1[[#This Row],[weekday]]=0,"holiday",IF(AND(Append1[[#This Row],[weekday]]&gt;1,Append1[[#This Row],[weekday]]&lt;7),"working day","weekend"))</f>
        <v>weekend</v>
      </c>
      <c r="P835" s="4" t="str">
        <f>IF(Append1[[#This Row],[weathersit]]=0,"sunny",IF(Append1[[#This Row],[weathersit]]=1,"mist",IF(Append1[[#This Row],[weathersit]]=2,"lightrain","extremerain")))</f>
        <v>mist</v>
      </c>
    </row>
    <row r="836" spans="1:16" x14ac:dyDescent="0.25">
      <c r="A836" s="4">
        <v>834</v>
      </c>
      <c r="B836" s="4">
        <v>0.2576</v>
      </c>
      <c r="C836" s="4">
        <v>0.86</v>
      </c>
      <c r="D836" s="4">
        <v>0</v>
      </c>
      <c r="E836" s="4">
        <v>1</v>
      </c>
      <c r="F836" s="4">
        <v>1</v>
      </c>
      <c r="G836" s="4">
        <v>2</v>
      </c>
      <c r="H836" s="5">
        <v>40581</v>
      </c>
      <c r="I836" s="4">
        <v>1</v>
      </c>
      <c r="J836" s="4">
        <v>4</v>
      </c>
      <c r="K836" s="4" t="b">
        <f>IF(Append1[[#This Row],[days]]="working day",FALSE,TRUE)</f>
        <v>1</v>
      </c>
      <c r="L836" s="4">
        <v>1</v>
      </c>
      <c r="M836" s="4">
        <v>1</v>
      </c>
      <c r="N836" s="6">
        <v>0.2</v>
      </c>
      <c r="O836" s="2" t="str">
        <f>IF(Append1[[#This Row],[weekday]]=0,"holiday",IF(AND(Append1[[#This Row],[weekday]]&gt;1,Append1[[#This Row],[weekday]]&lt;7),"working day","weekend"))</f>
        <v>weekend</v>
      </c>
      <c r="P836" s="4" t="str">
        <f>IF(Append1[[#This Row],[weathersit]]=0,"sunny",IF(Append1[[#This Row],[weathersit]]=1,"mist",IF(Append1[[#This Row],[weathersit]]=2,"lightrain","extremerain")))</f>
        <v>mist</v>
      </c>
    </row>
    <row r="837" spans="1:16" x14ac:dyDescent="0.25">
      <c r="A837" s="4">
        <v>835</v>
      </c>
      <c r="B837" s="4">
        <v>0.2576</v>
      </c>
      <c r="C837" s="4">
        <v>0.86</v>
      </c>
      <c r="D837" s="4">
        <v>0</v>
      </c>
      <c r="E837" s="4">
        <v>1</v>
      </c>
      <c r="F837" s="4">
        <v>9</v>
      </c>
      <c r="G837" s="4">
        <v>10</v>
      </c>
      <c r="H837" s="5">
        <v>40581</v>
      </c>
      <c r="I837" s="4">
        <v>1</v>
      </c>
      <c r="J837" s="4">
        <v>5</v>
      </c>
      <c r="K837" s="4" t="b">
        <f>IF(Append1[[#This Row],[days]]="working day",FALSE,TRUE)</f>
        <v>1</v>
      </c>
      <c r="L837" s="4">
        <v>1</v>
      </c>
      <c r="M837" s="4">
        <v>1</v>
      </c>
      <c r="N837" s="6">
        <v>0.2</v>
      </c>
      <c r="O837" s="2" t="str">
        <f>IF(Append1[[#This Row],[weekday]]=0,"holiday",IF(AND(Append1[[#This Row],[weekday]]&gt;1,Append1[[#This Row],[weekday]]&lt;7),"working day","weekend"))</f>
        <v>weekend</v>
      </c>
      <c r="P837" s="4" t="str">
        <f>IF(Append1[[#This Row],[weathersit]]=0,"sunny",IF(Append1[[#This Row],[weathersit]]=1,"mist",IF(Append1[[#This Row],[weathersit]]=2,"lightrain","extremerain")))</f>
        <v>mist</v>
      </c>
    </row>
    <row r="838" spans="1:16" x14ac:dyDescent="0.25">
      <c r="A838" s="4">
        <v>836</v>
      </c>
      <c r="B838" s="4">
        <v>0.2424</v>
      </c>
      <c r="C838" s="4">
        <v>0.93</v>
      </c>
      <c r="D838" s="4">
        <v>0</v>
      </c>
      <c r="E838" s="4">
        <v>1</v>
      </c>
      <c r="F838" s="4">
        <v>29</v>
      </c>
      <c r="G838" s="4">
        <v>30</v>
      </c>
      <c r="H838" s="5">
        <v>40581</v>
      </c>
      <c r="I838" s="4">
        <v>1</v>
      </c>
      <c r="J838" s="4">
        <v>6</v>
      </c>
      <c r="K838" s="4" t="b">
        <f>IF(Append1[[#This Row],[days]]="working day",FALSE,TRUE)</f>
        <v>1</v>
      </c>
      <c r="L838" s="4">
        <v>1</v>
      </c>
      <c r="M838" s="4">
        <v>1</v>
      </c>
      <c r="N838" s="6">
        <v>0.18</v>
      </c>
      <c r="O838" s="2" t="str">
        <f>IF(Append1[[#This Row],[weekday]]=0,"holiday",IF(AND(Append1[[#This Row],[weekday]]&gt;1,Append1[[#This Row],[weekday]]&lt;7),"working day","weekend"))</f>
        <v>weekend</v>
      </c>
      <c r="P838" s="4" t="str">
        <f>IF(Append1[[#This Row],[weathersit]]=0,"sunny",IF(Append1[[#This Row],[weathersit]]=1,"mist",IF(Append1[[#This Row],[weathersit]]=2,"lightrain","extremerain")))</f>
        <v>mist</v>
      </c>
    </row>
    <row r="839" spans="1:16" x14ac:dyDescent="0.25">
      <c r="A839" s="4">
        <v>837</v>
      </c>
      <c r="B839" s="4">
        <v>0.2424</v>
      </c>
      <c r="C839" s="4">
        <v>0.86</v>
      </c>
      <c r="D839" s="4">
        <v>0</v>
      </c>
      <c r="E839" s="4">
        <v>6</v>
      </c>
      <c r="F839" s="4">
        <v>89</v>
      </c>
      <c r="G839" s="4">
        <v>95</v>
      </c>
      <c r="H839" s="5">
        <v>40581</v>
      </c>
      <c r="I839" s="4">
        <v>1</v>
      </c>
      <c r="J839" s="4">
        <v>7</v>
      </c>
      <c r="K839" s="4" t="b">
        <f>IF(Append1[[#This Row],[days]]="working day",FALSE,TRUE)</f>
        <v>1</v>
      </c>
      <c r="L839" s="4">
        <v>1</v>
      </c>
      <c r="M839" s="4">
        <v>1</v>
      </c>
      <c r="N839" s="6">
        <v>0.18</v>
      </c>
      <c r="O839" s="2" t="str">
        <f>IF(Append1[[#This Row],[weekday]]=0,"holiday",IF(AND(Append1[[#This Row],[weekday]]&gt;1,Append1[[#This Row],[weekday]]&lt;7),"working day","weekend"))</f>
        <v>weekend</v>
      </c>
      <c r="P839" s="4" t="str">
        <f>IF(Append1[[#This Row],[weathersit]]=0,"sunny",IF(Append1[[#This Row],[weathersit]]=1,"mist",IF(Append1[[#This Row],[weathersit]]=2,"lightrain","extremerain")))</f>
        <v>mist</v>
      </c>
    </row>
    <row r="840" spans="1:16" x14ac:dyDescent="0.25">
      <c r="A840" s="4">
        <v>838</v>
      </c>
      <c r="B840" s="4">
        <v>0.2273</v>
      </c>
      <c r="C840" s="4">
        <v>1</v>
      </c>
      <c r="D840" s="4">
        <v>0</v>
      </c>
      <c r="E840" s="4">
        <v>7</v>
      </c>
      <c r="F840" s="4">
        <v>223</v>
      </c>
      <c r="G840" s="4">
        <v>230</v>
      </c>
      <c r="H840" s="5">
        <v>40581</v>
      </c>
      <c r="I840" s="4">
        <v>1</v>
      </c>
      <c r="J840" s="4">
        <v>8</v>
      </c>
      <c r="K840" s="4" t="b">
        <f>IF(Append1[[#This Row],[days]]="working day",FALSE,TRUE)</f>
        <v>1</v>
      </c>
      <c r="L840" s="4">
        <v>1</v>
      </c>
      <c r="M840" s="4">
        <v>2</v>
      </c>
      <c r="N840" s="6">
        <v>0.16</v>
      </c>
      <c r="O840" s="2" t="str">
        <f>IF(Append1[[#This Row],[weekday]]=0,"holiday",IF(AND(Append1[[#This Row],[weekday]]&gt;1,Append1[[#This Row],[weekday]]&lt;7),"working day","weekend"))</f>
        <v>weekend</v>
      </c>
      <c r="P840" s="4" t="str">
        <f>IF(Append1[[#This Row],[weathersit]]=0,"sunny",IF(Append1[[#This Row],[weathersit]]=1,"mist",IF(Append1[[#This Row],[weathersit]]=2,"lightrain","extremerain")))</f>
        <v>lightrain</v>
      </c>
    </row>
    <row r="841" spans="1:16" x14ac:dyDescent="0.25">
      <c r="A841" s="4">
        <v>839</v>
      </c>
      <c r="B841" s="4">
        <v>0.2727</v>
      </c>
      <c r="C841" s="4">
        <v>0.8</v>
      </c>
      <c r="D841" s="4">
        <v>0</v>
      </c>
      <c r="E841" s="4">
        <v>3</v>
      </c>
      <c r="F841" s="4">
        <v>115</v>
      </c>
      <c r="G841" s="4">
        <v>118</v>
      </c>
      <c r="H841" s="5">
        <v>40581</v>
      </c>
      <c r="I841" s="4">
        <v>1</v>
      </c>
      <c r="J841" s="4">
        <v>9</v>
      </c>
      <c r="K841" s="4" t="b">
        <f>IF(Append1[[#This Row],[days]]="working day",FALSE,TRUE)</f>
        <v>1</v>
      </c>
      <c r="L841" s="4">
        <v>1</v>
      </c>
      <c r="M841" s="4">
        <v>1</v>
      </c>
      <c r="N841" s="6">
        <v>0.22</v>
      </c>
      <c r="O841" s="2" t="str">
        <f>IF(Append1[[#This Row],[weekday]]=0,"holiday",IF(AND(Append1[[#This Row],[weekday]]&gt;1,Append1[[#This Row],[weekday]]&lt;7),"working day","weekend"))</f>
        <v>weekend</v>
      </c>
      <c r="P841" s="4" t="str">
        <f>IF(Append1[[#This Row],[weathersit]]=0,"sunny",IF(Append1[[#This Row],[weathersit]]=1,"mist",IF(Append1[[#This Row],[weathersit]]=2,"lightrain","extremerain")))</f>
        <v>mist</v>
      </c>
    </row>
    <row r="842" spans="1:16" x14ac:dyDescent="0.25">
      <c r="A842" s="4">
        <v>840</v>
      </c>
      <c r="B842" s="4">
        <v>0.2576</v>
      </c>
      <c r="C842" s="4">
        <v>0.75</v>
      </c>
      <c r="D842" s="4">
        <v>0.1045</v>
      </c>
      <c r="E842" s="4">
        <v>6</v>
      </c>
      <c r="F842" s="4">
        <v>49</v>
      </c>
      <c r="G842" s="4">
        <v>55</v>
      </c>
      <c r="H842" s="5">
        <v>40581</v>
      </c>
      <c r="I842" s="4">
        <v>1</v>
      </c>
      <c r="J842" s="4">
        <v>10</v>
      </c>
      <c r="K842" s="4" t="b">
        <f>IF(Append1[[#This Row],[days]]="working day",FALSE,TRUE)</f>
        <v>1</v>
      </c>
      <c r="L842" s="4">
        <v>1</v>
      </c>
      <c r="M842" s="4">
        <v>1</v>
      </c>
      <c r="N842" s="6">
        <v>0.24</v>
      </c>
      <c r="O842" s="2" t="str">
        <f>IF(Append1[[#This Row],[weekday]]=0,"holiday",IF(AND(Append1[[#This Row],[weekday]]&gt;1,Append1[[#This Row],[weekday]]&lt;7),"working day","weekend"))</f>
        <v>weekend</v>
      </c>
      <c r="P842" s="4" t="str">
        <f>IF(Append1[[#This Row],[weathersit]]=0,"sunny",IF(Append1[[#This Row],[weathersit]]=1,"mist",IF(Append1[[#This Row],[weathersit]]=2,"lightrain","extremerain")))</f>
        <v>mist</v>
      </c>
    </row>
    <row r="843" spans="1:16" x14ac:dyDescent="0.25">
      <c r="A843" s="4">
        <v>841</v>
      </c>
      <c r="B843" s="4">
        <v>0.31819999999999998</v>
      </c>
      <c r="C843" s="4">
        <v>0.65</v>
      </c>
      <c r="D843" s="4">
        <v>8.9599999999999999E-2</v>
      </c>
      <c r="E843" s="4">
        <v>11</v>
      </c>
      <c r="F843" s="4">
        <v>36</v>
      </c>
      <c r="G843" s="4">
        <v>47</v>
      </c>
      <c r="H843" s="5">
        <v>40581</v>
      </c>
      <c r="I843" s="4">
        <v>1</v>
      </c>
      <c r="J843" s="4">
        <v>11</v>
      </c>
      <c r="K843" s="4" t="b">
        <f>IF(Append1[[#This Row],[days]]="working day",FALSE,TRUE)</f>
        <v>1</v>
      </c>
      <c r="L843" s="4">
        <v>1</v>
      </c>
      <c r="M843" s="4">
        <v>1</v>
      </c>
      <c r="N843" s="6">
        <v>0.3</v>
      </c>
      <c r="O843" s="2" t="str">
        <f>IF(Append1[[#This Row],[weekday]]=0,"holiday",IF(AND(Append1[[#This Row],[weekday]]&gt;1,Append1[[#This Row],[weekday]]&lt;7),"working day","weekend"))</f>
        <v>weekend</v>
      </c>
      <c r="P843" s="4" t="str">
        <f>IF(Append1[[#This Row],[weathersit]]=0,"sunny",IF(Append1[[#This Row],[weathersit]]=1,"mist",IF(Append1[[#This Row],[weathersit]]=2,"lightrain","extremerain")))</f>
        <v>mist</v>
      </c>
    </row>
    <row r="844" spans="1:16" x14ac:dyDescent="0.25">
      <c r="A844" s="4">
        <v>842</v>
      </c>
      <c r="B844" s="4">
        <v>0.34849999999999998</v>
      </c>
      <c r="C844" s="4">
        <v>0.62</v>
      </c>
      <c r="D844" s="4">
        <v>0</v>
      </c>
      <c r="E844" s="4">
        <v>7</v>
      </c>
      <c r="F844" s="4">
        <v>59</v>
      </c>
      <c r="G844" s="4">
        <v>66</v>
      </c>
      <c r="H844" s="5">
        <v>40581</v>
      </c>
      <c r="I844" s="4">
        <v>1</v>
      </c>
      <c r="J844" s="4">
        <v>12</v>
      </c>
      <c r="K844" s="4" t="b">
        <f>IF(Append1[[#This Row],[days]]="working day",FALSE,TRUE)</f>
        <v>1</v>
      </c>
      <c r="L844" s="4">
        <v>1</v>
      </c>
      <c r="M844" s="4">
        <v>2</v>
      </c>
      <c r="N844" s="6">
        <v>0.32</v>
      </c>
      <c r="O844" s="2" t="str">
        <f>IF(Append1[[#This Row],[weekday]]=0,"holiday",IF(AND(Append1[[#This Row],[weekday]]&gt;1,Append1[[#This Row],[weekday]]&lt;7),"working day","weekend"))</f>
        <v>weekend</v>
      </c>
      <c r="P844" s="4" t="str">
        <f>IF(Append1[[#This Row],[weathersit]]=0,"sunny",IF(Append1[[#This Row],[weathersit]]=1,"mist",IF(Append1[[#This Row],[weathersit]]=2,"lightrain","extremerain")))</f>
        <v>lightrain</v>
      </c>
    </row>
    <row r="845" spans="1:16" x14ac:dyDescent="0.25">
      <c r="A845" s="4">
        <v>843</v>
      </c>
      <c r="B845" s="4">
        <v>0.36359999999999998</v>
      </c>
      <c r="C845" s="4">
        <v>0.56999999999999995</v>
      </c>
      <c r="D845" s="4">
        <v>8.9599999999999999E-2</v>
      </c>
      <c r="E845" s="4">
        <v>10</v>
      </c>
      <c r="F845" s="4">
        <v>54</v>
      </c>
      <c r="G845" s="4">
        <v>64</v>
      </c>
      <c r="H845" s="5">
        <v>40581</v>
      </c>
      <c r="I845" s="4">
        <v>1</v>
      </c>
      <c r="J845" s="4">
        <v>13</v>
      </c>
      <c r="K845" s="4" t="b">
        <f>IF(Append1[[#This Row],[days]]="working day",FALSE,TRUE)</f>
        <v>1</v>
      </c>
      <c r="L845" s="4">
        <v>1</v>
      </c>
      <c r="M845" s="4">
        <v>2</v>
      </c>
      <c r="N845" s="6">
        <v>0.36</v>
      </c>
      <c r="O845" s="2" t="str">
        <f>IF(Append1[[#This Row],[weekday]]=0,"holiday",IF(AND(Append1[[#This Row],[weekday]]&gt;1,Append1[[#This Row],[weekday]]&lt;7),"working day","weekend"))</f>
        <v>weekend</v>
      </c>
      <c r="P845" s="4" t="str">
        <f>IF(Append1[[#This Row],[weathersit]]=0,"sunny",IF(Append1[[#This Row],[weathersit]]=1,"mist",IF(Append1[[#This Row],[weathersit]]=2,"lightrain","extremerain")))</f>
        <v>lightrain</v>
      </c>
    </row>
    <row r="846" spans="1:16" x14ac:dyDescent="0.25">
      <c r="A846" s="4">
        <v>844</v>
      </c>
      <c r="B846" s="4">
        <v>0.36359999999999998</v>
      </c>
      <c r="C846" s="4">
        <v>0.56999999999999995</v>
      </c>
      <c r="D846" s="4">
        <v>8.9599999999999999E-2</v>
      </c>
      <c r="E846" s="4">
        <v>8</v>
      </c>
      <c r="F846" s="4">
        <v>52</v>
      </c>
      <c r="G846" s="4">
        <v>60</v>
      </c>
      <c r="H846" s="5">
        <v>40581</v>
      </c>
      <c r="I846" s="4">
        <v>1</v>
      </c>
      <c r="J846" s="4">
        <v>14</v>
      </c>
      <c r="K846" s="4" t="b">
        <f>IF(Append1[[#This Row],[days]]="working day",FALSE,TRUE)</f>
        <v>1</v>
      </c>
      <c r="L846" s="4">
        <v>1</v>
      </c>
      <c r="M846" s="4">
        <v>2</v>
      </c>
      <c r="N846" s="6">
        <v>0.36</v>
      </c>
      <c r="O846" s="2" t="str">
        <f>IF(Append1[[#This Row],[weekday]]=0,"holiday",IF(AND(Append1[[#This Row],[weekday]]&gt;1,Append1[[#This Row],[weekday]]&lt;7),"working day","weekend"))</f>
        <v>weekend</v>
      </c>
      <c r="P846" s="4" t="str">
        <f>IF(Append1[[#This Row],[weathersit]]=0,"sunny",IF(Append1[[#This Row],[weathersit]]=1,"mist",IF(Append1[[#This Row],[weathersit]]=2,"lightrain","extremerain")))</f>
        <v>lightrain</v>
      </c>
    </row>
    <row r="847" spans="1:16" x14ac:dyDescent="0.25">
      <c r="A847" s="4">
        <v>845</v>
      </c>
      <c r="B847" s="4">
        <v>0.39389999999999997</v>
      </c>
      <c r="C847" s="4">
        <v>0.54</v>
      </c>
      <c r="D847" s="4">
        <v>8.9599999999999999E-2</v>
      </c>
      <c r="E847" s="4">
        <v>4</v>
      </c>
      <c r="F847" s="4">
        <v>46</v>
      </c>
      <c r="G847" s="4">
        <v>50</v>
      </c>
      <c r="H847" s="5">
        <v>40581</v>
      </c>
      <c r="I847" s="4">
        <v>1</v>
      </c>
      <c r="J847" s="4">
        <v>15</v>
      </c>
      <c r="K847" s="4" t="b">
        <f>IF(Append1[[#This Row],[days]]="working day",FALSE,TRUE)</f>
        <v>1</v>
      </c>
      <c r="L847" s="4">
        <v>1</v>
      </c>
      <c r="M847" s="4">
        <v>2</v>
      </c>
      <c r="N847" s="6">
        <v>0.38</v>
      </c>
      <c r="O847" s="2" t="str">
        <f>IF(Append1[[#This Row],[weekday]]=0,"holiday",IF(AND(Append1[[#This Row],[weekday]]&gt;1,Append1[[#This Row],[weekday]]&lt;7),"working day","weekend"))</f>
        <v>weekend</v>
      </c>
      <c r="P847" s="4" t="str">
        <f>IF(Append1[[#This Row],[weathersit]]=0,"sunny",IF(Append1[[#This Row],[weathersit]]=1,"mist",IF(Append1[[#This Row],[weathersit]]=2,"lightrain","extremerain")))</f>
        <v>lightrain</v>
      </c>
    </row>
    <row r="848" spans="1:16" x14ac:dyDescent="0.25">
      <c r="A848" s="4">
        <v>846</v>
      </c>
      <c r="B848" s="4">
        <v>0.34849999999999998</v>
      </c>
      <c r="C848" s="4">
        <v>0.56999999999999995</v>
      </c>
      <c r="D848" s="4">
        <v>0.1343</v>
      </c>
      <c r="E848" s="4">
        <v>16</v>
      </c>
      <c r="F848" s="4">
        <v>98</v>
      </c>
      <c r="G848" s="4">
        <v>114</v>
      </c>
      <c r="H848" s="5">
        <v>40581</v>
      </c>
      <c r="I848" s="4">
        <v>1</v>
      </c>
      <c r="J848" s="4">
        <v>16</v>
      </c>
      <c r="K848" s="4" t="b">
        <f>IF(Append1[[#This Row],[days]]="working day",FALSE,TRUE)</f>
        <v>1</v>
      </c>
      <c r="L848" s="4">
        <v>1</v>
      </c>
      <c r="M848" s="4">
        <v>2</v>
      </c>
      <c r="N848" s="6">
        <v>0.36</v>
      </c>
      <c r="O848" s="2" t="str">
        <f>IF(Append1[[#This Row],[weekday]]=0,"holiday",IF(AND(Append1[[#This Row],[weekday]]&gt;1,Append1[[#This Row],[weekday]]&lt;7),"working day","weekend"))</f>
        <v>weekend</v>
      </c>
      <c r="P848" s="4" t="str">
        <f>IF(Append1[[#This Row],[weathersit]]=0,"sunny",IF(Append1[[#This Row],[weathersit]]=1,"mist",IF(Append1[[#This Row],[weathersit]]=2,"lightrain","extremerain")))</f>
        <v>lightrain</v>
      </c>
    </row>
    <row r="849" spans="1:16" x14ac:dyDescent="0.25">
      <c r="A849" s="4">
        <v>847</v>
      </c>
      <c r="B849" s="4">
        <v>0.31819999999999998</v>
      </c>
      <c r="C849" s="4">
        <v>0.7</v>
      </c>
      <c r="D849" s="4">
        <v>0.16420000000000001</v>
      </c>
      <c r="E849" s="4">
        <v>9</v>
      </c>
      <c r="F849" s="4">
        <v>207</v>
      </c>
      <c r="G849" s="4">
        <v>216</v>
      </c>
      <c r="H849" s="5">
        <v>40581</v>
      </c>
      <c r="I849" s="4">
        <v>1</v>
      </c>
      <c r="J849" s="4">
        <v>17</v>
      </c>
      <c r="K849" s="4" t="b">
        <f>IF(Append1[[#This Row],[days]]="working day",FALSE,TRUE)</f>
        <v>1</v>
      </c>
      <c r="L849" s="4">
        <v>1</v>
      </c>
      <c r="M849" s="4">
        <v>2</v>
      </c>
      <c r="N849" s="6">
        <v>0.32</v>
      </c>
      <c r="O849" s="2" t="str">
        <f>IF(Append1[[#This Row],[weekday]]=0,"holiday",IF(AND(Append1[[#This Row],[weekday]]&gt;1,Append1[[#This Row],[weekday]]&lt;7),"working day","weekend"))</f>
        <v>weekend</v>
      </c>
      <c r="P849" s="4" t="str">
        <f>IF(Append1[[#This Row],[weathersit]]=0,"sunny",IF(Append1[[#This Row],[weathersit]]=1,"mist",IF(Append1[[#This Row],[weathersit]]=2,"lightrain","extremerain")))</f>
        <v>lightrain</v>
      </c>
    </row>
    <row r="850" spans="1:16" x14ac:dyDescent="0.25">
      <c r="A850" s="4">
        <v>848</v>
      </c>
      <c r="B850" s="4">
        <v>0.33329999999999999</v>
      </c>
      <c r="C850" s="4">
        <v>0.66</v>
      </c>
      <c r="D850" s="4">
        <v>0.1343</v>
      </c>
      <c r="E850" s="4">
        <v>5</v>
      </c>
      <c r="F850" s="4">
        <v>170</v>
      </c>
      <c r="G850" s="4">
        <v>175</v>
      </c>
      <c r="H850" s="5">
        <v>40581</v>
      </c>
      <c r="I850" s="4">
        <v>1</v>
      </c>
      <c r="J850" s="4">
        <v>18</v>
      </c>
      <c r="K850" s="4" t="b">
        <f>IF(Append1[[#This Row],[days]]="working day",FALSE,TRUE)</f>
        <v>1</v>
      </c>
      <c r="L850" s="4">
        <v>1</v>
      </c>
      <c r="M850" s="4">
        <v>2</v>
      </c>
      <c r="N850" s="6">
        <v>0.34</v>
      </c>
      <c r="O850" s="2" t="str">
        <f>IF(Append1[[#This Row],[weekday]]=0,"holiday",IF(AND(Append1[[#This Row],[weekday]]&gt;1,Append1[[#This Row],[weekday]]&lt;7),"working day","weekend"))</f>
        <v>weekend</v>
      </c>
      <c r="P850" s="4" t="str">
        <f>IF(Append1[[#This Row],[weathersit]]=0,"sunny",IF(Append1[[#This Row],[weathersit]]=1,"mist",IF(Append1[[#This Row],[weathersit]]=2,"lightrain","extremerain")))</f>
        <v>lightrain</v>
      </c>
    </row>
    <row r="851" spans="1:16" x14ac:dyDescent="0.25">
      <c r="A851" s="4">
        <v>849</v>
      </c>
      <c r="B851" s="4">
        <v>0.34849999999999998</v>
      </c>
      <c r="C851" s="4">
        <v>0.7</v>
      </c>
      <c r="D851" s="4">
        <v>0</v>
      </c>
      <c r="E851" s="4">
        <v>5</v>
      </c>
      <c r="F851" s="4">
        <v>123</v>
      </c>
      <c r="G851" s="4">
        <v>128</v>
      </c>
      <c r="H851" s="5">
        <v>40581</v>
      </c>
      <c r="I851" s="4">
        <v>1</v>
      </c>
      <c r="J851" s="4">
        <v>19</v>
      </c>
      <c r="K851" s="4" t="b">
        <f>IF(Append1[[#This Row],[days]]="working day",FALSE,TRUE)</f>
        <v>1</v>
      </c>
      <c r="L851" s="4">
        <v>1</v>
      </c>
      <c r="M851" s="4">
        <v>2</v>
      </c>
      <c r="N851" s="6">
        <v>0.32</v>
      </c>
      <c r="O851" s="2" t="str">
        <f>IF(Append1[[#This Row],[weekday]]=0,"holiday",IF(AND(Append1[[#This Row],[weekday]]&gt;1,Append1[[#This Row],[weekday]]&lt;7),"working day","weekend"))</f>
        <v>weekend</v>
      </c>
      <c r="P851" s="4" t="str">
        <f>IF(Append1[[#This Row],[weathersit]]=0,"sunny",IF(Append1[[#This Row],[weathersit]]=1,"mist",IF(Append1[[#This Row],[weathersit]]=2,"lightrain","extremerain")))</f>
        <v>lightrain</v>
      </c>
    </row>
    <row r="852" spans="1:16" x14ac:dyDescent="0.25">
      <c r="A852" s="4">
        <v>850</v>
      </c>
      <c r="B852" s="4">
        <v>0.33329999999999999</v>
      </c>
      <c r="C852" s="4">
        <v>0.7</v>
      </c>
      <c r="D852" s="4">
        <v>0.1045</v>
      </c>
      <c r="E852" s="4">
        <v>6</v>
      </c>
      <c r="F852" s="4">
        <v>82</v>
      </c>
      <c r="G852" s="4">
        <v>88</v>
      </c>
      <c r="H852" s="5">
        <v>40581</v>
      </c>
      <c r="I852" s="4">
        <v>1</v>
      </c>
      <c r="J852" s="4">
        <v>20</v>
      </c>
      <c r="K852" s="4" t="b">
        <f>IF(Append1[[#This Row],[days]]="working day",FALSE,TRUE)</f>
        <v>1</v>
      </c>
      <c r="L852" s="4">
        <v>1</v>
      </c>
      <c r="M852" s="4">
        <v>2</v>
      </c>
      <c r="N852" s="6">
        <v>0.32</v>
      </c>
      <c r="O852" s="2" t="str">
        <f>IF(Append1[[#This Row],[weekday]]=0,"holiday",IF(AND(Append1[[#This Row],[weekday]]&gt;1,Append1[[#This Row],[weekday]]&lt;7),"working day","weekend"))</f>
        <v>weekend</v>
      </c>
      <c r="P852" s="4" t="str">
        <f>IF(Append1[[#This Row],[weathersit]]=0,"sunny",IF(Append1[[#This Row],[weathersit]]=1,"mist",IF(Append1[[#This Row],[weathersit]]=2,"lightrain","extremerain")))</f>
        <v>lightrain</v>
      </c>
    </row>
    <row r="853" spans="1:16" x14ac:dyDescent="0.25">
      <c r="A853" s="4">
        <v>851</v>
      </c>
      <c r="B853" s="4">
        <v>0.34849999999999998</v>
      </c>
      <c r="C853" s="4">
        <v>0.7</v>
      </c>
      <c r="D853" s="4">
        <v>0</v>
      </c>
      <c r="E853" s="4">
        <v>3</v>
      </c>
      <c r="F853" s="4">
        <v>75</v>
      </c>
      <c r="G853" s="4">
        <v>78</v>
      </c>
      <c r="H853" s="5">
        <v>40581</v>
      </c>
      <c r="I853" s="4">
        <v>1</v>
      </c>
      <c r="J853" s="4">
        <v>21</v>
      </c>
      <c r="K853" s="4" t="b">
        <f>IF(Append1[[#This Row],[days]]="working day",FALSE,TRUE)</f>
        <v>1</v>
      </c>
      <c r="L853" s="4">
        <v>1</v>
      </c>
      <c r="M853" s="4">
        <v>1</v>
      </c>
      <c r="N853" s="6">
        <v>0.32</v>
      </c>
      <c r="O853" s="2" t="str">
        <f>IF(Append1[[#This Row],[weekday]]=0,"holiday",IF(AND(Append1[[#This Row],[weekday]]&gt;1,Append1[[#This Row],[weekday]]&lt;7),"working day","weekend"))</f>
        <v>weekend</v>
      </c>
      <c r="P853" s="4" t="str">
        <f>IF(Append1[[#This Row],[weathersit]]=0,"sunny",IF(Append1[[#This Row],[weathersit]]=1,"mist",IF(Append1[[#This Row],[weathersit]]=2,"lightrain","extremerain")))</f>
        <v>mist</v>
      </c>
    </row>
    <row r="854" spans="1:16" x14ac:dyDescent="0.25">
      <c r="A854" s="4">
        <v>852</v>
      </c>
      <c r="B854" s="4">
        <v>0.30299999999999999</v>
      </c>
      <c r="C854" s="4">
        <v>0.81</v>
      </c>
      <c r="D854" s="4">
        <v>8.9599999999999999E-2</v>
      </c>
      <c r="E854" s="4">
        <v>3</v>
      </c>
      <c r="F854" s="4">
        <v>34</v>
      </c>
      <c r="G854" s="4">
        <v>37</v>
      </c>
      <c r="H854" s="5">
        <v>40581</v>
      </c>
      <c r="I854" s="4">
        <v>1</v>
      </c>
      <c r="J854" s="4">
        <v>22</v>
      </c>
      <c r="K854" s="4" t="b">
        <f>IF(Append1[[#This Row],[days]]="working day",FALSE,TRUE)</f>
        <v>1</v>
      </c>
      <c r="L854" s="4">
        <v>1</v>
      </c>
      <c r="M854" s="4">
        <v>1</v>
      </c>
      <c r="N854" s="6">
        <v>0.28000000000000003</v>
      </c>
      <c r="O854" s="2" t="str">
        <f>IF(Append1[[#This Row],[weekday]]=0,"holiday",IF(AND(Append1[[#This Row],[weekday]]&gt;1,Append1[[#This Row],[weekday]]&lt;7),"working day","weekend"))</f>
        <v>weekend</v>
      </c>
      <c r="P854" s="4" t="str">
        <f>IF(Append1[[#This Row],[weathersit]]=0,"sunny",IF(Append1[[#This Row],[weathersit]]=1,"mist",IF(Append1[[#This Row],[weathersit]]=2,"lightrain","extremerain")))</f>
        <v>mist</v>
      </c>
    </row>
    <row r="855" spans="1:16" x14ac:dyDescent="0.25">
      <c r="A855" s="4">
        <v>853</v>
      </c>
      <c r="B855" s="4">
        <v>0.33329999999999999</v>
      </c>
      <c r="C855" s="4">
        <v>0.81</v>
      </c>
      <c r="D855" s="4">
        <v>0</v>
      </c>
      <c r="E855" s="4">
        <v>6</v>
      </c>
      <c r="F855" s="4">
        <v>19</v>
      </c>
      <c r="G855" s="4">
        <v>25</v>
      </c>
      <c r="H855" s="5">
        <v>40581</v>
      </c>
      <c r="I855" s="4">
        <v>1</v>
      </c>
      <c r="J855" s="4">
        <v>23</v>
      </c>
      <c r="K855" s="4" t="b">
        <f>IF(Append1[[#This Row],[days]]="working day",FALSE,TRUE)</f>
        <v>1</v>
      </c>
      <c r="L855" s="4">
        <v>1</v>
      </c>
      <c r="M855" s="4">
        <v>2</v>
      </c>
      <c r="N855" s="6">
        <v>0.3</v>
      </c>
      <c r="O855" s="2" t="str">
        <f>IF(Append1[[#This Row],[weekday]]=0,"holiday",IF(AND(Append1[[#This Row],[weekday]]&gt;1,Append1[[#This Row],[weekday]]&lt;7),"working day","weekend"))</f>
        <v>weekend</v>
      </c>
      <c r="P855" s="4" t="str">
        <f>IF(Append1[[#This Row],[weathersit]]=0,"sunny",IF(Append1[[#This Row],[weathersit]]=1,"mist",IF(Append1[[#This Row],[weathersit]]=2,"lightrain","extremerain")))</f>
        <v>lightrain</v>
      </c>
    </row>
    <row r="856" spans="1:16" x14ac:dyDescent="0.25">
      <c r="A856" s="4">
        <v>854</v>
      </c>
      <c r="B856" s="4">
        <v>0.31819999999999998</v>
      </c>
      <c r="C856" s="4">
        <v>0.87</v>
      </c>
      <c r="D856" s="4">
        <v>0</v>
      </c>
      <c r="E856" s="4">
        <v>4</v>
      </c>
      <c r="F856" s="4">
        <v>6</v>
      </c>
      <c r="G856" s="4">
        <v>10</v>
      </c>
      <c r="H856" s="5">
        <v>40582</v>
      </c>
      <c r="I856" s="4">
        <v>1</v>
      </c>
      <c r="J856" s="4">
        <v>0</v>
      </c>
      <c r="K856" s="4" t="b">
        <f>IF(Append1[[#This Row],[days]]="working day",FALSE,TRUE)</f>
        <v>0</v>
      </c>
      <c r="L856" s="4">
        <v>2</v>
      </c>
      <c r="M856" s="4">
        <v>2</v>
      </c>
      <c r="N856" s="6">
        <v>0.28000000000000003</v>
      </c>
      <c r="O856" s="2" t="str">
        <f>IF(Append1[[#This Row],[weekday]]=0,"holiday",IF(AND(Append1[[#This Row],[weekday]]&gt;1,Append1[[#This Row],[weekday]]&lt;7),"working day","weekend"))</f>
        <v>working day</v>
      </c>
      <c r="P856" s="4" t="str">
        <f>IF(Append1[[#This Row],[weathersit]]=0,"sunny",IF(Append1[[#This Row],[weathersit]]=1,"mist",IF(Append1[[#This Row],[weathersit]]=2,"lightrain","extremerain")))</f>
        <v>lightrain</v>
      </c>
    </row>
    <row r="857" spans="1:16" x14ac:dyDescent="0.25">
      <c r="A857" s="4">
        <v>855</v>
      </c>
      <c r="B857" s="4">
        <v>0.31819999999999998</v>
      </c>
      <c r="C857" s="4">
        <v>0.87</v>
      </c>
      <c r="D857" s="4">
        <v>0</v>
      </c>
      <c r="E857" s="4">
        <v>0</v>
      </c>
      <c r="F857" s="4">
        <v>4</v>
      </c>
      <c r="G857" s="4">
        <v>4</v>
      </c>
      <c r="H857" s="5">
        <v>40582</v>
      </c>
      <c r="I857" s="4">
        <v>1</v>
      </c>
      <c r="J857" s="4">
        <v>1</v>
      </c>
      <c r="K857" s="4" t="b">
        <f>IF(Append1[[#This Row],[days]]="working day",FALSE,TRUE)</f>
        <v>0</v>
      </c>
      <c r="L857" s="4">
        <v>2</v>
      </c>
      <c r="M857" s="4">
        <v>2</v>
      </c>
      <c r="N857" s="6">
        <v>0.28000000000000003</v>
      </c>
      <c r="O857" s="2" t="str">
        <f>IF(Append1[[#This Row],[weekday]]=0,"holiday",IF(AND(Append1[[#This Row],[weekday]]&gt;1,Append1[[#This Row],[weekday]]&lt;7),"working day","weekend"))</f>
        <v>working day</v>
      </c>
      <c r="P857" s="4" t="str">
        <f>IF(Append1[[#This Row],[weathersit]]=0,"sunny",IF(Append1[[#This Row],[weathersit]]=1,"mist",IF(Append1[[#This Row],[weathersit]]=2,"lightrain","extremerain")))</f>
        <v>lightrain</v>
      </c>
    </row>
    <row r="858" spans="1:16" x14ac:dyDescent="0.25">
      <c r="A858" s="4">
        <v>856</v>
      </c>
      <c r="B858" s="4">
        <v>0.2727</v>
      </c>
      <c r="C858" s="4">
        <v>0.93</v>
      </c>
      <c r="D858" s="4">
        <v>0.1045</v>
      </c>
      <c r="E858" s="4">
        <v>1</v>
      </c>
      <c r="F858" s="4">
        <v>1</v>
      </c>
      <c r="G858" s="4">
        <v>2</v>
      </c>
      <c r="H858" s="5">
        <v>40582</v>
      </c>
      <c r="I858" s="4">
        <v>1</v>
      </c>
      <c r="J858" s="4">
        <v>2</v>
      </c>
      <c r="K858" s="4" t="b">
        <f>IF(Append1[[#This Row],[days]]="working day",FALSE,TRUE)</f>
        <v>0</v>
      </c>
      <c r="L858" s="4">
        <v>2</v>
      </c>
      <c r="M858" s="4">
        <v>2</v>
      </c>
      <c r="N858" s="6">
        <v>0.26</v>
      </c>
      <c r="O858" s="2" t="str">
        <f>IF(Append1[[#This Row],[weekday]]=0,"holiday",IF(AND(Append1[[#This Row],[weekday]]&gt;1,Append1[[#This Row],[weekday]]&lt;7),"working day","weekend"))</f>
        <v>working day</v>
      </c>
      <c r="P858" s="4" t="str">
        <f>IF(Append1[[#This Row],[weathersit]]=0,"sunny",IF(Append1[[#This Row],[weathersit]]=1,"mist",IF(Append1[[#This Row],[weathersit]]=2,"lightrain","extremerain")))</f>
        <v>lightrain</v>
      </c>
    </row>
    <row r="859" spans="1:16" x14ac:dyDescent="0.25">
      <c r="A859" s="4">
        <v>857</v>
      </c>
      <c r="B859" s="4">
        <v>0.2727</v>
      </c>
      <c r="C859" s="4">
        <v>0.93</v>
      </c>
      <c r="D859" s="4">
        <v>0.16420000000000001</v>
      </c>
      <c r="E859" s="4">
        <v>0</v>
      </c>
      <c r="F859" s="4">
        <v>1</v>
      </c>
      <c r="G859" s="4">
        <v>1</v>
      </c>
      <c r="H859" s="5">
        <v>40582</v>
      </c>
      <c r="I859" s="4">
        <v>1</v>
      </c>
      <c r="J859" s="4">
        <v>3</v>
      </c>
      <c r="K859" s="4" t="b">
        <f>IF(Append1[[#This Row],[days]]="working day",FALSE,TRUE)</f>
        <v>0</v>
      </c>
      <c r="L859" s="4">
        <v>2</v>
      </c>
      <c r="M859" s="4">
        <v>3</v>
      </c>
      <c r="N859" s="6">
        <v>0.28000000000000003</v>
      </c>
      <c r="O859" s="2" t="str">
        <f>IF(Append1[[#This Row],[weekday]]=0,"holiday",IF(AND(Append1[[#This Row],[weekday]]&gt;1,Append1[[#This Row],[weekday]]&lt;7),"working day","weekend"))</f>
        <v>working day</v>
      </c>
      <c r="P859" s="4" t="str">
        <f>IF(Append1[[#This Row],[weathersit]]=0,"sunny",IF(Append1[[#This Row],[weathersit]]=1,"mist",IF(Append1[[#This Row],[weathersit]]=2,"lightrain","extremerain")))</f>
        <v>extremerain</v>
      </c>
    </row>
    <row r="860" spans="1:16" x14ac:dyDescent="0.25">
      <c r="A860" s="4">
        <v>858</v>
      </c>
      <c r="B860" s="4">
        <v>0.2576</v>
      </c>
      <c r="C860" s="4">
        <v>0.93</v>
      </c>
      <c r="D860" s="4">
        <v>0.16420000000000001</v>
      </c>
      <c r="E860" s="4">
        <v>0</v>
      </c>
      <c r="F860" s="4">
        <v>3</v>
      </c>
      <c r="G860" s="4">
        <v>3</v>
      </c>
      <c r="H860" s="5">
        <v>40582</v>
      </c>
      <c r="I860" s="4">
        <v>1</v>
      </c>
      <c r="J860" s="4">
        <v>4</v>
      </c>
      <c r="K860" s="4" t="b">
        <f>IF(Append1[[#This Row],[days]]="working day",FALSE,TRUE)</f>
        <v>0</v>
      </c>
      <c r="L860" s="4">
        <v>2</v>
      </c>
      <c r="M860" s="4">
        <v>1</v>
      </c>
      <c r="N860" s="6">
        <v>0.26</v>
      </c>
      <c r="O860" s="2" t="str">
        <f>IF(Append1[[#This Row],[weekday]]=0,"holiday",IF(AND(Append1[[#This Row],[weekday]]&gt;1,Append1[[#This Row],[weekday]]&lt;7),"working day","weekend"))</f>
        <v>working day</v>
      </c>
      <c r="P860" s="4" t="str">
        <f>IF(Append1[[#This Row],[weathersit]]=0,"sunny",IF(Append1[[#This Row],[weathersit]]=1,"mist",IF(Append1[[#This Row],[weathersit]]=2,"lightrain","extremerain")))</f>
        <v>mist</v>
      </c>
    </row>
    <row r="861" spans="1:16" x14ac:dyDescent="0.25">
      <c r="A861" s="4">
        <v>859</v>
      </c>
      <c r="B861" s="4">
        <v>0.2273</v>
      </c>
      <c r="C861" s="4">
        <v>0.81</v>
      </c>
      <c r="D861" s="4">
        <v>0.32840000000000003</v>
      </c>
      <c r="E861" s="4">
        <v>0</v>
      </c>
      <c r="F861" s="4">
        <v>2</v>
      </c>
      <c r="G861" s="4">
        <v>2</v>
      </c>
      <c r="H861" s="5">
        <v>40582</v>
      </c>
      <c r="I861" s="4">
        <v>1</v>
      </c>
      <c r="J861" s="4">
        <v>5</v>
      </c>
      <c r="K861" s="4" t="b">
        <f>IF(Append1[[#This Row],[days]]="working day",FALSE,TRUE)</f>
        <v>0</v>
      </c>
      <c r="L861" s="4">
        <v>2</v>
      </c>
      <c r="M861" s="4">
        <v>1</v>
      </c>
      <c r="N861" s="6">
        <v>0.26</v>
      </c>
      <c r="O861" s="2" t="str">
        <f>IF(Append1[[#This Row],[weekday]]=0,"holiday",IF(AND(Append1[[#This Row],[weekday]]&gt;1,Append1[[#This Row],[weekday]]&lt;7),"working day","weekend"))</f>
        <v>working day</v>
      </c>
      <c r="P861" s="4" t="str">
        <f>IF(Append1[[#This Row],[weathersit]]=0,"sunny",IF(Append1[[#This Row],[weathersit]]=1,"mist",IF(Append1[[#This Row],[weathersit]]=2,"lightrain","extremerain")))</f>
        <v>mist</v>
      </c>
    </row>
    <row r="862" spans="1:16" x14ac:dyDescent="0.25">
      <c r="A862" s="4">
        <v>860</v>
      </c>
      <c r="B862" s="4">
        <v>0.2273</v>
      </c>
      <c r="C862" s="4">
        <v>0.7</v>
      </c>
      <c r="D862" s="4">
        <v>0.32840000000000003</v>
      </c>
      <c r="E862" s="4">
        <v>0</v>
      </c>
      <c r="F862" s="4">
        <v>39</v>
      </c>
      <c r="G862" s="4">
        <v>39</v>
      </c>
      <c r="H862" s="5">
        <v>40582</v>
      </c>
      <c r="I862" s="4">
        <v>1</v>
      </c>
      <c r="J862" s="4">
        <v>6</v>
      </c>
      <c r="K862" s="4" t="b">
        <f>IF(Append1[[#This Row],[days]]="working day",FALSE,TRUE)</f>
        <v>0</v>
      </c>
      <c r="L862" s="4">
        <v>2</v>
      </c>
      <c r="M862" s="4">
        <v>1</v>
      </c>
      <c r="N862" s="6">
        <v>0.26</v>
      </c>
      <c r="O862" s="2" t="str">
        <f>IF(Append1[[#This Row],[weekday]]=0,"holiday",IF(AND(Append1[[#This Row],[weekday]]&gt;1,Append1[[#This Row],[weekday]]&lt;7),"working day","weekend"))</f>
        <v>working day</v>
      </c>
      <c r="P862" s="4" t="str">
        <f>IF(Append1[[#This Row],[weathersit]]=0,"sunny",IF(Append1[[#This Row],[weathersit]]=1,"mist",IF(Append1[[#This Row],[weathersit]]=2,"lightrain","extremerain")))</f>
        <v>mist</v>
      </c>
    </row>
    <row r="863" spans="1:16" x14ac:dyDescent="0.25">
      <c r="A863" s="4">
        <v>861</v>
      </c>
      <c r="B863" s="4">
        <v>0.19700000000000001</v>
      </c>
      <c r="C863" s="4">
        <v>0.65</v>
      </c>
      <c r="D863" s="4">
        <v>0.41789999999999999</v>
      </c>
      <c r="E863" s="4">
        <v>3</v>
      </c>
      <c r="F863" s="4">
        <v>97</v>
      </c>
      <c r="G863" s="4">
        <v>100</v>
      </c>
      <c r="H863" s="5">
        <v>40582</v>
      </c>
      <c r="I863" s="4">
        <v>1</v>
      </c>
      <c r="J863" s="4">
        <v>7</v>
      </c>
      <c r="K863" s="4" t="b">
        <f>IF(Append1[[#This Row],[days]]="working day",FALSE,TRUE)</f>
        <v>0</v>
      </c>
      <c r="L863" s="4">
        <v>2</v>
      </c>
      <c r="M863" s="4">
        <v>1</v>
      </c>
      <c r="N863" s="6">
        <v>0.24</v>
      </c>
      <c r="O863" s="2" t="str">
        <f>IF(Append1[[#This Row],[weekday]]=0,"holiday",IF(AND(Append1[[#This Row],[weekday]]&gt;1,Append1[[#This Row],[weekday]]&lt;7),"working day","weekend"))</f>
        <v>working day</v>
      </c>
      <c r="P863" s="4" t="str">
        <f>IF(Append1[[#This Row],[weathersit]]=0,"sunny",IF(Append1[[#This Row],[weathersit]]=1,"mist",IF(Append1[[#This Row],[weathersit]]=2,"lightrain","extremerain")))</f>
        <v>mist</v>
      </c>
    </row>
    <row r="864" spans="1:16" x14ac:dyDescent="0.25">
      <c r="A864" s="4">
        <v>862</v>
      </c>
      <c r="B864" s="4">
        <v>0.19700000000000001</v>
      </c>
      <c r="C864" s="4">
        <v>0.56000000000000005</v>
      </c>
      <c r="D864" s="4">
        <v>0.49249999999999999</v>
      </c>
      <c r="E864" s="4">
        <v>7</v>
      </c>
      <c r="F864" s="4">
        <v>236</v>
      </c>
      <c r="G864" s="4">
        <v>243</v>
      </c>
      <c r="H864" s="5">
        <v>40582</v>
      </c>
      <c r="I864" s="4">
        <v>1</v>
      </c>
      <c r="J864" s="4">
        <v>8</v>
      </c>
      <c r="K864" s="4" t="b">
        <f>IF(Append1[[#This Row],[days]]="working day",FALSE,TRUE)</f>
        <v>0</v>
      </c>
      <c r="L864" s="4">
        <v>2</v>
      </c>
      <c r="M864" s="4">
        <v>1</v>
      </c>
      <c r="N864" s="6">
        <v>0.24</v>
      </c>
      <c r="O864" s="2" t="str">
        <f>IF(Append1[[#This Row],[weekday]]=0,"holiday",IF(AND(Append1[[#This Row],[weekday]]&gt;1,Append1[[#This Row],[weekday]]&lt;7),"working day","weekend"))</f>
        <v>working day</v>
      </c>
      <c r="P864" s="4" t="str">
        <f>IF(Append1[[#This Row],[weathersit]]=0,"sunny",IF(Append1[[#This Row],[weathersit]]=1,"mist",IF(Append1[[#This Row],[weathersit]]=2,"lightrain","extremerain")))</f>
        <v>mist</v>
      </c>
    </row>
    <row r="865" spans="1:16" x14ac:dyDescent="0.25">
      <c r="A865" s="4">
        <v>863</v>
      </c>
      <c r="B865" s="4">
        <v>0.19700000000000001</v>
      </c>
      <c r="C865" s="4">
        <v>0.52</v>
      </c>
      <c r="D865" s="4">
        <v>0.49249999999999999</v>
      </c>
      <c r="E865" s="4">
        <v>7</v>
      </c>
      <c r="F865" s="4">
        <v>128</v>
      </c>
      <c r="G865" s="4">
        <v>135</v>
      </c>
      <c r="H865" s="5">
        <v>40582</v>
      </c>
      <c r="I865" s="4">
        <v>1</v>
      </c>
      <c r="J865" s="4">
        <v>9</v>
      </c>
      <c r="K865" s="4" t="b">
        <f>IF(Append1[[#This Row],[days]]="working day",FALSE,TRUE)</f>
        <v>0</v>
      </c>
      <c r="L865" s="4">
        <v>2</v>
      </c>
      <c r="M865" s="4">
        <v>1</v>
      </c>
      <c r="N865" s="6">
        <v>0.24</v>
      </c>
      <c r="O865" s="2" t="str">
        <f>IF(Append1[[#This Row],[weekday]]=0,"holiday",IF(AND(Append1[[#This Row],[weekday]]&gt;1,Append1[[#This Row],[weekday]]&lt;7),"working day","weekend"))</f>
        <v>working day</v>
      </c>
      <c r="P865" s="4" t="str">
        <f>IF(Append1[[#This Row],[weathersit]]=0,"sunny",IF(Append1[[#This Row],[weathersit]]=1,"mist",IF(Append1[[#This Row],[weathersit]]=2,"lightrain","extremerain")))</f>
        <v>mist</v>
      </c>
    </row>
    <row r="866" spans="1:16" x14ac:dyDescent="0.25">
      <c r="A866" s="4">
        <v>864</v>
      </c>
      <c r="B866" s="4">
        <v>0.18179999999999999</v>
      </c>
      <c r="C866" s="4">
        <v>0.47</v>
      </c>
      <c r="D866" s="4">
        <v>0.55220000000000002</v>
      </c>
      <c r="E866" s="4">
        <v>4</v>
      </c>
      <c r="F866" s="4">
        <v>44</v>
      </c>
      <c r="G866" s="4">
        <v>48</v>
      </c>
      <c r="H866" s="5">
        <v>40582</v>
      </c>
      <c r="I866" s="4">
        <v>1</v>
      </c>
      <c r="J866" s="4">
        <v>10</v>
      </c>
      <c r="K866" s="4" t="b">
        <f>IF(Append1[[#This Row],[days]]="working day",FALSE,TRUE)</f>
        <v>0</v>
      </c>
      <c r="L866" s="4">
        <v>2</v>
      </c>
      <c r="M866" s="4">
        <v>1</v>
      </c>
      <c r="N866" s="6">
        <v>0.22</v>
      </c>
      <c r="O866" s="2" t="str">
        <f>IF(Append1[[#This Row],[weekday]]=0,"holiday",IF(AND(Append1[[#This Row],[weekday]]&gt;1,Append1[[#This Row],[weekday]]&lt;7),"working day","weekend"))</f>
        <v>working day</v>
      </c>
      <c r="P866" s="4" t="str">
        <f>IF(Append1[[#This Row],[weathersit]]=0,"sunny",IF(Append1[[#This Row],[weathersit]]=1,"mist",IF(Append1[[#This Row],[weathersit]]=2,"lightrain","extremerain")))</f>
        <v>mist</v>
      </c>
    </row>
    <row r="867" spans="1:16" x14ac:dyDescent="0.25">
      <c r="A867" s="4">
        <v>865</v>
      </c>
      <c r="B867" s="4">
        <v>0.18179999999999999</v>
      </c>
      <c r="C867" s="4">
        <v>0.47</v>
      </c>
      <c r="D867" s="4">
        <v>0.4627</v>
      </c>
      <c r="E867" s="4">
        <v>1</v>
      </c>
      <c r="F867" s="4">
        <v>49</v>
      </c>
      <c r="G867" s="4">
        <v>50</v>
      </c>
      <c r="H867" s="5">
        <v>40582</v>
      </c>
      <c r="I867" s="4">
        <v>1</v>
      </c>
      <c r="J867" s="4">
        <v>11</v>
      </c>
      <c r="K867" s="4" t="b">
        <f>IF(Append1[[#This Row],[days]]="working day",FALSE,TRUE)</f>
        <v>0</v>
      </c>
      <c r="L867" s="4">
        <v>2</v>
      </c>
      <c r="M867" s="4">
        <v>1</v>
      </c>
      <c r="N867" s="6">
        <v>0.22</v>
      </c>
      <c r="O867" s="2" t="str">
        <f>IF(Append1[[#This Row],[weekday]]=0,"holiday",IF(AND(Append1[[#This Row],[weekday]]&gt;1,Append1[[#This Row],[weekday]]&lt;7),"working day","weekend"))</f>
        <v>working day</v>
      </c>
      <c r="P867" s="4" t="str">
        <f>IF(Append1[[#This Row],[weathersit]]=0,"sunny",IF(Append1[[#This Row],[weathersit]]=1,"mist",IF(Append1[[#This Row],[weathersit]]=2,"lightrain","extremerain")))</f>
        <v>mist</v>
      </c>
    </row>
    <row r="868" spans="1:16" x14ac:dyDescent="0.25">
      <c r="A868" s="4">
        <v>866</v>
      </c>
      <c r="B868" s="4">
        <v>0.19700000000000001</v>
      </c>
      <c r="C868" s="4">
        <v>0.38</v>
      </c>
      <c r="D868" s="4">
        <v>0.49249999999999999</v>
      </c>
      <c r="E868" s="4">
        <v>2</v>
      </c>
      <c r="F868" s="4">
        <v>63</v>
      </c>
      <c r="G868" s="4">
        <v>65</v>
      </c>
      <c r="H868" s="5">
        <v>40582</v>
      </c>
      <c r="I868" s="4">
        <v>1</v>
      </c>
      <c r="J868" s="4">
        <v>12</v>
      </c>
      <c r="K868" s="4" t="b">
        <f>IF(Append1[[#This Row],[days]]="working day",FALSE,TRUE)</f>
        <v>0</v>
      </c>
      <c r="L868" s="4">
        <v>2</v>
      </c>
      <c r="M868" s="4">
        <v>1</v>
      </c>
      <c r="N868" s="6">
        <v>0.24</v>
      </c>
      <c r="O868" s="2" t="str">
        <f>IF(Append1[[#This Row],[weekday]]=0,"holiday",IF(AND(Append1[[#This Row],[weekday]]&gt;1,Append1[[#This Row],[weekday]]&lt;7),"working day","weekend"))</f>
        <v>working day</v>
      </c>
      <c r="P868" s="4" t="str">
        <f>IF(Append1[[#This Row],[weathersit]]=0,"sunny",IF(Append1[[#This Row],[weathersit]]=1,"mist",IF(Append1[[#This Row],[weathersit]]=2,"lightrain","extremerain")))</f>
        <v>mist</v>
      </c>
    </row>
    <row r="869" spans="1:16" x14ac:dyDescent="0.25">
      <c r="A869" s="4">
        <v>867</v>
      </c>
      <c r="B869" s="4">
        <v>0.19700000000000001</v>
      </c>
      <c r="C869" s="4">
        <v>0.32</v>
      </c>
      <c r="D869" s="4">
        <v>0.44779999999999998</v>
      </c>
      <c r="E869" s="4">
        <v>2</v>
      </c>
      <c r="F869" s="4">
        <v>48</v>
      </c>
      <c r="G869" s="4">
        <v>50</v>
      </c>
      <c r="H869" s="5">
        <v>40582</v>
      </c>
      <c r="I869" s="4">
        <v>1</v>
      </c>
      <c r="J869" s="4">
        <v>13</v>
      </c>
      <c r="K869" s="4" t="b">
        <f>IF(Append1[[#This Row],[days]]="working day",FALSE,TRUE)</f>
        <v>0</v>
      </c>
      <c r="L869" s="4">
        <v>2</v>
      </c>
      <c r="M869" s="4">
        <v>2</v>
      </c>
      <c r="N869" s="6">
        <v>0.24</v>
      </c>
      <c r="O869" s="2" t="str">
        <f>IF(Append1[[#This Row],[weekday]]=0,"holiday",IF(AND(Append1[[#This Row],[weekday]]&gt;1,Append1[[#This Row],[weekday]]&lt;7),"working day","weekend"))</f>
        <v>working day</v>
      </c>
      <c r="P869" s="4" t="str">
        <f>IF(Append1[[#This Row],[weathersit]]=0,"sunny",IF(Append1[[#This Row],[weathersit]]=1,"mist",IF(Append1[[#This Row],[weathersit]]=2,"lightrain","extremerain")))</f>
        <v>lightrain</v>
      </c>
    </row>
    <row r="870" spans="1:16" x14ac:dyDescent="0.25">
      <c r="A870" s="4">
        <v>868</v>
      </c>
      <c r="B870" s="4">
        <v>0.19700000000000001</v>
      </c>
      <c r="C870" s="4">
        <v>0.37</v>
      </c>
      <c r="D870" s="4">
        <v>0.41789999999999999</v>
      </c>
      <c r="E870" s="4">
        <v>3</v>
      </c>
      <c r="F870" s="4">
        <v>61</v>
      </c>
      <c r="G870" s="4">
        <v>64</v>
      </c>
      <c r="H870" s="5">
        <v>40582</v>
      </c>
      <c r="I870" s="4">
        <v>1</v>
      </c>
      <c r="J870" s="4">
        <v>14</v>
      </c>
      <c r="K870" s="4" t="b">
        <f>IF(Append1[[#This Row],[days]]="working day",FALSE,TRUE)</f>
        <v>0</v>
      </c>
      <c r="L870" s="4">
        <v>2</v>
      </c>
      <c r="M870" s="4">
        <v>1</v>
      </c>
      <c r="N870" s="6">
        <v>0.22</v>
      </c>
      <c r="O870" s="2" t="str">
        <f>IF(Append1[[#This Row],[weekday]]=0,"holiday",IF(AND(Append1[[#This Row],[weekday]]&gt;1,Append1[[#This Row],[weekday]]&lt;7),"working day","weekend"))</f>
        <v>working day</v>
      </c>
      <c r="P870" s="4" t="str">
        <f>IF(Append1[[#This Row],[weathersit]]=0,"sunny",IF(Append1[[#This Row],[weathersit]]=1,"mist",IF(Append1[[#This Row],[weathersit]]=2,"lightrain","extremerain")))</f>
        <v>mist</v>
      </c>
    </row>
    <row r="871" spans="1:16" x14ac:dyDescent="0.25">
      <c r="A871" s="4">
        <v>869</v>
      </c>
      <c r="B871" s="4">
        <v>0.19700000000000001</v>
      </c>
      <c r="C871" s="4">
        <v>0.35</v>
      </c>
      <c r="D871" s="4">
        <v>0.3881</v>
      </c>
      <c r="E871" s="4">
        <v>6</v>
      </c>
      <c r="F871" s="4">
        <v>45</v>
      </c>
      <c r="G871" s="4">
        <v>51</v>
      </c>
      <c r="H871" s="5">
        <v>40582</v>
      </c>
      <c r="I871" s="4">
        <v>1</v>
      </c>
      <c r="J871" s="4">
        <v>15</v>
      </c>
      <c r="K871" s="4" t="b">
        <f>IF(Append1[[#This Row],[days]]="working day",FALSE,TRUE)</f>
        <v>0</v>
      </c>
      <c r="L871" s="4">
        <v>2</v>
      </c>
      <c r="M871" s="4">
        <v>1</v>
      </c>
      <c r="N871" s="6">
        <v>0.22</v>
      </c>
      <c r="O871" s="2" t="str">
        <f>IF(Append1[[#This Row],[weekday]]=0,"holiday",IF(AND(Append1[[#This Row],[weekday]]&gt;1,Append1[[#This Row],[weekday]]&lt;7),"working day","weekend"))</f>
        <v>working day</v>
      </c>
      <c r="P871" s="4" t="str">
        <f>IF(Append1[[#This Row],[weathersit]]=0,"sunny",IF(Append1[[#This Row],[weathersit]]=1,"mist",IF(Append1[[#This Row],[weathersit]]=2,"lightrain","extremerain")))</f>
        <v>mist</v>
      </c>
    </row>
    <row r="872" spans="1:16" x14ac:dyDescent="0.25">
      <c r="A872" s="4">
        <v>870</v>
      </c>
      <c r="B872" s="4">
        <v>0.18179999999999999</v>
      </c>
      <c r="C872" s="4">
        <v>0.35</v>
      </c>
      <c r="D872" s="4">
        <v>0.52239999999999998</v>
      </c>
      <c r="E872" s="4">
        <v>4</v>
      </c>
      <c r="F872" s="4">
        <v>79</v>
      </c>
      <c r="G872" s="4">
        <v>83</v>
      </c>
      <c r="H872" s="5">
        <v>40582</v>
      </c>
      <c r="I872" s="4">
        <v>1</v>
      </c>
      <c r="J872" s="4">
        <v>16</v>
      </c>
      <c r="K872" s="4" t="b">
        <f>IF(Append1[[#This Row],[days]]="working day",FALSE,TRUE)</f>
        <v>0</v>
      </c>
      <c r="L872" s="4">
        <v>2</v>
      </c>
      <c r="M872" s="4">
        <v>1</v>
      </c>
      <c r="N872" s="6">
        <v>0.22</v>
      </c>
      <c r="O872" s="2" t="str">
        <f>IF(Append1[[#This Row],[weekday]]=0,"holiday",IF(AND(Append1[[#This Row],[weekday]]&gt;1,Append1[[#This Row],[weekday]]&lt;7),"working day","weekend"))</f>
        <v>working day</v>
      </c>
      <c r="P872" s="4" t="str">
        <f>IF(Append1[[#This Row],[weathersit]]=0,"sunny",IF(Append1[[#This Row],[weathersit]]=1,"mist",IF(Append1[[#This Row],[weathersit]]=2,"lightrain","extremerain")))</f>
        <v>mist</v>
      </c>
    </row>
    <row r="873" spans="1:16" x14ac:dyDescent="0.25">
      <c r="A873" s="4">
        <v>871</v>
      </c>
      <c r="B873" s="4">
        <v>0.18179999999999999</v>
      </c>
      <c r="C873" s="4">
        <v>0.32</v>
      </c>
      <c r="D873" s="4">
        <v>0.58209999999999995</v>
      </c>
      <c r="E873" s="4">
        <v>4</v>
      </c>
      <c r="F873" s="4">
        <v>172</v>
      </c>
      <c r="G873" s="4">
        <v>176</v>
      </c>
      <c r="H873" s="5">
        <v>40582</v>
      </c>
      <c r="I873" s="4">
        <v>1</v>
      </c>
      <c r="J873" s="4">
        <v>17</v>
      </c>
      <c r="K873" s="4" t="b">
        <f>IF(Append1[[#This Row],[days]]="working day",FALSE,TRUE)</f>
        <v>0</v>
      </c>
      <c r="L873" s="4">
        <v>2</v>
      </c>
      <c r="M873" s="4">
        <v>1</v>
      </c>
      <c r="N873" s="6">
        <v>0.22</v>
      </c>
      <c r="O873" s="2" t="str">
        <f>IF(Append1[[#This Row],[weekday]]=0,"holiday",IF(AND(Append1[[#This Row],[weekday]]&gt;1,Append1[[#This Row],[weekday]]&lt;7),"working day","weekend"))</f>
        <v>working day</v>
      </c>
      <c r="P873" s="4" t="str">
        <f>IF(Append1[[#This Row],[weathersit]]=0,"sunny",IF(Append1[[#This Row],[weathersit]]=1,"mist",IF(Append1[[#This Row],[weathersit]]=2,"lightrain","extremerain")))</f>
        <v>mist</v>
      </c>
    </row>
    <row r="874" spans="1:16" x14ac:dyDescent="0.25">
      <c r="A874" s="4">
        <v>872</v>
      </c>
      <c r="B874" s="4">
        <v>0.18179999999999999</v>
      </c>
      <c r="C874" s="4">
        <v>0.32</v>
      </c>
      <c r="D874" s="4">
        <v>0.3881</v>
      </c>
      <c r="E874" s="4">
        <v>1</v>
      </c>
      <c r="F874" s="4">
        <v>151</v>
      </c>
      <c r="G874" s="4">
        <v>152</v>
      </c>
      <c r="H874" s="5">
        <v>40582</v>
      </c>
      <c r="I874" s="4">
        <v>1</v>
      </c>
      <c r="J874" s="4">
        <v>18</v>
      </c>
      <c r="K874" s="4" t="b">
        <f>IF(Append1[[#This Row],[days]]="working day",FALSE,TRUE)</f>
        <v>0</v>
      </c>
      <c r="L874" s="4">
        <v>2</v>
      </c>
      <c r="M874" s="4">
        <v>1</v>
      </c>
      <c r="N874" s="6">
        <v>0.2</v>
      </c>
      <c r="O874" s="2" t="str">
        <f>IF(Append1[[#This Row],[weekday]]=0,"holiday",IF(AND(Append1[[#This Row],[weekday]]&gt;1,Append1[[#This Row],[weekday]]&lt;7),"working day","weekend"))</f>
        <v>working day</v>
      </c>
      <c r="P874" s="4" t="str">
        <f>IF(Append1[[#This Row],[weathersit]]=0,"sunny",IF(Append1[[#This Row],[weathersit]]=1,"mist",IF(Append1[[#This Row],[weathersit]]=2,"lightrain","extremerain")))</f>
        <v>mist</v>
      </c>
    </row>
    <row r="875" spans="1:16" x14ac:dyDescent="0.25">
      <c r="A875" s="4">
        <v>873</v>
      </c>
      <c r="B875" s="4">
        <v>0.1212</v>
      </c>
      <c r="C875" s="4">
        <v>0.4</v>
      </c>
      <c r="D875" s="4">
        <v>0.4627</v>
      </c>
      <c r="E875" s="4">
        <v>1</v>
      </c>
      <c r="F875" s="4">
        <v>100</v>
      </c>
      <c r="G875" s="4">
        <v>101</v>
      </c>
      <c r="H875" s="5">
        <v>40582</v>
      </c>
      <c r="I875" s="4">
        <v>1</v>
      </c>
      <c r="J875" s="4">
        <v>19</v>
      </c>
      <c r="K875" s="4" t="b">
        <f>IF(Append1[[#This Row],[days]]="working day",FALSE,TRUE)</f>
        <v>0</v>
      </c>
      <c r="L875" s="4">
        <v>2</v>
      </c>
      <c r="M875" s="4">
        <v>1</v>
      </c>
      <c r="N875" s="6">
        <v>0.16</v>
      </c>
      <c r="O875" s="2" t="str">
        <f>IF(Append1[[#This Row],[weekday]]=0,"holiday",IF(AND(Append1[[#This Row],[weekday]]&gt;1,Append1[[#This Row],[weekday]]&lt;7),"working day","weekend"))</f>
        <v>working day</v>
      </c>
      <c r="P875" s="4" t="str">
        <f>IF(Append1[[#This Row],[weathersit]]=0,"sunny",IF(Append1[[#This Row],[weathersit]]=1,"mist",IF(Append1[[#This Row],[weathersit]]=2,"lightrain","extremerain")))</f>
        <v>mist</v>
      </c>
    </row>
    <row r="876" spans="1:16" x14ac:dyDescent="0.25">
      <c r="A876" s="4">
        <v>874</v>
      </c>
      <c r="B876" s="4">
        <v>0.13639999999999999</v>
      </c>
      <c r="C876" s="4">
        <v>0.4</v>
      </c>
      <c r="D876" s="4">
        <v>0.32840000000000003</v>
      </c>
      <c r="E876" s="4">
        <v>3</v>
      </c>
      <c r="F876" s="4">
        <v>53</v>
      </c>
      <c r="G876" s="4">
        <v>56</v>
      </c>
      <c r="H876" s="5">
        <v>40582</v>
      </c>
      <c r="I876" s="4">
        <v>1</v>
      </c>
      <c r="J876" s="4">
        <v>20</v>
      </c>
      <c r="K876" s="4" t="b">
        <f>IF(Append1[[#This Row],[days]]="working day",FALSE,TRUE)</f>
        <v>0</v>
      </c>
      <c r="L876" s="4">
        <v>2</v>
      </c>
      <c r="M876" s="4">
        <v>1</v>
      </c>
      <c r="N876" s="6">
        <v>0.16</v>
      </c>
      <c r="O876" s="2" t="str">
        <f>IF(Append1[[#This Row],[weekday]]=0,"holiday",IF(AND(Append1[[#This Row],[weekday]]&gt;1,Append1[[#This Row],[weekday]]&lt;7),"working day","weekend"))</f>
        <v>working day</v>
      </c>
      <c r="P876" s="4" t="str">
        <f>IF(Append1[[#This Row],[weathersit]]=0,"sunny",IF(Append1[[#This Row],[weathersit]]=1,"mist",IF(Append1[[#This Row],[weathersit]]=2,"lightrain","extremerain")))</f>
        <v>mist</v>
      </c>
    </row>
    <row r="877" spans="1:16" x14ac:dyDescent="0.25">
      <c r="A877" s="4">
        <v>875</v>
      </c>
      <c r="B877" s="4">
        <v>0.1061</v>
      </c>
      <c r="C877" s="4">
        <v>0.33</v>
      </c>
      <c r="D877" s="4">
        <v>0.4627</v>
      </c>
      <c r="E877" s="4">
        <v>8</v>
      </c>
      <c r="F877" s="4">
        <v>46</v>
      </c>
      <c r="G877" s="4">
        <v>54</v>
      </c>
      <c r="H877" s="5">
        <v>40582</v>
      </c>
      <c r="I877" s="4">
        <v>1</v>
      </c>
      <c r="J877" s="4">
        <v>21</v>
      </c>
      <c r="K877" s="4" t="b">
        <f>IF(Append1[[#This Row],[days]]="working day",FALSE,TRUE)</f>
        <v>0</v>
      </c>
      <c r="L877" s="4">
        <v>2</v>
      </c>
      <c r="M877" s="4">
        <v>1</v>
      </c>
      <c r="N877" s="6">
        <v>0.14000000000000001</v>
      </c>
      <c r="O877" s="2" t="str">
        <f>IF(Append1[[#This Row],[weekday]]=0,"holiday",IF(AND(Append1[[#This Row],[weekday]]&gt;1,Append1[[#This Row],[weekday]]&lt;7),"working day","weekend"))</f>
        <v>working day</v>
      </c>
      <c r="P877" s="4" t="str">
        <f>IF(Append1[[#This Row],[weathersit]]=0,"sunny",IF(Append1[[#This Row],[weathersit]]=1,"mist",IF(Append1[[#This Row],[weathersit]]=2,"lightrain","extremerain")))</f>
        <v>mist</v>
      </c>
    </row>
    <row r="878" spans="1:16" x14ac:dyDescent="0.25">
      <c r="A878" s="4">
        <v>876</v>
      </c>
      <c r="B878" s="4">
        <v>0.1061</v>
      </c>
      <c r="C878" s="4">
        <v>0.33</v>
      </c>
      <c r="D878" s="4">
        <v>0.35820000000000002</v>
      </c>
      <c r="E878" s="4">
        <v>0</v>
      </c>
      <c r="F878" s="4">
        <v>29</v>
      </c>
      <c r="G878" s="4">
        <v>29</v>
      </c>
      <c r="H878" s="5">
        <v>40582</v>
      </c>
      <c r="I878" s="4">
        <v>1</v>
      </c>
      <c r="J878" s="4">
        <v>22</v>
      </c>
      <c r="K878" s="4" t="b">
        <f>IF(Append1[[#This Row],[days]]="working day",FALSE,TRUE)</f>
        <v>0</v>
      </c>
      <c r="L878" s="4">
        <v>2</v>
      </c>
      <c r="M878" s="4">
        <v>1</v>
      </c>
      <c r="N878" s="6">
        <v>0.12</v>
      </c>
      <c r="O878" s="2" t="str">
        <f>IF(Append1[[#This Row],[weekday]]=0,"holiday",IF(AND(Append1[[#This Row],[weekday]]&gt;1,Append1[[#This Row],[weekday]]&lt;7),"working day","weekend"))</f>
        <v>working day</v>
      </c>
      <c r="P878" s="4" t="str">
        <f>IF(Append1[[#This Row],[weathersit]]=0,"sunny",IF(Append1[[#This Row],[weathersit]]=1,"mist",IF(Append1[[#This Row],[weathersit]]=2,"lightrain","extremerain")))</f>
        <v>mist</v>
      </c>
    </row>
    <row r="879" spans="1:16" x14ac:dyDescent="0.25">
      <c r="A879" s="4">
        <v>877</v>
      </c>
      <c r="B879" s="4">
        <v>0.1061</v>
      </c>
      <c r="C879" s="4">
        <v>0.33</v>
      </c>
      <c r="D879" s="4">
        <v>0.32840000000000003</v>
      </c>
      <c r="E879" s="4">
        <v>3</v>
      </c>
      <c r="F879" s="4">
        <v>9</v>
      </c>
      <c r="G879" s="4">
        <v>12</v>
      </c>
      <c r="H879" s="5">
        <v>40582</v>
      </c>
      <c r="I879" s="4">
        <v>1</v>
      </c>
      <c r="J879" s="4">
        <v>23</v>
      </c>
      <c r="K879" s="4" t="b">
        <f>IF(Append1[[#This Row],[days]]="working day",FALSE,TRUE)</f>
        <v>0</v>
      </c>
      <c r="L879" s="4">
        <v>2</v>
      </c>
      <c r="M879" s="4">
        <v>1</v>
      </c>
      <c r="N879" s="6">
        <v>0.12</v>
      </c>
      <c r="O879" s="2" t="str">
        <f>IF(Append1[[#This Row],[weekday]]=0,"holiday",IF(AND(Append1[[#This Row],[weekday]]&gt;1,Append1[[#This Row],[weekday]]&lt;7),"working day","weekend"))</f>
        <v>working day</v>
      </c>
      <c r="P879" s="4" t="str">
        <f>IF(Append1[[#This Row],[weathersit]]=0,"sunny",IF(Append1[[#This Row],[weathersit]]=1,"mist",IF(Append1[[#This Row],[weathersit]]=2,"lightrain","extremerain")))</f>
        <v>mist</v>
      </c>
    </row>
    <row r="880" spans="1:16" x14ac:dyDescent="0.25">
      <c r="A880" s="4">
        <v>878</v>
      </c>
      <c r="B880" s="4">
        <v>7.5800000000000006E-2</v>
      </c>
      <c r="C880" s="4">
        <v>0.36</v>
      </c>
      <c r="D880" s="4">
        <v>0.35820000000000002</v>
      </c>
      <c r="E880" s="4">
        <v>0</v>
      </c>
      <c r="F880" s="4">
        <v>17</v>
      </c>
      <c r="G880" s="4">
        <v>17</v>
      </c>
      <c r="H880" s="5">
        <v>40583</v>
      </c>
      <c r="I880" s="4">
        <v>1</v>
      </c>
      <c r="J880" s="4">
        <v>0</v>
      </c>
      <c r="K880" s="4" t="b">
        <f>IF(Append1[[#This Row],[days]]="working day",FALSE,TRUE)</f>
        <v>0</v>
      </c>
      <c r="L880" s="4">
        <v>3</v>
      </c>
      <c r="M880" s="4">
        <v>1</v>
      </c>
      <c r="N880" s="6">
        <v>0.1</v>
      </c>
      <c r="O880" s="2" t="str">
        <f>IF(Append1[[#This Row],[weekday]]=0,"holiday",IF(AND(Append1[[#This Row],[weekday]]&gt;1,Append1[[#This Row],[weekday]]&lt;7),"working day","weekend"))</f>
        <v>working day</v>
      </c>
      <c r="P880" s="4" t="str">
        <f>IF(Append1[[#This Row],[weathersit]]=0,"sunny",IF(Append1[[#This Row],[weathersit]]=1,"mist",IF(Append1[[#This Row],[weathersit]]=2,"lightrain","extremerain")))</f>
        <v>mist</v>
      </c>
    </row>
    <row r="881" spans="1:16" x14ac:dyDescent="0.25">
      <c r="A881" s="4">
        <v>879</v>
      </c>
      <c r="B881" s="4">
        <v>0.1061</v>
      </c>
      <c r="C881" s="4">
        <v>0.36</v>
      </c>
      <c r="D881" s="4">
        <v>0.22389999999999999</v>
      </c>
      <c r="E881" s="4">
        <v>0</v>
      </c>
      <c r="F881" s="4">
        <v>7</v>
      </c>
      <c r="G881" s="4">
        <v>7</v>
      </c>
      <c r="H881" s="5">
        <v>40583</v>
      </c>
      <c r="I881" s="4">
        <v>1</v>
      </c>
      <c r="J881" s="4">
        <v>1</v>
      </c>
      <c r="K881" s="4" t="b">
        <f>IF(Append1[[#This Row],[days]]="working day",FALSE,TRUE)</f>
        <v>0</v>
      </c>
      <c r="L881" s="4">
        <v>3</v>
      </c>
      <c r="M881" s="4">
        <v>1</v>
      </c>
      <c r="N881" s="6">
        <v>0.1</v>
      </c>
      <c r="O881" s="2" t="str">
        <f>IF(Append1[[#This Row],[weekday]]=0,"holiday",IF(AND(Append1[[#This Row],[weekday]]&gt;1,Append1[[#This Row],[weekday]]&lt;7),"working day","weekend"))</f>
        <v>working day</v>
      </c>
      <c r="P881" s="4" t="str">
        <f>IF(Append1[[#This Row],[weathersit]]=0,"sunny",IF(Append1[[#This Row],[weathersit]]=1,"mist",IF(Append1[[#This Row],[weathersit]]=2,"lightrain","extremerain")))</f>
        <v>mist</v>
      </c>
    </row>
    <row r="882" spans="1:16" x14ac:dyDescent="0.25">
      <c r="A882" s="4">
        <v>880</v>
      </c>
      <c r="B882" s="4">
        <v>7.5800000000000006E-2</v>
      </c>
      <c r="C882" s="4">
        <v>0.38</v>
      </c>
      <c r="D882" s="4">
        <v>0.28360000000000002</v>
      </c>
      <c r="E882" s="4">
        <v>1</v>
      </c>
      <c r="F882" s="4">
        <v>2</v>
      </c>
      <c r="G882" s="4">
        <v>3</v>
      </c>
      <c r="H882" s="5">
        <v>40583</v>
      </c>
      <c r="I882" s="4">
        <v>1</v>
      </c>
      <c r="J882" s="4">
        <v>2</v>
      </c>
      <c r="K882" s="4" t="b">
        <f>IF(Append1[[#This Row],[days]]="working day",FALSE,TRUE)</f>
        <v>0</v>
      </c>
      <c r="L882" s="4">
        <v>3</v>
      </c>
      <c r="M882" s="4">
        <v>1</v>
      </c>
      <c r="N882" s="6">
        <v>0.08</v>
      </c>
      <c r="O882" s="2" t="str">
        <f>IF(Append1[[#This Row],[weekday]]=0,"holiday",IF(AND(Append1[[#This Row],[weekday]]&gt;1,Append1[[#This Row],[weekday]]&lt;7),"working day","weekend"))</f>
        <v>working day</v>
      </c>
      <c r="P882" s="4" t="str">
        <f>IF(Append1[[#This Row],[weathersit]]=0,"sunny",IF(Append1[[#This Row],[weathersit]]=1,"mist",IF(Append1[[#This Row],[weathersit]]=2,"lightrain","extremerain")))</f>
        <v>mist</v>
      </c>
    </row>
    <row r="883" spans="1:16" x14ac:dyDescent="0.25">
      <c r="A883" s="4">
        <v>881</v>
      </c>
      <c r="B883" s="4">
        <v>7.5800000000000006E-2</v>
      </c>
      <c r="C883" s="4">
        <v>0.45</v>
      </c>
      <c r="D883" s="4">
        <v>0.1343</v>
      </c>
      <c r="E883" s="4">
        <v>0</v>
      </c>
      <c r="F883" s="4">
        <v>2</v>
      </c>
      <c r="G883" s="4">
        <v>2</v>
      </c>
      <c r="H883" s="5">
        <v>40583</v>
      </c>
      <c r="I883" s="4">
        <v>1</v>
      </c>
      <c r="J883" s="4">
        <v>3</v>
      </c>
      <c r="K883" s="4" t="b">
        <f>IF(Append1[[#This Row],[days]]="working day",FALSE,TRUE)</f>
        <v>0</v>
      </c>
      <c r="L883" s="4">
        <v>3</v>
      </c>
      <c r="M883" s="4">
        <v>1</v>
      </c>
      <c r="N883" s="6">
        <v>0.06</v>
      </c>
      <c r="O883" s="2" t="str">
        <f>IF(Append1[[#This Row],[weekday]]=0,"holiday",IF(AND(Append1[[#This Row],[weekday]]&gt;1,Append1[[#This Row],[weekday]]&lt;7),"working day","weekend"))</f>
        <v>working day</v>
      </c>
      <c r="P883" s="4" t="str">
        <f>IF(Append1[[#This Row],[weathersit]]=0,"sunny",IF(Append1[[#This Row],[weathersit]]=1,"mist",IF(Append1[[#This Row],[weathersit]]=2,"lightrain","extremerain")))</f>
        <v>mist</v>
      </c>
    </row>
    <row r="884" spans="1:16" x14ac:dyDescent="0.25">
      <c r="A884" s="4">
        <v>882</v>
      </c>
      <c r="B884" s="4">
        <v>0.1061</v>
      </c>
      <c r="C884" s="4">
        <v>0.45</v>
      </c>
      <c r="D884" s="4">
        <v>0.1045</v>
      </c>
      <c r="E884" s="4">
        <v>0</v>
      </c>
      <c r="F884" s="4">
        <v>7</v>
      </c>
      <c r="G884" s="4">
        <v>7</v>
      </c>
      <c r="H884" s="5">
        <v>40583</v>
      </c>
      <c r="I884" s="4">
        <v>1</v>
      </c>
      <c r="J884" s="4">
        <v>5</v>
      </c>
      <c r="K884" s="4" t="b">
        <f>IF(Append1[[#This Row],[days]]="working day",FALSE,TRUE)</f>
        <v>0</v>
      </c>
      <c r="L884" s="4">
        <v>3</v>
      </c>
      <c r="M884" s="4">
        <v>1</v>
      </c>
      <c r="N884" s="6">
        <v>0.06</v>
      </c>
      <c r="O884" s="2" t="str">
        <f>IF(Append1[[#This Row],[weekday]]=0,"holiday",IF(AND(Append1[[#This Row],[weekday]]&gt;1,Append1[[#This Row],[weekday]]&lt;7),"working day","weekend"))</f>
        <v>working day</v>
      </c>
      <c r="P884" s="4" t="str">
        <f>IF(Append1[[#This Row],[weathersit]]=0,"sunny",IF(Append1[[#This Row],[weathersit]]=1,"mist",IF(Append1[[#This Row],[weathersit]]=2,"lightrain","extremerain")))</f>
        <v>mist</v>
      </c>
    </row>
    <row r="885" spans="1:16" x14ac:dyDescent="0.25">
      <c r="A885" s="4">
        <v>883</v>
      </c>
      <c r="B885" s="4">
        <v>0.1515</v>
      </c>
      <c r="C885" s="4">
        <v>0.45</v>
      </c>
      <c r="D885" s="4">
        <v>0</v>
      </c>
      <c r="E885" s="4">
        <v>0</v>
      </c>
      <c r="F885" s="4">
        <v>43</v>
      </c>
      <c r="G885" s="4">
        <v>43</v>
      </c>
      <c r="H885" s="5">
        <v>40583</v>
      </c>
      <c r="I885" s="4">
        <v>1</v>
      </c>
      <c r="J885" s="4">
        <v>6</v>
      </c>
      <c r="K885" s="4" t="b">
        <f>IF(Append1[[#This Row],[days]]="working day",FALSE,TRUE)</f>
        <v>0</v>
      </c>
      <c r="L885" s="4">
        <v>3</v>
      </c>
      <c r="M885" s="4">
        <v>1</v>
      </c>
      <c r="N885" s="6">
        <v>0.06</v>
      </c>
      <c r="O885" s="2" t="str">
        <f>IF(Append1[[#This Row],[weekday]]=0,"holiday",IF(AND(Append1[[#This Row],[weekday]]&gt;1,Append1[[#This Row],[weekday]]&lt;7),"working day","weekend"))</f>
        <v>working day</v>
      </c>
      <c r="P885" s="4" t="str">
        <f>IF(Append1[[#This Row],[weathersit]]=0,"sunny",IF(Append1[[#This Row],[weathersit]]=1,"mist",IF(Append1[[#This Row],[weathersit]]=2,"lightrain","extremerain")))</f>
        <v>mist</v>
      </c>
    </row>
    <row r="886" spans="1:16" x14ac:dyDescent="0.25">
      <c r="A886" s="4">
        <v>884</v>
      </c>
      <c r="B886" s="4">
        <v>0.1061</v>
      </c>
      <c r="C886" s="4">
        <v>0.49</v>
      </c>
      <c r="D886" s="4">
        <v>0.1045</v>
      </c>
      <c r="E886" s="4">
        <v>4</v>
      </c>
      <c r="F886" s="4">
        <v>95</v>
      </c>
      <c r="G886" s="4">
        <v>99</v>
      </c>
      <c r="H886" s="5">
        <v>40583</v>
      </c>
      <c r="I886" s="4">
        <v>1</v>
      </c>
      <c r="J886" s="4">
        <v>7</v>
      </c>
      <c r="K886" s="4" t="b">
        <f>IF(Append1[[#This Row],[days]]="working day",FALSE,TRUE)</f>
        <v>0</v>
      </c>
      <c r="L886" s="4">
        <v>3</v>
      </c>
      <c r="M886" s="4">
        <v>1</v>
      </c>
      <c r="N886" s="6">
        <v>0.06</v>
      </c>
      <c r="O886" s="2" t="str">
        <f>IF(Append1[[#This Row],[weekday]]=0,"holiday",IF(AND(Append1[[#This Row],[weekday]]&gt;1,Append1[[#This Row],[weekday]]&lt;7),"working day","weekend"))</f>
        <v>working day</v>
      </c>
      <c r="P886" s="4" t="str">
        <f>IF(Append1[[#This Row],[weathersit]]=0,"sunny",IF(Append1[[#This Row],[weathersit]]=1,"mist",IF(Append1[[#This Row],[weathersit]]=2,"lightrain","extremerain")))</f>
        <v>mist</v>
      </c>
    </row>
    <row r="887" spans="1:16" x14ac:dyDescent="0.25">
      <c r="A887" s="4">
        <v>885</v>
      </c>
      <c r="B887" s="4">
        <v>0.13639999999999999</v>
      </c>
      <c r="C887" s="4">
        <v>0.42</v>
      </c>
      <c r="D887" s="4">
        <v>0</v>
      </c>
      <c r="E887" s="4">
        <v>1</v>
      </c>
      <c r="F887" s="4">
        <v>198</v>
      </c>
      <c r="G887" s="4">
        <v>199</v>
      </c>
      <c r="H887" s="5">
        <v>40583</v>
      </c>
      <c r="I887" s="4">
        <v>1</v>
      </c>
      <c r="J887" s="4">
        <v>8</v>
      </c>
      <c r="K887" s="4" t="b">
        <f>IF(Append1[[#This Row],[days]]="working day",FALSE,TRUE)</f>
        <v>0</v>
      </c>
      <c r="L887" s="4">
        <v>3</v>
      </c>
      <c r="M887" s="4">
        <v>1</v>
      </c>
      <c r="N887" s="6">
        <v>0.1</v>
      </c>
      <c r="O887" s="2" t="str">
        <f>IF(Append1[[#This Row],[weekday]]=0,"holiday",IF(AND(Append1[[#This Row],[weekday]]&gt;1,Append1[[#This Row],[weekday]]&lt;7),"working day","weekend"))</f>
        <v>working day</v>
      </c>
      <c r="P887" s="4" t="str">
        <f>IF(Append1[[#This Row],[weathersit]]=0,"sunny",IF(Append1[[#This Row],[weathersit]]=1,"mist",IF(Append1[[#This Row],[weathersit]]=2,"lightrain","extremerain")))</f>
        <v>mist</v>
      </c>
    </row>
    <row r="888" spans="1:16" x14ac:dyDescent="0.25">
      <c r="A888" s="4">
        <v>886</v>
      </c>
      <c r="B888" s="4">
        <v>0.13639999999999999</v>
      </c>
      <c r="C888" s="4">
        <v>0.39</v>
      </c>
      <c r="D888" s="4">
        <v>0.16420000000000001</v>
      </c>
      <c r="E888" s="4">
        <v>4</v>
      </c>
      <c r="F888" s="4">
        <v>119</v>
      </c>
      <c r="G888" s="4">
        <v>123</v>
      </c>
      <c r="H888" s="5">
        <v>40583</v>
      </c>
      <c r="I888" s="4">
        <v>1</v>
      </c>
      <c r="J888" s="4">
        <v>9</v>
      </c>
      <c r="K888" s="4" t="b">
        <f>IF(Append1[[#This Row],[days]]="working day",FALSE,TRUE)</f>
        <v>0</v>
      </c>
      <c r="L888" s="4">
        <v>3</v>
      </c>
      <c r="M888" s="4">
        <v>1</v>
      </c>
      <c r="N888" s="6">
        <v>0.12</v>
      </c>
      <c r="O888" s="2" t="str">
        <f>IF(Append1[[#This Row],[weekday]]=0,"holiday",IF(AND(Append1[[#This Row],[weekday]]&gt;1,Append1[[#This Row],[weekday]]&lt;7),"working day","weekend"))</f>
        <v>working day</v>
      </c>
      <c r="P888" s="4" t="str">
        <f>IF(Append1[[#This Row],[weathersit]]=0,"sunny",IF(Append1[[#This Row],[weathersit]]=1,"mist",IF(Append1[[#This Row],[weathersit]]=2,"lightrain","extremerain")))</f>
        <v>mist</v>
      </c>
    </row>
    <row r="889" spans="1:16" x14ac:dyDescent="0.25">
      <c r="A889" s="4">
        <v>887</v>
      </c>
      <c r="B889" s="4">
        <v>0.18179999999999999</v>
      </c>
      <c r="C889" s="4">
        <v>0.36</v>
      </c>
      <c r="D889" s="4">
        <v>0</v>
      </c>
      <c r="E889" s="4">
        <v>8</v>
      </c>
      <c r="F889" s="4">
        <v>51</v>
      </c>
      <c r="G889" s="4">
        <v>59</v>
      </c>
      <c r="H889" s="5">
        <v>40583</v>
      </c>
      <c r="I889" s="4">
        <v>1</v>
      </c>
      <c r="J889" s="4">
        <v>10</v>
      </c>
      <c r="K889" s="4" t="b">
        <f>IF(Append1[[#This Row],[days]]="working day",FALSE,TRUE)</f>
        <v>0</v>
      </c>
      <c r="L889" s="4">
        <v>3</v>
      </c>
      <c r="M889" s="4">
        <v>1</v>
      </c>
      <c r="N889" s="6">
        <v>0.14000000000000001</v>
      </c>
      <c r="O889" s="2" t="str">
        <f>IF(Append1[[#This Row],[weekday]]=0,"holiday",IF(AND(Append1[[#This Row],[weekday]]&gt;1,Append1[[#This Row],[weekday]]&lt;7),"working day","weekend"))</f>
        <v>working day</v>
      </c>
      <c r="P889" s="4" t="str">
        <f>IF(Append1[[#This Row],[weathersit]]=0,"sunny",IF(Append1[[#This Row],[weathersit]]=1,"mist",IF(Append1[[#This Row],[weathersit]]=2,"lightrain","extremerain")))</f>
        <v>mist</v>
      </c>
    </row>
    <row r="890" spans="1:16" x14ac:dyDescent="0.25">
      <c r="A890" s="4">
        <v>888</v>
      </c>
      <c r="B890" s="4">
        <v>0.1515</v>
      </c>
      <c r="C890" s="4">
        <v>0.43</v>
      </c>
      <c r="D890" s="4">
        <v>0.16420000000000001</v>
      </c>
      <c r="E890" s="4">
        <v>1</v>
      </c>
      <c r="F890" s="4">
        <v>40</v>
      </c>
      <c r="G890" s="4">
        <v>41</v>
      </c>
      <c r="H890" s="5">
        <v>40583</v>
      </c>
      <c r="I890" s="4">
        <v>1</v>
      </c>
      <c r="J890" s="4">
        <v>11</v>
      </c>
      <c r="K890" s="4" t="b">
        <f>IF(Append1[[#This Row],[days]]="working day",FALSE,TRUE)</f>
        <v>0</v>
      </c>
      <c r="L890" s="4">
        <v>3</v>
      </c>
      <c r="M890" s="4">
        <v>2</v>
      </c>
      <c r="N890" s="6">
        <v>0.14000000000000001</v>
      </c>
      <c r="O890" s="2" t="str">
        <f>IF(Append1[[#This Row],[weekday]]=0,"holiday",IF(AND(Append1[[#This Row],[weekday]]&gt;1,Append1[[#This Row],[weekday]]&lt;7),"working day","weekend"))</f>
        <v>working day</v>
      </c>
      <c r="P890" s="4" t="str">
        <f>IF(Append1[[#This Row],[weathersit]]=0,"sunny",IF(Append1[[#This Row],[weathersit]]=1,"mist",IF(Append1[[#This Row],[weathersit]]=2,"lightrain","extremerain")))</f>
        <v>lightrain</v>
      </c>
    </row>
    <row r="891" spans="1:16" x14ac:dyDescent="0.25">
      <c r="A891" s="4">
        <v>889</v>
      </c>
      <c r="B891" s="4">
        <v>0.18179999999999999</v>
      </c>
      <c r="C891" s="4">
        <v>0.4</v>
      </c>
      <c r="D891" s="4">
        <v>0.22389999999999999</v>
      </c>
      <c r="E891" s="4">
        <v>4</v>
      </c>
      <c r="F891" s="4">
        <v>57</v>
      </c>
      <c r="G891" s="4">
        <v>61</v>
      </c>
      <c r="H891" s="5">
        <v>40583</v>
      </c>
      <c r="I891" s="4">
        <v>1</v>
      </c>
      <c r="J891" s="4">
        <v>12</v>
      </c>
      <c r="K891" s="4" t="b">
        <f>IF(Append1[[#This Row],[days]]="working day",FALSE,TRUE)</f>
        <v>0</v>
      </c>
      <c r="L891" s="4">
        <v>3</v>
      </c>
      <c r="M891" s="4">
        <v>2</v>
      </c>
      <c r="N891" s="6">
        <v>0.18</v>
      </c>
      <c r="O891" s="2" t="str">
        <f>IF(Append1[[#This Row],[weekday]]=0,"holiday",IF(AND(Append1[[#This Row],[weekday]]&gt;1,Append1[[#This Row],[weekday]]&lt;7),"working day","weekend"))</f>
        <v>working day</v>
      </c>
      <c r="P891" s="4" t="str">
        <f>IF(Append1[[#This Row],[weathersit]]=0,"sunny",IF(Append1[[#This Row],[weathersit]]=1,"mist",IF(Append1[[#This Row],[weathersit]]=2,"lightrain","extremerain")))</f>
        <v>lightrain</v>
      </c>
    </row>
    <row r="892" spans="1:16" x14ac:dyDescent="0.25">
      <c r="A892" s="4">
        <v>890</v>
      </c>
      <c r="B892" s="4">
        <v>0.16669999999999999</v>
      </c>
      <c r="C892" s="4">
        <v>0.4</v>
      </c>
      <c r="D892" s="4">
        <v>0.25369999999999998</v>
      </c>
      <c r="E892" s="4">
        <v>2</v>
      </c>
      <c r="F892" s="4">
        <v>67</v>
      </c>
      <c r="G892" s="4">
        <v>69</v>
      </c>
      <c r="H892" s="5">
        <v>40583</v>
      </c>
      <c r="I892" s="4">
        <v>1</v>
      </c>
      <c r="J892" s="4">
        <v>13</v>
      </c>
      <c r="K892" s="4" t="b">
        <f>IF(Append1[[#This Row],[days]]="working day",FALSE,TRUE)</f>
        <v>0</v>
      </c>
      <c r="L892" s="4">
        <v>3</v>
      </c>
      <c r="M892" s="4">
        <v>1</v>
      </c>
      <c r="N892" s="6">
        <v>0.18</v>
      </c>
      <c r="O892" s="2" t="str">
        <f>IF(Append1[[#This Row],[weekday]]=0,"holiday",IF(AND(Append1[[#This Row],[weekday]]&gt;1,Append1[[#This Row],[weekday]]&lt;7),"working day","weekend"))</f>
        <v>working day</v>
      </c>
      <c r="P892" s="4" t="str">
        <f>IF(Append1[[#This Row],[weathersit]]=0,"sunny",IF(Append1[[#This Row],[weathersit]]=1,"mist",IF(Append1[[#This Row],[weathersit]]=2,"lightrain","extremerain")))</f>
        <v>mist</v>
      </c>
    </row>
    <row r="893" spans="1:16" x14ac:dyDescent="0.25">
      <c r="A893" s="4">
        <v>891</v>
      </c>
      <c r="B893" s="4">
        <v>0.18179999999999999</v>
      </c>
      <c r="C893" s="4">
        <v>0.34</v>
      </c>
      <c r="D893" s="4">
        <v>0.29849999999999999</v>
      </c>
      <c r="E893" s="4">
        <v>2</v>
      </c>
      <c r="F893" s="4">
        <v>56</v>
      </c>
      <c r="G893" s="4">
        <v>58</v>
      </c>
      <c r="H893" s="5">
        <v>40583</v>
      </c>
      <c r="I893" s="4">
        <v>1</v>
      </c>
      <c r="J893" s="4">
        <v>14</v>
      </c>
      <c r="K893" s="4" t="b">
        <f>IF(Append1[[#This Row],[days]]="working day",FALSE,TRUE)</f>
        <v>0</v>
      </c>
      <c r="L893" s="4">
        <v>3</v>
      </c>
      <c r="M893" s="4">
        <v>1</v>
      </c>
      <c r="N893" s="6">
        <v>0.2</v>
      </c>
      <c r="O893" s="2" t="str">
        <f>IF(Append1[[#This Row],[weekday]]=0,"holiday",IF(AND(Append1[[#This Row],[weekday]]&gt;1,Append1[[#This Row],[weekday]]&lt;7),"working day","weekend"))</f>
        <v>working day</v>
      </c>
      <c r="P893" s="4" t="str">
        <f>IF(Append1[[#This Row],[weathersit]]=0,"sunny",IF(Append1[[#This Row],[weathersit]]=1,"mist",IF(Append1[[#This Row],[weathersit]]=2,"lightrain","extremerain")))</f>
        <v>mist</v>
      </c>
    </row>
    <row r="894" spans="1:16" x14ac:dyDescent="0.25">
      <c r="A894" s="4">
        <v>892</v>
      </c>
      <c r="B894" s="4">
        <v>0.18179999999999999</v>
      </c>
      <c r="C894" s="4">
        <v>0.34</v>
      </c>
      <c r="D894" s="4">
        <v>0.28360000000000002</v>
      </c>
      <c r="E894" s="4">
        <v>3</v>
      </c>
      <c r="F894" s="4">
        <v>61</v>
      </c>
      <c r="G894" s="4">
        <v>64</v>
      </c>
      <c r="H894" s="5">
        <v>40583</v>
      </c>
      <c r="I894" s="4">
        <v>1</v>
      </c>
      <c r="J894" s="4">
        <v>15</v>
      </c>
      <c r="K894" s="4" t="b">
        <f>IF(Append1[[#This Row],[days]]="working day",FALSE,TRUE)</f>
        <v>0</v>
      </c>
      <c r="L894" s="4">
        <v>3</v>
      </c>
      <c r="M894" s="4">
        <v>2</v>
      </c>
      <c r="N894" s="6">
        <v>0.2</v>
      </c>
      <c r="O894" s="2" t="str">
        <f>IF(Append1[[#This Row],[weekday]]=0,"holiday",IF(AND(Append1[[#This Row],[weekday]]&gt;1,Append1[[#This Row],[weekday]]&lt;7),"working day","weekend"))</f>
        <v>working day</v>
      </c>
      <c r="P894" s="4" t="str">
        <f>IF(Append1[[#This Row],[weathersit]]=0,"sunny",IF(Append1[[#This Row],[weathersit]]=1,"mist",IF(Append1[[#This Row],[weathersit]]=2,"lightrain","extremerain")))</f>
        <v>lightrain</v>
      </c>
    </row>
    <row r="895" spans="1:16" x14ac:dyDescent="0.25">
      <c r="A895" s="4">
        <v>893</v>
      </c>
      <c r="B895" s="4">
        <v>0.19700000000000001</v>
      </c>
      <c r="C895" s="4">
        <v>0.37</v>
      </c>
      <c r="D895" s="4">
        <v>0.25369999999999998</v>
      </c>
      <c r="E895" s="4">
        <v>7</v>
      </c>
      <c r="F895" s="4">
        <v>72</v>
      </c>
      <c r="G895" s="4">
        <v>79</v>
      </c>
      <c r="H895" s="5">
        <v>40583</v>
      </c>
      <c r="I895" s="4">
        <v>1</v>
      </c>
      <c r="J895" s="4">
        <v>16</v>
      </c>
      <c r="K895" s="4" t="b">
        <f>IF(Append1[[#This Row],[days]]="working day",FALSE,TRUE)</f>
        <v>0</v>
      </c>
      <c r="L895" s="4">
        <v>3</v>
      </c>
      <c r="M895" s="4">
        <v>2</v>
      </c>
      <c r="N895" s="6">
        <v>0.2</v>
      </c>
      <c r="O895" s="2" t="str">
        <f>IF(Append1[[#This Row],[weekday]]=0,"holiday",IF(AND(Append1[[#This Row],[weekday]]&gt;1,Append1[[#This Row],[weekday]]&lt;7),"working day","weekend"))</f>
        <v>working day</v>
      </c>
      <c r="P895" s="4" t="str">
        <f>IF(Append1[[#This Row],[weathersit]]=0,"sunny",IF(Append1[[#This Row],[weathersit]]=1,"mist",IF(Append1[[#This Row],[weathersit]]=2,"lightrain","extremerain")))</f>
        <v>lightrain</v>
      </c>
    </row>
    <row r="896" spans="1:16" x14ac:dyDescent="0.25">
      <c r="A896" s="4">
        <v>894</v>
      </c>
      <c r="B896" s="4">
        <v>0.19700000000000001</v>
      </c>
      <c r="C896" s="4">
        <v>0.34</v>
      </c>
      <c r="D896" s="4">
        <v>0.25369999999999998</v>
      </c>
      <c r="E896" s="4">
        <v>9</v>
      </c>
      <c r="F896" s="4">
        <v>157</v>
      </c>
      <c r="G896" s="4">
        <v>166</v>
      </c>
      <c r="H896" s="5">
        <v>40583</v>
      </c>
      <c r="I896" s="4">
        <v>1</v>
      </c>
      <c r="J896" s="4">
        <v>17</v>
      </c>
      <c r="K896" s="4" t="b">
        <f>IF(Append1[[#This Row],[days]]="working day",FALSE,TRUE)</f>
        <v>0</v>
      </c>
      <c r="L896" s="4">
        <v>3</v>
      </c>
      <c r="M896" s="4">
        <v>2</v>
      </c>
      <c r="N896" s="6">
        <v>0.2</v>
      </c>
      <c r="O896" s="2" t="str">
        <f>IF(Append1[[#This Row],[weekday]]=0,"holiday",IF(AND(Append1[[#This Row],[weekday]]&gt;1,Append1[[#This Row],[weekday]]&lt;7),"working day","weekend"))</f>
        <v>working day</v>
      </c>
      <c r="P896" s="4" t="str">
        <f>IF(Append1[[#This Row],[weathersit]]=0,"sunny",IF(Append1[[#This Row],[weathersit]]=1,"mist",IF(Append1[[#This Row],[weathersit]]=2,"lightrain","extremerain")))</f>
        <v>lightrain</v>
      </c>
    </row>
    <row r="897" spans="1:16" x14ac:dyDescent="0.25">
      <c r="A897" s="4">
        <v>895</v>
      </c>
      <c r="B897" s="4">
        <v>0.16669999999999999</v>
      </c>
      <c r="C897" s="4">
        <v>0.47</v>
      </c>
      <c r="D897" s="4">
        <v>0.29849999999999999</v>
      </c>
      <c r="E897" s="4">
        <v>2</v>
      </c>
      <c r="F897" s="4">
        <v>168</v>
      </c>
      <c r="G897" s="4">
        <v>170</v>
      </c>
      <c r="H897" s="5">
        <v>40583</v>
      </c>
      <c r="I897" s="4">
        <v>1</v>
      </c>
      <c r="J897" s="4">
        <v>18</v>
      </c>
      <c r="K897" s="4" t="b">
        <f>IF(Append1[[#This Row],[days]]="working day",FALSE,TRUE)</f>
        <v>0</v>
      </c>
      <c r="L897" s="4">
        <v>3</v>
      </c>
      <c r="M897" s="4">
        <v>2</v>
      </c>
      <c r="N897" s="6">
        <v>0.18</v>
      </c>
      <c r="O897" s="2" t="str">
        <f>IF(Append1[[#This Row],[weekday]]=0,"holiday",IF(AND(Append1[[#This Row],[weekday]]&gt;1,Append1[[#This Row],[weekday]]&lt;7),"working day","weekend"))</f>
        <v>working day</v>
      </c>
      <c r="P897" s="4" t="str">
        <f>IF(Append1[[#This Row],[weathersit]]=0,"sunny",IF(Append1[[#This Row],[weathersit]]=1,"mist",IF(Append1[[#This Row],[weathersit]]=2,"lightrain","extremerain")))</f>
        <v>lightrain</v>
      </c>
    </row>
    <row r="898" spans="1:16" x14ac:dyDescent="0.25">
      <c r="A898" s="4">
        <v>896</v>
      </c>
      <c r="B898" s="4">
        <v>0.1212</v>
      </c>
      <c r="C898" s="4">
        <v>0.86</v>
      </c>
      <c r="D898" s="4">
        <v>0.25369999999999998</v>
      </c>
      <c r="E898" s="4">
        <v>1</v>
      </c>
      <c r="F898" s="4">
        <v>87</v>
      </c>
      <c r="G898" s="4">
        <v>88</v>
      </c>
      <c r="H898" s="5">
        <v>40583</v>
      </c>
      <c r="I898" s="4">
        <v>1</v>
      </c>
      <c r="J898" s="4">
        <v>19</v>
      </c>
      <c r="K898" s="4" t="b">
        <f>IF(Append1[[#This Row],[days]]="working day",FALSE,TRUE)</f>
        <v>0</v>
      </c>
      <c r="L898" s="4">
        <v>3</v>
      </c>
      <c r="M898" s="4">
        <v>3</v>
      </c>
      <c r="N898" s="6">
        <v>0.14000000000000001</v>
      </c>
      <c r="O898" s="2" t="str">
        <f>IF(Append1[[#This Row],[weekday]]=0,"holiday",IF(AND(Append1[[#This Row],[weekday]]&gt;1,Append1[[#This Row],[weekday]]&lt;7),"working day","weekend"))</f>
        <v>working day</v>
      </c>
      <c r="P898" s="4" t="str">
        <f>IF(Append1[[#This Row],[weathersit]]=0,"sunny",IF(Append1[[#This Row],[weathersit]]=1,"mist",IF(Append1[[#This Row],[weathersit]]=2,"lightrain","extremerain")))</f>
        <v>extremerain</v>
      </c>
    </row>
    <row r="899" spans="1:16" x14ac:dyDescent="0.25">
      <c r="A899" s="4">
        <v>897</v>
      </c>
      <c r="B899" s="4">
        <v>0.1515</v>
      </c>
      <c r="C899" s="4">
        <v>0.86</v>
      </c>
      <c r="D899" s="4">
        <v>0.16420000000000001</v>
      </c>
      <c r="E899" s="4">
        <v>0</v>
      </c>
      <c r="F899" s="4">
        <v>84</v>
      </c>
      <c r="G899" s="4">
        <v>84</v>
      </c>
      <c r="H899" s="5">
        <v>40583</v>
      </c>
      <c r="I899" s="4">
        <v>1</v>
      </c>
      <c r="J899" s="4">
        <v>20</v>
      </c>
      <c r="K899" s="4" t="b">
        <f>IF(Append1[[#This Row],[days]]="working day",FALSE,TRUE)</f>
        <v>0</v>
      </c>
      <c r="L899" s="4">
        <v>3</v>
      </c>
      <c r="M899" s="4">
        <v>3</v>
      </c>
      <c r="N899" s="6">
        <v>0.14000000000000001</v>
      </c>
      <c r="O899" s="2" t="str">
        <f>IF(Append1[[#This Row],[weekday]]=0,"holiday",IF(AND(Append1[[#This Row],[weekday]]&gt;1,Append1[[#This Row],[weekday]]&lt;7),"working day","weekend"))</f>
        <v>working day</v>
      </c>
      <c r="P899" s="4" t="str">
        <f>IF(Append1[[#This Row],[weathersit]]=0,"sunny",IF(Append1[[#This Row],[weathersit]]=1,"mist",IF(Append1[[#This Row],[weathersit]]=2,"lightrain","extremerain")))</f>
        <v>extremerain</v>
      </c>
    </row>
    <row r="900" spans="1:16" x14ac:dyDescent="0.25">
      <c r="A900" s="4">
        <v>898</v>
      </c>
      <c r="B900" s="4">
        <v>0.1515</v>
      </c>
      <c r="C900" s="4">
        <v>0.86</v>
      </c>
      <c r="D900" s="4">
        <v>0.16420000000000001</v>
      </c>
      <c r="E900" s="4">
        <v>0</v>
      </c>
      <c r="F900" s="4">
        <v>83</v>
      </c>
      <c r="G900" s="4">
        <v>83</v>
      </c>
      <c r="H900" s="5">
        <v>40583</v>
      </c>
      <c r="I900" s="4">
        <v>1</v>
      </c>
      <c r="J900" s="4">
        <v>21</v>
      </c>
      <c r="K900" s="4" t="b">
        <f>IF(Append1[[#This Row],[days]]="working day",FALSE,TRUE)</f>
        <v>0</v>
      </c>
      <c r="L900" s="4">
        <v>3</v>
      </c>
      <c r="M900" s="4">
        <v>2</v>
      </c>
      <c r="N900" s="6">
        <v>0.14000000000000001</v>
      </c>
      <c r="O900" s="2" t="str">
        <f>IF(Append1[[#This Row],[weekday]]=0,"holiday",IF(AND(Append1[[#This Row],[weekday]]&gt;1,Append1[[#This Row],[weekday]]&lt;7),"working day","weekend"))</f>
        <v>working day</v>
      </c>
      <c r="P900" s="4" t="str">
        <f>IF(Append1[[#This Row],[weathersit]]=0,"sunny",IF(Append1[[#This Row],[weathersit]]=1,"mist",IF(Append1[[#This Row],[weathersit]]=2,"lightrain","extremerain")))</f>
        <v>lightrain</v>
      </c>
    </row>
    <row r="901" spans="1:16" x14ac:dyDescent="0.25">
      <c r="A901" s="4">
        <v>899</v>
      </c>
      <c r="B901" s="4">
        <v>0.16669999999999999</v>
      </c>
      <c r="C901" s="4">
        <v>0.8</v>
      </c>
      <c r="D901" s="4">
        <v>0.16420000000000001</v>
      </c>
      <c r="E901" s="4">
        <v>4</v>
      </c>
      <c r="F901" s="4">
        <v>42</v>
      </c>
      <c r="G901" s="4">
        <v>46</v>
      </c>
      <c r="H901" s="5">
        <v>40583</v>
      </c>
      <c r="I901" s="4">
        <v>1</v>
      </c>
      <c r="J901" s="4">
        <v>22</v>
      </c>
      <c r="K901" s="4" t="b">
        <f>IF(Append1[[#This Row],[days]]="working day",FALSE,TRUE)</f>
        <v>0</v>
      </c>
      <c r="L901" s="4">
        <v>3</v>
      </c>
      <c r="M901" s="4">
        <v>3</v>
      </c>
      <c r="N901" s="6">
        <v>0.16</v>
      </c>
      <c r="O901" s="2" t="str">
        <f>IF(Append1[[#This Row],[weekday]]=0,"holiday",IF(AND(Append1[[#This Row],[weekday]]&gt;1,Append1[[#This Row],[weekday]]&lt;7),"working day","weekend"))</f>
        <v>working day</v>
      </c>
      <c r="P901" s="4" t="str">
        <f>IF(Append1[[#This Row],[weathersit]]=0,"sunny",IF(Append1[[#This Row],[weathersit]]=1,"mist",IF(Append1[[#This Row],[weathersit]]=2,"lightrain","extremerain")))</f>
        <v>extremerain</v>
      </c>
    </row>
    <row r="902" spans="1:16" x14ac:dyDescent="0.25">
      <c r="A902" s="4">
        <v>900</v>
      </c>
      <c r="B902" s="4">
        <v>0.1515</v>
      </c>
      <c r="C902" s="4">
        <v>0.8</v>
      </c>
      <c r="D902" s="4">
        <v>0.19400000000000001</v>
      </c>
      <c r="E902" s="4">
        <v>0</v>
      </c>
      <c r="F902" s="4">
        <v>37</v>
      </c>
      <c r="G902" s="4">
        <v>37</v>
      </c>
      <c r="H902" s="5">
        <v>40583</v>
      </c>
      <c r="I902" s="4">
        <v>1</v>
      </c>
      <c r="J902" s="4">
        <v>23</v>
      </c>
      <c r="K902" s="4" t="b">
        <f>IF(Append1[[#This Row],[days]]="working day",FALSE,TRUE)</f>
        <v>0</v>
      </c>
      <c r="L902" s="4">
        <v>3</v>
      </c>
      <c r="M902" s="4">
        <v>3</v>
      </c>
      <c r="N902" s="6">
        <v>0.16</v>
      </c>
      <c r="O902" s="2" t="str">
        <f>IF(Append1[[#This Row],[weekday]]=0,"holiday",IF(AND(Append1[[#This Row],[weekday]]&gt;1,Append1[[#This Row],[weekday]]&lt;7),"working day","weekend"))</f>
        <v>working day</v>
      </c>
      <c r="P902" s="4" t="str">
        <f>IF(Append1[[#This Row],[weathersit]]=0,"sunny",IF(Append1[[#This Row],[weathersit]]=1,"mist",IF(Append1[[#This Row],[weathersit]]=2,"lightrain","extremerain")))</f>
        <v>extremerain</v>
      </c>
    </row>
    <row r="903" spans="1:16" x14ac:dyDescent="0.25">
      <c r="A903" s="4">
        <v>901</v>
      </c>
      <c r="B903" s="4">
        <v>0.13639999999999999</v>
      </c>
      <c r="C903" s="4">
        <v>0.86</v>
      </c>
      <c r="D903" s="4">
        <v>0.19400000000000001</v>
      </c>
      <c r="E903" s="4">
        <v>0</v>
      </c>
      <c r="F903" s="4">
        <v>16</v>
      </c>
      <c r="G903" s="4">
        <v>16</v>
      </c>
      <c r="H903" s="5">
        <v>40584</v>
      </c>
      <c r="I903" s="4">
        <v>1</v>
      </c>
      <c r="J903" s="4">
        <v>0</v>
      </c>
      <c r="K903" s="4" t="b">
        <f>IF(Append1[[#This Row],[days]]="working day",FALSE,TRUE)</f>
        <v>0</v>
      </c>
      <c r="L903" s="4">
        <v>4</v>
      </c>
      <c r="M903" s="4">
        <v>3</v>
      </c>
      <c r="N903" s="6">
        <v>0.14000000000000001</v>
      </c>
      <c r="O903" s="2" t="str">
        <f>IF(Append1[[#This Row],[weekday]]=0,"holiday",IF(AND(Append1[[#This Row],[weekday]]&gt;1,Append1[[#This Row],[weekday]]&lt;7),"working day","weekend"))</f>
        <v>working day</v>
      </c>
      <c r="P903" s="4" t="str">
        <f>IF(Append1[[#This Row],[weathersit]]=0,"sunny",IF(Append1[[#This Row],[weathersit]]=1,"mist",IF(Append1[[#This Row],[weathersit]]=2,"lightrain","extremerain")))</f>
        <v>extremerain</v>
      </c>
    </row>
    <row r="904" spans="1:16" x14ac:dyDescent="0.25">
      <c r="A904" s="4">
        <v>902</v>
      </c>
      <c r="B904" s="4">
        <v>0.1515</v>
      </c>
      <c r="C904" s="4">
        <v>0.8</v>
      </c>
      <c r="D904" s="4">
        <v>0.1343</v>
      </c>
      <c r="E904" s="4">
        <v>0</v>
      </c>
      <c r="F904" s="4">
        <v>7</v>
      </c>
      <c r="G904" s="4">
        <v>7</v>
      </c>
      <c r="H904" s="5">
        <v>40584</v>
      </c>
      <c r="I904" s="4">
        <v>1</v>
      </c>
      <c r="J904" s="4">
        <v>1</v>
      </c>
      <c r="K904" s="4" t="b">
        <f>IF(Append1[[#This Row],[days]]="working day",FALSE,TRUE)</f>
        <v>0</v>
      </c>
      <c r="L904" s="4">
        <v>4</v>
      </c>
      <c r="M904" s="4">
        <v>3</v>
      </c>
      <c r="N904" s="6">
        <v>0.14000000000000001</v>
      </c>
      <c r="O904" s="2" t="str">
        <f>IF(Append1[[#This Row],[weekday]]=0,"holiday",IF(AND(Append1[[#This Row],[weekday]]&gt;1,Append1[[#This Row],[weekday]]&lt;7),"working day","weekend"))</f>
        <v>working day</v>
      </c>
      <c r="P904" s="4" t="str">
        <f>IF(Append1[[#This Row],[weathersit]]=0,"sunny",IF(Append1[[#This Row],[weathersit]]=1,"mist",IF(Append1[[#This Row],[weathersit]]=2,"lightrain","extremerain")))</f>
        <v>extremerain</v>
      </c>
    </row>
    <row r="905" spans="1:16" x14ac:dyDescent="0.25">
      <c r="A905" s="4">
        <v>903</v>
      </c>
      <c r="B905" s="4">
        <v>0.1515</v>
      </c>
      <c r="C905" s="4">
        <v>0.8</v>
      </c>
      <c r="D905" s="4">
        <v>0.1343</v>
      </c>
      <c r="E905" s="4">
        <v>0</v>
      </c>
      <c r="F905" s="4">
        <v>3</v>
      </c>
      <c r="G905" s="4">
        <v>3</v>
      </c>
      <c r="H905" s="5">
        <v>40584</v>
      </c>
      <c r="I905" s="4">
        <v>1</v>
      </c>
      <c r="J905" s="4">
        <v>2</v>
      </c>
      <c r="K905" s="4" t="b">
        <f>IF(Append1[[#This Row],[days]]="working day",FALSE,TRUE)</f>
        <v>0</v>
      </c>
      <c r="L905" s="4">
        <v>4</v>
      </c>
      <c r="M905" s="4">
        <v>3</v>
      </c>
      <c r="N905" s="6">
        <v>0.14000000000000001</v>
      </c>
      <c r="O905" s="2" t="str">
        <f>IF(Append1[[#This Row],[weekday]]=0,"holiday",IF(AND(Append1[[#This Row],[weekday]]&gt;1,Append1[[#This Row],[weekday]]&lt;7),"working day","weekend"))</f>
        <v>working day</v>
      </c>
      <c r="P905" s="4" t="str">
        <f>IF(Append1[[#This Row],[weathersit]]=0,"sunny",IF(Append1[[#This Row],[weathersit]]=1,"mist",IF(Append1[[#This Row],[weathersit]]=2,"lightrain","extremerain")))</f>
        <v>extremerain</v>
      </c>
    </row>
    <row r="906" spans="1:16" x14ac:dyDescent="0.25">
      <c r="A906" s="4">
        <v>904</v>
      </c>
      <c r="B906" s="4">
        <v>0.13639999999999999</v>
      </c>
      <c r="C906" s="4">
        <v>0.59</v>
      </c>
      <c r="D906" s="4">
        <v>0.22389999999999999</v>
      </c>
      <c r="E906" s="4">
        <v>0</v>
      </c>
      <c r="F906" s="4">
        <v>1</v>
      </c>
      <c r="G906" s="4">
        <v>1</v>
      </c>
      <c r="H906" s="5">
        <v>40584</v>
      </c>
      <c r="I906" s="4">
        <v>1</v>
      </c>
      <c r="J906" s="4">
        <v>4</v>
      </c>
      <c r="K906" s="4" t="b">
        <f>IF(Append1[[#This Row],[days]]="working day",FALSE,TRUE)</f>
        <v>0</v>
      </c>
      <c r="L906" s="4">
        <v>4</v>
      </c>
      <c r="M906" s="4">
        <v>2</v>
      </c>
      <c r="N906" s="6">
        <v>0.14000000000000001</v>
      </c>
      <c r="O906" s="2" t="str">
        <f>IF(Append1[[#This Row],[weekday]]=0,"holiday",IF(AND(Append1[[#This Row],[weekday]]&gt;1,Append1[[#This Row],[weekday]]&lt;7),"working day","weekend"))</f>
        <v>working day</v>
      </c>
      <c r="P906" s="4" t="str">
        <f>IF(Append1[[#This Row],[weathersit]]=0,"sunny",IF(Append1[[#This Row],[weathersit]]=1,"mist",IF(Append1[[#This Row],[weathersit]]=2,"lightrain","extremerain")))</f>
        <v>lightrain</v>
      </c>
    </row>
    <row r="907" spans="1:16" x14ac:dyDescent="0.25">
      <c r="A907" s="4">
        <v>905</v>
      </c>
      <c r="B907" s="4">
        <v>0.1212</v>
      </c>
      <c r="C907" s="4">
        <v>0.5</v>
      </c>
      <c r="D907" s="4">
        <v>0.22389999999999999</v>
      </c>
      <c r="E907" s="4">
        <v>0</v>
      </c>
      <c r="F907" s="4">
        <v>6</v>
      </c>
      <c r="G907" s="4">
        <v>6</v>
      </c>
      <c r="H907" s="5">
        <v>40584</v>
      </c>
      <c r="I907" s="4">
        <v>1</v>
      </c>
      <c r="J907" s="4">
        <v>5</v>
      </c>
      <c r="K907" s="4" t="b">
        <f>IF(Append1[[#This Row],[days]]="working day",FALSE,TRUE)</f>
        <v>0</v>
      </c>
      <c r="L907" s="4">
        <v>4</v>
      </c>
      <c r="M907" s="4">
        <v>2</v>
      </c>
      <c r="N907" s="6">
        <v>0.12</v>
      </c>
      <c r="O907" s="2" t="str">
        <f>IF(Append1[[#This Row],[weekday]]=0,"holiday",IF(AND(Append1[[#This Row],[weekday]]&gt;1,Append1[[#This Row],[weekday]]&lt;7),"working day","weekend"))</f>
        <v>working day</v>
      </c>
      <c r="P907" s="4" t="str">
        <f>IF(Append1[[#This Row],[weathersit]]=0,"sunny",IF(Append1[[#This Row],[weathersit]]=1,"mist",IF(Append1[[#This Row],[weathersit]]=2,"lightrain","extremerain")))</f>
        <v>lightrain</v>
      </c>
    </row>
    <row r="908" spans="1:16" x14ac:dyDescent="0.25">
      <c r="A908" s="4">
        <v>906</v>
      </c>
      <c r="B908" s="4">
        <v>0.1212</v>
      </c>
      <c r="C908" s="4">
        <v>0.54</v>
      </c>
      <c r="D908" s="4">
        <v>0.28360000000000002</v>
      </c>
      <c r="E908" s="4">
        <v>0</v>
      </c>
      <c r="F908" s="4">
        <v>26</v>
      </c>
      <c r="G908" s="4">
        <v>26</v>
      </c>
      <c r="H908" s="5">
        <v>40584</v>
      </c>
      <c r="I908" s="4">
        <v>1</v>
      </c>
      <c r="J908" s="4">
        <v>6</v>
      </c>
      <c r="K908" s="4" t="b">
        <f>IF(Append1[[#This Row],[days]]="working day",FALSE,TRUE)</f>
        <v>0</v>
      </c>
      <c r="L908" s="4">
        <v>4</v>
      </c>
      <c r="M908" s="4">
        <v>2</v>
      </c>
      <c r="N908" s="6">
        <v>0.12</v>
      </c>
      <c r="O908" s="2" t="str">
        <f>IF(Append1[[#This Row],[weekday]]=0,"holiday",IF(AND(Append1[[#This Row],[weekday]]&gt;1,Append1[[#This Row],[weekday]]&lt;7),"working day","weekend"))</f>
        <v>working day</v>
      </c>
      <c r="P908" s="4" t="str">
        <f>IF(Append1[[#This Row],[weathersit]]=0,"sunny",IF(Append1[[#This Row],[weathersit]]=1,"mist",IF(Append1[[#This Row],[weathersit]]=2,"lightrain","extremerain")))</f>
        <v>lightrain</v>
      </c>
    </row>
    <row r="909" spans="1:16" x14ac:dyDescent="0.25">
      <c r="A909" s="4">
        <v>907</v>
      </c>
      <c r="B909" s="4">
        <v>7.5800000000000006E-2</v>
      </c>
      <c r="C909" s="4">
        <v>0.5</v>
      </c>
      <c r="D909" s="4">
        <v>0.41789999999999999</v>
      </c>
      <c r="E909" s="4">
        <v>0</v>
      </c>
      <c r="F909" s="4">
        <v>99</v>
      </c>
      <c r="G909" s="4">
        <v>99</v>
      </c>
      <c r="H909" s="5">
        <v>40584</v>
      </c>
      <c r="I909" s="4">
        <v>1</v>
      </c>
      <c r="J909" s="4">
        <v>7</v>
      </c>
      <c r="K909" s="4" t="b">
        <f>IF(Append1[[#This Row],[days]]="working day",FALSE,TRUE)</f>
        <v>0</v>
      </c>
      <c r="L909" s="4">
        <v>4</v>
      </c>
      <c r="M909" s="4">
        <v>1</v>
      </c>
      <c r="N909" s="6">
        <v>0.1</v>
      </c>
      <c r="O909" s="2" t="str">
        <f>IF(Append1[[#This Row],[weekday]]=0,"holiday",IF(AND(Append1[[#This Row],[weekday]]&gt;1,Append1[[#This Row],[weekday]]&lt;7),"working day","weekend"))</f>
        <v>working day</v>
      </c>
      <c r="P909" s="4" t="str">
        <f>IF(Append1[[#This Row],[weathersit]]=0,"sunny",IF(Append1[[#This Row],[weathersit]]=1,"mist",IF(Append1[[#This Row],[weathersit]]=2,"lightrain","extremerain")))</f>
        <v>mist</v>
      </c>
    </row>
    <row r="910" spans="1:16" x14ac:dyDescent="0.25">
      <c r="A910" s="4">
        <v>908</v>
      </c>
      <c r="B910" s="4">
        <v>7.5800000000000006E-2</v>
      </c>
      <c r="C910" s="4">
        <v>0.49</v>
      </c>
      <c r="D910" s="4">
        <v>0.32840000000000003</v>
      </c>
      <c r="E910" s="4">
        <v>5</v>
      </c>
      <c r="F910" s="4">
        <v>173</v>
      </c>
      <c r="G910" s="4">
        <v>178</v>
      </c>
      <c r="H910" s="5">
        <v>40584</v>
      </c>
      <c r="I910" s="4">
        <v>1</v>
      </c>
      <c r="J910" s="4">
        <v>8</v>
      </c>
      <c r="K910" s="4" t="b">
        <f>IF(Append1[[#This Row],[days]]="working day",FALSE,TRUE)</f>
        <v>0</v>
      </c>
      <c r="L910" s="4">
        <v>4</v>
      </c>
      <c r="M910" s="4">
        <v>1</v>
      </c>
      <c r="N910" s="6">
        <v>0.1</v>
      </c>
      <c r="O910" s="2" t="str">
        <f>IF(Append1[[#This Row],[weekday]]=0,"holiday",IF(AND(Append1[[#This Row],[weekday]]&gt;1,Append1[[#This Row],[weekday]]&lt;7),"working day","weekend"))</f>
        <v>working day</v>
      </c>
      <c r="P910" s="4" t="str">
        <f>IF(Append1[[#This Row],[weathersit]]=0,"sunny",IF(Append1[[#This Row],[weathersit]]=1,"mist",IF(Append1[[#This Row],[weathersit]]=2,"lightrain","extremerain")))</f>
        <v>mist</v>
      </c>
    </row>
    <row r="911" spans="1:16" x14ac:dyDescent="0.25">
      <c r="A911" s="4">
        <v>909</v>
      </c>
      <c r="B911" s="4">
        <v>0.1061</v>
      </c>
      <c r="C911" s="4">
        <v>0.42</v>
      </c>
      <c r="D911" s="4">
        <v>0.35820000000000002</v>
      </c>
      <c r="E911" s="4">
        <v>1</v>
      </c>
      <c r="F911" s="4">
        <v>121</v>
      </c>
      <c r="G911" s="4">
        <v>122</v>
      </c>
      <c r="H911" s="5">
        <v>40584</v>
      </c>
      <c r="I911" s="4">
        <v>1</v>
      </c>
      <c r="J911" s="4">
        <v>9</v>
      </c>
      <c r="K911" s="4" t="b">
        <f>IF(Append1[[#This Row],[days]]="working day",FALSE,TRUE)</f>
        <v>0</v>
      </c>
      <c r="L911" s="4">
        <v>4</v>
      </c>
      <c r="M911" s="4">
        <v>1</v>
      </c>
      <c r="N911" s="6">
        <v>0.12</v>
      </c>
      <c r="O911" s="2" t="str">
        <f>IF(Append1[[#This Row],[weekday]]=0,"holiday",IF(AND(Append1[[#This Row],[weekday]]&gt;1,Append1[[#This Row],[weekday]]&lt;7),"working day","weekend"))</f>
        <v>working day</v>
      </c>
      <c r="P911" s="4" t="str">
        <f>IF(Append1[[#This Row],[weathersit]]=0,"sunny",IF(Append1[[#This Row],[weathersit]]=1,"mist",IF(Append1[[#This Row],[weathersit]]=2,"lightrain","extremerain")))</f>
        <v>mist</v>
      </c>
    </row>
    <row r="912" spans="1:16" x14ac:dyDescent="0.25">
      <c r="A912" s="4">
        <v>910</v>
      </c>
      <c r="B912" s="4">
        <v>0.1061</v>
      </c>
      <c r="C912" s="4">
        <v>0.42</v>
      </c>
      <c r="D912" s="4">
        <v>0.29849999999999999</v>
      </c>
      <c r="E912" s="4">
        <v>1</v>
      </c>
      <c r="F912" s="4">
        <v>34</v>
      </c>
      <c r="G912" s="4">
        <v>35</v>
      </c>
      <c r="H912" s="5">
        <v>40584</v>
      </c>
      <c r="I912" s="4">
        <v>1</v>
      </c>
      <c r="J912" s="4">
        <v>10</v>
      </c>
      <c r="K912" s="4" t="b">
        <f>IF(Append1[[#This Row],[days]]="working day",FALSE,TRUE)</f>
        <v>0</v>
      </c>
      <c r="L912" s="4">
        <v>4</v>
      </c>
      <c r="M912" s="4">
        <v>1</v>
      </c>
      <c r="N912" s="6">
        <v>0.12</v>
      </c>
      <c r="O912" s="2" t="str">
        <f>IF(Append1[[#This Row],[weekday]]=0,"holiday",IF(AND(Append1[[#This Row],[weekday]]&gt;1,Append1[[#This Row],[weekday]]&lt;7),"working day","weekend"))</f>
        <v>working day</v>
      </c>
      <c r="P912" s="4" t="str">
        <f>IF(Append1[[#This Row],[weathersit]]=0,"sunny",IF(Append1[[#This Row],[weathersit]]=1,"mist",IF(Append1[[#This Row],[weathersit]]=2,"lightrain","extremerain")))</f>
        <v>mist</v>
      </c>
    </row>
    <row r="913" spans="1:16" x14ac:dyDescent="0.25">
      <c r="A913" s="4">
        <v>911</v>
      </c>
      <c r="B913" s="4">
        <v>0.1212</v>
      </c>
      <c r="C913" s="4">
        <v>0.39</v>
      </c>
      <c r="D913" s="4">
        <v>0.35820000000000002</v>
      </c>
      <c r="E913" s="4">
        <v>1</v>
      </c>
      <c r="F913" s="4">
        <v>44</v>
      </c>
      <c r="G913" s="4">
        <v>45</v>
      </c>
      <c r="H913" s="5">
        <v>40584</v>
      </c>
      <c r="I913" s="4">
        <v>1</v>
      </c>
      <c r="J913" s="4">
        <v>11</v>
      </c>
      <c r="K913" s="4" t="b">
        <f>IF(Append1[[#This Row],[days]]="working day",FALSE,TRUE)</f>
        <v>0</v>
      </c>
      <c r="L913" s="4">
        <v>4</v>
      </c>
      <c r="M913" s="4">
        <v>1</v>
      </c>
      <c r="N913" s="6">
        <v>0.14000000000000001</v>
      </c>
      <c r="O913" s="2" t="str">
        <f>IF(Append1[[#This Row],[weekday]]=0,"holiday",IF(AND(Append1[[#This Row],[weekday]]&gt;1,Append1[[#This Row],[weekday]]&lt;7),"working day","weekend"))</f>
        <v>working day</v>
      </c>
      <c r="P913" s="4" t="str">
        <f>IF(Append1[[#This Row],[weathersit]]=0,"sunny",IF(Append1[[#This Row],[weathersit]]=1,"mist",IF(Append1[[#This Row],[weathersit]]=2,"lightrain","extremerain")))</f>
        <v>mist</v>
      </c>
    </row>
    <row r="914" spans="1:16" x14ac:dyDescent="0.25">
      <c r="A914" s="4">
        <v>912</v>
      </c>
      <c r="B914" s="4">
        <v>0.13639999999999999</v>
      </c>
      <c r="C914" s="4">
        <v>0.34</v>
      </c>
      <c r="D914" s="4">
        <v>0.3881</v>
      </c>
      <c r="E914" s="4">
        <v>4</v>
      </c>
      <c r="F914" s="4">
        <v>65</v>
      </c>
      <c r="G914" s="4">
        <v>69</v>
      </c>
      <c r="H914" s="5">
        <v>40584</v>
      </c>
      <c r="I914" s="4">
        <v>1</v>
      </c>
      <c r="J914" s="4">
        <v>12</v>
      </c>
      <c r="K914" s="4" t="b">
        <f>IF(Append1[[#This Row],[days]]="working day",FALSE,TRUE)</f>
        <v>0</v>
      </c>
      <c r="L914" s="4">
        <v>4</v>
      </c>
      <c r="M914" s="4">
        <v>1</v>
      </c>
      <c r="N914" s="6">
        <v>0.16</v>
      </c>
      <c r="O914" s="2" t="str">
        <f>IF(Append1[[#This Row],[weekday]]=0,"holiday",IF(AND(Append1[[#This Row],[weekday]]&gt;1,Append1[[#This Row],[weekday]]&lt;7),"working day","weekend"))</f>
        <v>working day</v>
      </c>
      <c r="P914" s="4" t="str">
        <f>IF(Append1[[#This Row],[weathersit]]=0,"sunny",IF(Append1[[#This Row],[weathersit]]=1,"mist",IF(Append1[[#This Row],[weathersit]]=2,"lightrain","extremerain")))</f>
        <v>mist</v>
      </c>
    </row>
    <row r="915" spans="1:16" x14ac:dyDescent="0.25">
      <c r="A915" s="4">
        <v>913</v>
      </c>
      <c r="B915" s="4">
        <v>0.16669999999999999</v>
      </c>
      <c r="C915" s="4">
        <v>0.28999999999999998</v>
      </c>
      <c r="D915" s="4">
        <v>0.29849999999999999</v>
      </c>
      <c r="E915" s="4">
        <v>3</v>
      </c>
      <c r="F915" s="4">
        <v>59</v>
      </c>
      <c r="G915" s="4">
        <v>62</v>
      </c>
      <c r="H915" s="5">
        <v>40584</v>
      </c>
      <c r="I915" s="4">
        <v>1</v>
      </c>
      <c r="J915" s="4">
        <v>13</v>
      </c>
      <c r="K915" s="4" t="b">
        <f>IF(Append1[[#This Row],[days]]="working day",FALSE,TRUE)</f>
        <v>0</v>
      </c>
      <c r="L915" s="4">
        <v>4</v>
      </c>
      <c r="M915" s="4">
        <v>1</v>
      </c>
      <c r="N915" s="6">
        <v>0.18</v>
      </c>
      <c r="O915" s="2" t="str">
        <f>IF(Append1[[#This Row],[weekday]]=0,"holiday",IF(AND(Append1[[#This Row],[weekday]]&gt;1,Append1[[#This Row],[weekday]]&lt;7),"working day","weekend"))</f>
        <v>working day</v>
      </c>
      <c r="P915" s="4" t="str">
        <f>IF(Append1[[#This Row],[weathersit]]=0,"sunny",IF(Append1[[#This Row],[weathersit]]=1,"mist",IF(Append1[[#This Row],[weathersit]]=2,"lightrain","extremerain")))</f>
        <v>mist</v>
      </c>
    </row>
    <row r="916" spans="1:16" x14ac:dyDescent="0.25">
      <c r="A916" s="4">
        <v>914</v>
      </c>
      <c r="B916" s="4">
        <v>0.18179999999999999</v>
      </c>
      <c r="C916" s="4">
        <v>0.27</v>
      </c>
      <c r="D916" s="4">
        <v>0.28360000000000002</v>
      </c>
      <c r="E916" s="4">
        <v>6</v>
      </c>
      <c r="F916" s="4">
        <v>42</v>
      </c>
      <c r="G916" s="4">
        <v>48</v>
      </c>
      <c r="H916" s="5">
        <v>40584</v>
      </c>
      <c r="I916" s="4">
        <v>1</v>
      </c>
      <c r="J916" s="4">
        <v>14</v>
      </c>
      <c r="K916" s="4" t="b">
        <f>IF(Append1[[#This Row],[days]]="working day",FALSE,TRUE)</f>
        <v>0</v>
      </c>
      <c r="L916" s="4">
        <v>4</v>
      </c>
      <c r="M916" s="4">
        <v>1</v>
      </c>
      <c r="N916" s="6">
        <v>0.2</v>
      </c>
      <c r="O916" s="2" t="str">
        <f>IF(Append1[[#This Row],[weekday]]=0,"holiday",IF(AND(Append1[[#This Row],[weekday]]&gt;1,Append1[[#This Row],[weekday]]&lt;7),"working day","weekend"))</f>
        <v>working day</v>
      </c>
      <c r="P916" s="4" t="str">
        <f>IF(Append1[[#This Row],[weathersit]]=0,"sunny",IF(Append1[[#This Row],[weathersit]]=1,"mist",IF(Append1[[#This Row],[weathersit]]=2,"lightrain","extremerain")))</f>
        <v>mist</v>
      </c>
    </row>
    <row r="917" spans="1:16" x14ac:dyDescent="0.25">
      <c r="A917" s="4">
        <v>915</v>
      </c>
      <c r="B917" s="4">
        <v>0.19700000000000001</v>
      </c>
      <c r="C917" s="4">
        <v>0.25</v>
      </c>
      <c r="D917" s="4">
        <v>0.25369999999999998</v>
      </c>
      <c r="E917" s="4">
        <v>0</v>
      </c>
      <c r="F917" s="4">
        <v>50</v>
      </c>
      <c r="G917" s="4">
        <v>50</v>
      </c>
      <c r="H917" s="5">
        <v>40584</v>
      </c>
      <c r="I917" s="4">
        <v>1</v>
      </c>
      <c r="J917" s="4">
        <v>15</v>
      </c>
      <c r="K917" s="4" t="b">
        <f>IF(Append1[[#This Row],[days]]="working day",FALSE,TRUE)</f>
        <v>0</v>
      </c>
      <c r="L917" s="4">
        <v>4</v>
      </c>
      <c r="M917" s="4">
        <v>1</v>
      </c>
      <c r="N917" s="6">
        <v>0.2</v>
      </c>
      <c r="O917" s="2" t="str">
        <f>IF(Append1[[#This Row],[weekday]]=0,"holiday",IF(AND(Append1[[#This Row],[weekday]]&gt;1,Append1[[#This Row],[weekday]]&lt;7),"working day","weekend"))</f>
        <v>working day</v>
      </c>
      <c r="P917" s="4" t="str">
        <f>IF(Append1[[#This Row],[weathersit]]=0,"sunny",IF(Append1[[#This Row],[weathersit]]=1,"mist",IF(Append1[[#This Row],[weathersit]]=2,"lightrain","extremerain")))</f>
        <v>mist</v>
      </c>
    </row>
    <row r="918" spans="1:16" x14ac:dyDescent="0.25">
      <c r="A918" s="4">
        <v>916</v>
      </c>
      <c r="B918" s="4">
        <v>0.18179999999999999</v>
      </c>
      <c r="C918" s="4">
        <v>0.27</v>
      </c>
      <c r="D918" s="4">
        <v>0.29849999999999999</v>
      </c>
      <c r="E918" s="4">
        <v>4</v>
      </c>
      <c r="F918" s="4">
        <v>76</v>
      </c>
      <c r="G918" s="4">
        <v>80</v>
      </c>
      <c r="H918" s="5">
        <v>40584</v>
      </c>
      <c r="I918" s="4">
        <v>1</v>
      </c>
      <c r="J918" s="4">
        <v>16</v>
      </c>
      <c r="K918" s="4" t="b">
        <f>IF(Append1[[#This Row],[days]]="working day",FALSE,TRUE)</f>
        <v>0</v>
      </c>
      <c r="L918" s="4">
        <v>4</v>
      </c>
      <c r="M918" s="4">
        <v>1</v>
      </c>
      <c r="N918" s="6">
        <v>0.2</v>
      </c>
      <c r="O918" s="2" t="str">
        <f>IF(Append1[[#This Row],[weekday]]=0,"holiday",IF(AND(Append1[[#This Row],[weekday]]&gt;1,Append1[[#This Row],[weekday]]&lt;7),"working day","weekend"))</f>
        <v>working day</v>
      </c>
      <c r="P918" s="4" t="str">
        <f>IF(Append1[[#This Row],[weathersit]]=0,"sunny",IF(Append1[[#This Row],[weathersit]]=1,"mist",IF(Append1[[#This Row],[weathersit]]=2,"lightrain","extremerain")))</f>
        <v>mist</v>
      </c>
    </row>
    <row r="919" spans="1:16" x14ac:dyDescent="0.25">
      <c r="A919" s="4">
        <v>917</v>
      </c>
      <c r="B919" s="4">
        <v>0.18179999999999999</v>
      </c>
      <c r="C919" s="4">
        <v>0.26</v>
      </c>
      <c r="D919" s="4">
        <v>0.19400000000000001</v>
      </c>
      <c r="E919" s="4">
        <v>6</v>
      </c>
      <c r="F919" s="4">
        <v>159</v>
      </c>
      <c r="G919" s="4">
        <v>165</v>
      </c>
      <c r="H919" s="5">
        <v>40584</v>
      </c>
      <c r="I919" s="4">
        <v>1</v>
      </c>
      <c r="J919" s="4">
        <v>17</v>
      </c>
      <c r="K919" s="4" t="b">
        <f>IF(Append1[[#This Row],[days]]="working day",FALSE,TRUE)</f>
        <v>0</v>
      </c>
      <c r="L919" s="4">
        <v>4</v>
      </c>
      <c r="M919" s="4">
        <v>1</v>
      </c>
      <c r="N919" s="6">
        <v>0.18</v>
      </c>
      <c r="O919" s="2" t="str">
        <f>IF(Append1[[#This Row],[weekday]]=0,"holiday",IF(AND(Append1[[#This Row],[weekday]]&gt;1,Append1[[#This Row],[weekday]]&lt;7),"working day","weekend"))</f>
        <v>working day</v>
      </c>
      <c r="P919" s="4" t="str">
        <f>IF(Append1[[#This Row],[weathersit]]=0,"sunny",IF(Append1[[#This Row],[weathersit]]=1,"mist",IF(Append1[[#This Row],[weathersit]]=2,"lightrain","extremerain")))</f>
        <v>mist</v>
      </c>
    </row>
    <row r="920" spans="1:16" x14ac:dyDescent="0.25">
      <c r="A920" s="4">
        <v>918</v>
      </c>
      <c r="B920" s="4">
        <v>0.18179999999999999</v>
      </c>
      <c r="C920" s="4">
        <v>0.28000000000000003</v>
      </c>
      <c r="D920" s="4">
        <v>0.1343</v>
      </c>
      <c r="E920" s="4">
        <v>3</v>
      </c>
      <c r="F920" s="4">
        <v>157</v>
      </c>
      <c r="G920" s="4">
        <v>160</v>
      </c>
      <c r="H920" s="5">
        <v>40584</v>
      </c>
      <c r="I920" s="4">
        <v>1</v>
      </c>
      <c r="J920" s="4">
        <v>18</v>
      </c>
      <c r="K920" s="4" t="b">
        <f>IF(Append1[[#This Row],[days]]="working day",FALSE,TRUE)</f>
        <v>0</v>
      </c>
      <c r="L920" s="4">
        <v>4</v>
      </c>
      <c r="M920" s="4">
        <v>1</v>
      </c>
      <c r="N920" s="6">
        <v>0.16</v>
      </c>
      <c r="O920" s="2" t="str">
        <f>IF(Append1[[#This Row],[weekday]]=0,"holiday",IF(AND(Append1[[#This Row],[weekday]]&gt;1,Append1[[#This Row],[weekday]]&lt;7),"working day","weekend"))</f>
        <v>working day</v>
      </c>
      <c r="P920" s="4" t="str">
        <f>IF(Append1[[#This Row],[weathersit]]=0,"sunny",IF(Append1[[#This Row],[weathersit]]=1,"mist",IF(Append1[[#This Row],[weathersit]]=2,"lightrain","extremerain")))</f>
        <v>mist</v>
      </c>
    </row>
    <row r="921" spans="1:16" x14ac:dyDescent="0.25">
      <c r="A921" s="4">
        <v>919</v>
      </c>
      <c r="B921" s="4">
        <v>0.16669999999999999</v>
      </c>
      <c r="C921" s="4">
        <v>0.28000000000000003</v>
      </c>
      <c r="D921" s="4">
        <v>0.1045</v>
      </c>
      <c r="E921" s="4">
        <v>2</v>
      </c>
      <c r="F921" s="4">
        <v>110</v>
      </c>
      <c r="G921" s="4">
        <v>112</v>
      </c>
      <c r="H921" s="5">
        <v>40584</v>
      </c>
      <c r="I921" s="4">
        <v>1</v>
      </c>
      <c r="J921" s="4">
        <v>19</v>
      </c>
      <c r="K921" s="4" t="b">
        <f>IF(Append1[[#This Row],[days]]="working day",FALSE,TRUE)</f>
        <v>0</v>
      </c>
      <c r="L921" s="4">
        <v>4</v>
      </c>
      <c r="M921" s="4">
        <v>1</v>
      </c>
      <c r="N921" s="6">
        <v>0.14000000000000001</v>
      </c>
      <c r="O921" s="2" t="str">
        <f>IF(Append1[[#This Row],[weekday]]=0,"holiday",IF(AND(Append1[[#This Row],[weekday]]&gt;1,Append1[[#This Row],[weekday]]&lt;7),"working day","weekend"))</f>
        <v>working day</v>
      </c>
      <c r="P921" s="4" t="str">
        <f>IF(Append1[[#This Row],[weathersit]]=0,"sunny",IF(Append1[[#This Row],[weathersit]]=1,"mist",IF(Append1[[#This Row],[weathersit]]=2,"lightrain","extremerain")))</f>
        <v>mist</v>
      </c>
    </row>
    <row r="922" spans="1:16" x14ac:dyDescent="0.25">
      <c r="A922" s="4">
        <v>920</v>
      </c>
      <c r="B922" s="4">
        <v>0.18179999999999999</v>
      </c>
      <c r="C922" s="4">
        <v>0.31</v>
      </c>
      <c r="D922" s="4">
        <v>8.9599999999999999E-2</v>
      </c>
      <c r="E922" s="4">
        <v>4</v>
      </c>
      <c r="F922" s="4">
        <v>93</v>
      </c>
      <c r="G922" s="4">
        <v>97</v>
      </c>
      <c r="H922" s="5">
        <v>40584</v>
      </c>
      <c r="I922" s="4">
        <v>1</v>
      </c>
      <c r="J922" s="4">
        <v>20</v>
      </c>
      <c r="K922" s="4" t="b">
        <f>IF(Append1[[#This Row],[days]]="working day",FALSE,TRUE)</f>
        <v>0</v>
      </c>
      <c r="L922" s="4">
        <v>4</v>
      </c>
      <c r="M922" s="4">
        <v>1</v>
      </c>
      <c r="N922" s="6">
        <v>0.14000000000000001</v>
      </c>
      <c r="O922" s="2" t="str">
        <f>IF(Append1[[#This Row],[weekday]]=0,"holiday",IF(AND(Append1[[#This Row],[weekday]]&gt;1,Append1[[#This Row],[weekday]]&lt;7),"working day","weekend"))</f>
        <v>working day</v>
      </c>
      <c r="P922" s="4" t="str">
        <f>IF(Append1[[#This Row],[weathersit]]=0,"sunny",IF(Append1[[#This Row],[weathersit]]=1,"mist",IF(Append1[[#This Row],[weathersit]]=2,"lightrain","extremerain")))</f>
        <v>mist</v>
      </c>
    </row>
    <row r="923" spans="1:16" x14ac:dyDescent="0.25">
      <c r="A923" s="4">
        <v>921</v>
      </c>
      <c r="B923" s="4">
        <v>0.21210000000000001</v>
      </c>
      <c r="C923" s="4">
        <v>0.39</v>
      </c>
      <c r="D923" s="4">
        <v>0</v>
      </c>
      <c r="E923" s="4">
        <v>2</v>
      </c>
      <c r="F923" s="4">
        <v>70</v>
      </c>
      <c r="G923" s="4">
        <v>72</v>
      </c>
      <c r="H923" s="5">
        <v>40584</v>
      </c>
      <c r="I923" s="4">
        <v>1</v>
      </c>
      <c r="J923" s="4">
        <v>21</v>
      </c>
      <c r="K923" s="4" t="b">
        <f>IF(Append1[[#This Row],[days]]="working day",FALSE,TRUE)</f>
        <v>0</v>
      </c>
      <c r="L923" s="4">
        <v>4</v>
      </c>
      <c r="M923" s="4">
        <v>1</v>
      </c>
      <c r="N923" s="6">
        <v>0.14000000000000001</v>
      </c>
      <c r="O923" s="2" t="str">
        <f>IF(Append1[[#This Row],[weekday]]=0,"holiday",IF(AND(Append1[[#This Row],[weekday]]&gt;1,Append1[[#This Row],[weekday]]&lt;7),"working day","weekend"))</f>
        <v>working day</v>
      </c>
      <c r="P923" s="4" t="str">
        <f>IF(Append1[[#This Row],[weathersit]]=0,"sunny",IF(Append1[[#This Row],[weathersit]]=1,"mist",IF(Append1[[#This Row],[weathersit]]=2,"lightrain","extremerain")))</f>
        <v>mist</v>
      </c>
    </row>
    <row r="924" spans="1:16" x14ac:dyDescent="0.25">
      <c r="A924" s="4">
        <v>922</v>
      </c>
      <c r="B924" s="4">
        <v>0.19700000000000001</v>
      </c>
      <c r="C924" s="4">
        <v>0.39</v>
      </c>
      <c r="D924" s="4">
        <v>0</v>
      </c>
      <c r="E924" s="4">
        <v>4</v>
      </c>
      <c r="F924" s="4">
        <v>47</v>
      </c>
      <c r="G924" s="4">
        <v>51</v>
      </c>
      <c r="H924" s="5">
        <v>40584</v>
      </c>
      <c r="I924" s="4">
        <v>1</v>
      </c>
      <c r="J924" s="4">
        <v>22</v>
      </c>
      <c r="K924" s="4" t="b">
        <f>IF(Append1[[#This Row],[days]]="working day",FALSE,TRUE)</f>
        <v>0</v>
      </c>
      <c r="L924" s="4">
        <v>4</v>
      </c>
      <c r="M924" s="4">
        <v>1</v>
      </c>
      <c r="N924" s="6">
        <v>0.12</v>
      </c>
      <c r="O924" s="2" t="str">
        <f>IF(Append1[[#This Row],[weekday]]=0,"holiday",IF(AND(Append1[[#This Row],[weekday]]&gt;1,Append1[[#This Row],[weekday]]&lt;7),"working day","weekend"))</f>
        <v>working day</v>
      </c>
      <c r="P924" s="4" t="str">
        <f>IF(Append1[[#This Row],[weathersit]]=0,"sunny",IF(Append1[[#This Row],[weathersit]]=1,"mist",IF(Append1[[#This Row],[weathersit]]=2,"lightrain","extremerain")))</f>
        <v>mist</v>
      </c>
    </row>
    <row r="925" spans="1:16" x14ac:dyDescent="0.25">
      <c r="A925" s="4">
        <v>923</v>
      </c>
      <c r="B925" s="4">
        <v>0.1515</v>
      </c>
      <c r="C925" s="4">
        <v>0.42</v>
      </c>
      <c r="D925" s="4">
        <v>0.1045</v>
      </c>
      <c r="E925" s="4">
        <v>1</v>
      </c>
      <c r="F925" s="4">
        <v>33</v>
      </c>
      <c r="G925" s="4">
        <v>34</v>
      </c>
      <c r="H925" s="5">
        <v>40584</v>
      </c>
      <c r="I925" s="4">
        <v>1</v>
      </c>
      <c r="J925" s="4">
        <v>23</v>
      </c>
      <c r="K925" s="4" t="b">
        <f>IF(Append1[[#This Row],[days]]="working day",FALSE,TRUE)</f>
        <v>0</v>
      </c>
      <c r="L925" s="4">
        <v>4</v>
      </c>
      <c r="M925" s="4">
        <v>1</v>
      </c>
      <c r="N925" s="6">
        <v>0.12</v>
      </c>
      <c r="O925" s="2" t="str">
        <f>IF(Append1[[#This Row],[weekday]]=0,"holiday",IF(AND(Append1[[#This Row],[weekday]]&gt;1,Append1[[#This Row],[weekday]]&lt;7),"working day","weekend"))</f>
        <v>working day</v>
      </c>
      <c r="P925" s="4" t="str">
        <f>IF(Append1[[#This Row],[weathersit]]=0,"sunny",IF(Append1[[#This Row],[weathersit]]=1,"mist",IF(Append1[[#This Row],[weathersit]]=2,"lightrain","extremerain")))</f>
        <v>mist</v>
      </c>
    </row>
    <row r="926" spans="1:16" x14ac:dyDescent="0.25">
      <c r="A926" s="4">
        <v>924</v>
      </c>
      <c r="B926" s="4">
        <v>0.13639999999999999</v>
      </c>
      <c r="C926" s="4">
        <v>0.49</v>
      </c>
      <c r="D926" s="4">
        <v>0.1045</v>
      </c>
      <c r="E926" s="4">
        <v>2</v>
      </c>
      <c r="F926" s="4">
        <v>12</v>
      </c>
      <c r="G926" s="4">
        <v>14</v>
      </c>
      <c r="H926" s="5">
        <v>40585</v>
      </c>
      <c r="I926" s="4">
        <v>1</v>
      </c>
      <c r="J926" s="4">
        <v>0</v>
      </c>
      <c r="K926" s="4" t="b">
        <f>IF(Append1[[#This Row],[days]]="working day",FALSE,TRUE)</f>
        <v>0</v>
      </c>
      <c r="L926" s="4">
        <v>5</v>
      </c>
      <c r="M926" s="4">
        <v>1</v>
      </c>
      <c r="N926" s="6">
        <v>0.1</v>
      </c>
      <c r="O926" s="2" t="str">
        <f>IF(Append1[[#This Row],[weekday]]=0,"holiday",IF(AND(Append1[[#This Row],[weekday]]&gt;1,Append1[[#This Row],[weekday]]&lt;7),"working day","weekend"))</f>
        <v>working day</v>
      </c>
      <c r="P926" s="4" t="str">
        <f>IF(Append1[[#This Row],[weathersit]]=0,"sunny",IF(Append1[[#This Row],[weathersit]]=1,"mist",IF(Append1[[#This Row],[weathersit]]=2,"lightrain","extremerain")))</f>
        <v>mist</v>
      </c>
    </row>
    <row r="927" spans="1:16" x14ac:dyDescent="0.25">
      <c r="A927" s="4">
        <v>925</v>
      </c>
      <c r="B927" s="4">
        <v>0.13639999999999999</v>
      </c>
      <c r="C927" s="4">
        <v>0.54</v>
      </c>
      <c r="D927" s="4">
        <v>8.9599999999999999E-2</v>
      </c>
      <c r="E927" s="4">
        <v>1</v>
      </c>
      <c r="F927" s="4">
        <v>6</v>
      </c>
      <c r="G927" s="4">
        <v>7</v>
      </c>
      <c r="H927" s="5">
        <v>40585</v>
      </c>
      <c r="I927" s="4">
        <v>1</v>
      </c>
      <c r="J927" s="4">
        <v>1</v>
      </c>
      <c r="K927" s="4" t="b">
        <f>IF(Append1[[#This Row],[days]]="working day",FALSE,TRUE)</f>
        <v>0</v>
      </c>
      <c r="L927" s="4">
        <v>5</v>
      </c>
      <c r="M927" s="4">
        <v>1</v>
      </c>
      <c r="N927" s="6">
        <v>0.1</v>
      </c>
      <c r="O927" s="2" t="str">
        <f>IF(Append1[[#This Row],[weekday]]=0,"holiday",IF(AND(Append1[[#This Row],[weekday]]&gt;1,Append1[[#This Row],[weekday]]&lt;7),"working day","weekend"))</f>
        <v>working day</v>
      </c>
      <c r="P927" s="4" t="str">
        <f>IF(Append1[[#This Row],[weathersit]]=0,"sunny",IF(Append1[[#This Row],[weathersit]]=1,"mist",IF(Append1[[#This Row],[weathersit]]=2,"lightrain","extremerain")))</f>
        <v>mist</v>
      </c>
    </row>
    <row r="928" spans="1:16" x14ac:dyDescent="0.25">
      <c r="A928" s="4">
        <v>926</v>
      </c>
      <c r="B928" s="4">
        <v>0.13639999999999999</v>
      </c>
      <c r="C928" s="4">
        <v>0.54</v>
      </c>
      <c r="D928" s="4">
        <v>8.9599999999999999E-2</v>
      </c>
      <c r="E928" s="4">
        <v>0</v>
      </c>
      <c r="F928" s="4">
        <v>3</v>
      </c>
      <c r="G928" s="4">
        <v>3</v>
      </c>
      <c r="H928" s="5">
        <v>40585</v>
      </c>
      <c r="I928" s="4">
        <v>1</v>
      </c>
      <c r="J928" s="4">
        <v>2</v>
      </c>
      <c r="K928" s="4" t="b">
        <f>IF(Append1[[#This Row],[days]]="working day",FALSE,TRUE)</f>
        <v>0</v>
      </c>
      <c r="L928" s="4">
        <v>5</v>
      </c>
      <c r="M928" s="4">
        <v>1</v>
      </c>
      <c r="N928" s="6">
        <v>0.1</v>
      </c>
      <c r="O928" s="2" t="str">
        <f>IF(Append1[[#This Row],[weekday]]=0,"holiday",IF(AND(Append1[[#This Row],[weekday]]&gt;1,Append1[[#This Row],[weekday]]&lt;7),"working day","weekend"))</f>
        <v>working day</v>
      </c>
      <c r="P928" s="4" t="str">
        <f>IF(Append1[[#This Row],[weathersit]]=0,"sunny",IF(Append1[[#This Row],[weathersit]]=1,"mist",IF(Append1[[#This Row],[weathersit]]=2,"lightrain","extremerain")))</f>
        <v>mist</v>
      </c>
    </row>
    <row r="929" spans="1:16" x14ac:dyDescent="0.25">
      <c r="A929" s="4">
        <v>927</v>
      </c>
      <c r="B929" s="4">
        <v>0.1212</v>
      </c>
      <c r="C929" s="4">
        <v>0.63</v>
      </c>
      <c r="D929" s="4">
        <v>8.9599999999999999E-2</v>
      </c>
      <c r="E929" s="4">
        <v>0</v>
      </c>
      <c r="F929" s="4">
        <v>4</v>
      </c>
      <c r="G929" s="4">
        <v>4</v>
      </c>
      <c r="H929" s="5">
        <v>40585</v>
      </c>
      <c r="I929" s="4">
        <v>1</v>
      </c>
      <c r="J929" s="4">
        <v>5</v>
      </c>
      <c r="K929" s="4" t="b">
        <f>IF(Append1[[#This Row],[days]]="working day",FALSE,TRUE)</f>
        <v>0</v>
      </c>
      <c r="L929" s="4">
        <v>5</v>
      </c>
      <c r="M929" s="4">
        <v>1</v>
      </c>
      <c r="N929" s="6">
        <v>0.08</v>
      </c>
      <c r="O929" s="2" t="str">
        <f>IF(Append1[[#This Row],[weekday]]=0,"holiday",IF(AND(Append1[[#This Row],[weekday]]&gt;1,Append1[[#This Row],[weekday]]&lt;7),"working day","weekend"))</f>
        <v>working day</v>
      </c>
      <c r="P929" s="4" t="str">
        <f>IF(Append1[[#This Row],[weathersit]]=0,"sunny",IF(Append1[[#This Row],[weathersit]]=1,"mist",IF(Append1[[#This Row],[weathersit]]=2,"lightrain","extremerain")))</f>
        <v>mist</v>
      </c>
    </row>
    <row r="930" spans="1:16" x14ac:dyDescent="0.25">
      <c r="A930" s="4">
        <v>928</v>
      </c>
      <c r="B930" s="4">
        <v>0.18179999999999999</v>
      </c>
      <c r="C930" s="4">
        <v>0.68</v>
      </c>
      <c r="D930" s="4">
        <v>0</v>
      </c>
      <c r="E930" s="4">
        <v>1</v>
      </c>
      <c r="F930" s="4">
        <v>23</v>
      </c>
      <c r="G930" s="4">
        <v>24</v>
      </c>
      <c r="H930" s="5">
        <v>40585</v>
      </c>
      <c r="I930" s="4">
        <v>1</v>
      </c>
      <c r="J930" s="4">
        <v>6</v>
      </c>
      <c r="K930" s="4" t="b">
        <f>IF(Append1[[#This Row],[days]]="working day",FALSE,TRUE)</f>
        <v>0</v>
      </c>
      <c r="L930" s="4">
        <v>5</v>
      </c>
      <c r="M930" s="4">
        <v>1</v>
      </c>
      <c r="N930" s="6">
        <v>0.1</v>
      </c>
      <c r="O930" s="2" t="str">
        <f>IF(Append1[[#This Row],[weekday]]=0,"holiday",IF(AND(Append1[[#This Row],[weekday]]&gt;1,Append1[[#This Row],[weekday]]&lt;7),"working day","weekend"))</f>
        <v>working day</v>
      </c>
      <c r="P930" s="4" t="str">
        <f>IF(Append1[[#This Row],[weathersit]]=0,"sunny",IF(Append1[[#This Row],[weathersit]]=1,"mist",IF(Append1[[#This Row],[weathersit]]=2,"lightrain","extremerain")))</f>
        <v>mist</v>
      </c>
    </row>
    <row r="931" spans="1:16" x14ac:dyDescent="0.25">
      <c r="A931" s="4">
        <v>929</v>
      </c>
      <c r="B931" s="4">
        <v>0.16669999999999999</v>
      </c>
      <c r="C931" s="4">
        <v>0.73</v>
      </c>
      <c r="D931" s="4">
        <v>0</v>
      </c>
      <c r="E931" s="4">
        <v>1</v>
      </c>
      <c r="F931" s="4">
        <v>73</v>
      </c>
      <c r="G931" s="4">
        <v>74</v>
      </c>
      <c r="H931" s="5">
        <v>40585</v>
      </c>
      <c r="I931" s="4">
        <v>1</v>
      </c>
      <c r="J931" s="4">
        <v>7</v>
      </c>
      <c r="K931" s="4" t="b">
        <f>IF(Append1[[#This Row],[days]]="working day",FALSE,TRUE)</f>
        <v>0</v>
      </c>
      <c r="L931" s="4">
        <v>5</v>
      </c>
      <c r="M931" s="4">
        <v>1</v>
      </c>
      <c r="N931" s="6">
        <v>0.08</v>
      </c>
      <c r="O931" s="2" t="str">
        <f>IF(Append1[[#This Row],[weekday]]=0,"holiday",IF(AND(Append1[[#This Row],[weekday]]&gt;1,Append1[[#This Row],[weekday]]&lt;7),"working day","weekend"))</f>
        <v>working day</v>
      </c>
      <c r="P931" s="4" t="str">
        <f>IF(Append1[[#This Row],[weathersit]]=0,"sunny",IF(Append1[[#This Row],[weathersit]]=1,"mist",IF(Append1[[#This Row],[weathersit]]=2,"lightrain","extremerain")))</f>
        <v>mist</v>
      </c>
    </row>
    <row r="932" spans="1:16" x14ac:dyDescent="0.25">
      <c r="A932" s="4">
        <v>930</v>
      </c>
      <c r="B932" s="4">
        <v>0.1212</v>
      </c>
      <c r="C932" s="4">
        <v>0.74</v>
      </c>
      <c r="D932" s="4">
        <v>0.16420000000000001</v>
      </c>
      <c r="E932" s="4">
        <v>4</v>
      </c>
      <c r="F932" s="4">
        <v>212</v>
      </c>
      <c r="G932" s="4">
        <v>216</v>
      </c>
      <c r="H932" s="5">
        <v>40585</v>
      </c>
      <c r="I932" s="4">
        <v>1</v>
      </c>
      <c r="J932" s="4">
        <v>8</v>
      </c>
      <c r="K932" s="4" t="b">
        <f>IF(Append1[[#This Row],[days]]="working day",FALSE,TRUE)</f>
        <v>0</v>
      </c>
      <c r="L932" s="4">
        <v>5</v>
      </c>
      <c r="M932" s="4">
        <v>1</v>
      </c>
      <c r="N932" s="6">
        <v>0.1</v>
      </c>
      <c r="O932" s="2" t="str">
        <f>IF(Append1[[#This Row],[weekday]]=0,"holiday",IF(AND(Append1[[#This Row],[weekday]]&gt;1,Append1[[#This Row],[weekday]]&lt;7),"working day","weekend"))</f>
        <v>working day</v>
      </c>
      <c r="P932" s="4" t="str">
        <f>IF(Append1[[#This Row],[weathersit]]=0,"sunny",IF(Append1[[#This Row],[weathersit]]=1,"mist",IF(Append1[[#This Row],[weathersit]]=2,"lightrain","extremerain")))</f>
        <v>mist</v>
      </c>
    </row>
    <row r="933" spans="1:16" x14ac:dyDescent="0.25">
      <c r="A933" s="4">
        <v>931</v>
      </c>
      <c r="B933" s="4">
        <v>0.1212</v>
      </c>
      <c r="C933" s="4">
        <v>0.74</v>
      </c>
      <c r="D933" s="4">
        <v>0.22389999999999999</v>
      </c>
      <c r="E933" s="4">
        <v>8</v>
      </c>
      <c r="F933" s="4">
        <v>132</v>
      </c>
      <c r="G933" s="4">
        <v>140</v>
      </c>
      <c r="H933" s="5">
        <v>40585</v>
      </c>
      <c r="I933" s="4">
        <v>1</v>
      </c>
      <c r="J933" s="4">
        <v>9</v>
      </c>
      <c r="K933" s="4" t="b">
        <f>IF(Append1[[#This Row],[days]]="working day",FALSE,TRUE)</f>
        <v>0</v>
      </c>
      <c r="L933" s="4">
        <v>5</v>
      </c>
      <c r="M933" s="4">
        <v>1</v>
      </c>
      <c r="N933" s="6">
        <v>0.12</v>
      </c>
      <c r="O933" s="2" t="str">
        <f>IF(Append1[[#This Row],[weekday]]=0,"holiday",IF(AND(Append1[[#This Row],[weekday]]&gt;1,Append1[[#This Row],[weekday]]&lt;7),"working day","weekend"))</f>
        <v>working day</v>
      </c>
      <c r="P933" s="4" t="str">
        <f>IF(Append1[[#This Row],[weathersit]]=0,"sunny",IF(Append1[[#This Row],[weathersit]]=1,"mist",IF(Append1[[#This Row],[weathersit]]=2,"lightrain","extremerain")))</f>
        <v>mist</v>
      </c>
    </row>
    <row r="934" spans="1:16" x14ac:dyDescent="0.25">
      <c r="A934" s="4">
        <v>932</v>
      </c>
      <c r="B934" s="4">
        <v>0.13639999999999999</v>
      </c>
      <c r="C934" s="4">
        <v>0.69</v>
      </c>
      <c r="D934" s="4">
        <v>0.19400000000000001</v>
      </c>
      <c r="E934" s="4">
        <v>5</v>
      </c>
      <c r="F934" s="4">
        <v>39</v>
      </c>
      <c r="G934" s="4">
        <v>44</v>
      </c>
      <c r="H934" s="5">
        <v>40585</v>
      </c>
      <c r="I934" s="4">
        <v>1</v>
      </c>
      <c r="J934" s="4">
        <v>10</v>
      </c>
      <c r="K934" s="4" t="b">
        <f>IF(Append1[[#This Row],[days]]="working day",FALSE,TRUE)</f>
        <v>0</v>
      </c>
      <c r="L934" s="4">
        <v>5</v>
      </c>
      <c r="M934" s="4">
        <v>1</v>
      </c>
      <c r="N934" s="6">
        <v>0.14000000000000001</v>
      </c>
      <c r="O934" s="2" t="str">
        <f>IF(Append1[[#This Row],[weekday]]=0,"holiday",IF(AND(Append1[[#This Row],[weekday]]&gt;1,Append1[[#This Row],[weekday]]&lt;7),"working day","weekend"))</f>
        <v>working day</v>
      </c>
      <c r="P934" s="4" t="str">
        <f>IF(Append1[[#This Row],[weathersit]]=0,"sunny",IF(Append1[[#This Row],[weathersit]]=1,"mist",IF(Append1[[#This Row],[weathersit]]=2,"lightrain","extremerain")))</f>
        <v>mist</v>
      </c>
    </row>
    <row r="935" spans="1:16" x14ac:dyDescent="0.25">
      <c r="A935" s="4">
        <v>933</v>
      </c>
      <c r="B935" s="4">
        <v>0.2273</v>
      </c>
      <c r="C935" s="4">
        <v>0.47</v>
      </c>
      <c r="D935" s="4">
        <v>0.1343</v>
      </c>
      <c r="E935" s="4">
        <v>12</v>
      </c>
      <c r="F935" s="4">
        <v>52</v>
      </c>
      <c r="G935" s="4">
        <v>64</v>
      </c>
      <c r="H935" s="5">
        <v>40585</v>
      </c>
      <c r="I935" s="4">
        <v>1</v>
      </c>
      <c r="J935" s="4">
        <v>11</v>
      </c>
      <c r="K935" s="4" t="b">
        <f>IF(Append1[[#This Row],[days]]="working day",FALSE,TRUE)</f>
        <v>0</v>
      </c>
      <c r="L935" s="4">
        <v>5</v>
      </c>
      <c r="M935" s="4">
        <v>1</v>
      </c>
      <c r="N935" s="6">
        <v>0.22</v>
      </c>
      <c r="O935" s="2" t="str">
        <f>IF(Append1[[#This Row],[weekday]]=0,"holiday",IF(AND(Append1[[#This Row],[weekday]]&gt;1,Append1[[#This Row],[weekday]]&lt;7),"working day","weekend"))</f>
        <v>working day</v>
      </c>
      <c r="P935" s="4" t="str">
        <f>IF(Append1[[#This Row],[weathersit]]=0,"sunny",IF(Append1[[#This Row],[weathersit]]=1,"mist",IF(Append1[[#This Row],[weathersit]]=2,"lightrain","extremerain")))</f>
        <v>mist</v>
      </c>
    </row>
    <row r="936" spans="1:16" x14ac:dyDescent="0.25">
      <c r="A936" s="4">
        <v>934</v>
      </c>
      <c r="B936" s="4">
        <v>0.2273</v>
      </c>
      <c r="C936" s="4">
        <v>0.47</v>
      </c>
      <c r="D936" s="4">
        <v>0.1343</v>
      </c>
      <c r="E936" s="4">
        <v>7</v>
      </c>
      <c r="F936" s="4">
        <v>64</v>
      </c>
      <c r="G936" s="4">
        <v>71</v>
      </c>
      <c r="H936" s="5">
        <v>40585</v>
      </c>
      <c r="I936" s="4">
        <v>1</v>
      </c>
      <c r="J936" s="4">
        <v>12</v>
      </c>
      <c r="K936" s="4" t="b">
        <f>IF(Append1[[#This Row],[days]]="working day",FALSE,TRUE)</f>
        <v>0</v>
      </c>
      <c r="L936" s="4">
        <v>5</v>
      </c>
      <c r="M936" s="4">
        <v>1</v>
      </c>
      <c r="N936" s="6">
        <v>0.22</v>
      </c>
      <c r="O936" s="2" t="str">
        <f>IF(Append1[[#This Row],[weekday]]=0,"holiday",IF(AND(Append1[[#This Row],[weekday]]&gt;1,Append1[[#This Row],[weekday]]&lt;7),"working day","weekend"))</f>
        <v>working day</v>
      </c>
      <c r="P936" s="4" t="str">
        <f>IF(Append1[[#This Row],[weathersit]]=0,"sunny",IF(Append1[[#This Row],[weathersit]]=1,"mist",IF(Append1[[#This Row],[weathersit]]=2,"lightrain","extremerain")))</f>
        <v>mist</v>
      </c>
    </row>
    <row r="937" spans="1:16" x14ac:dyDescent="0.25">
      <c r="A937" s="4">
        <v>935</v>
      </c>
      <c r="B937" s="4">
        <v>0.2273</v>
      </c>
      <c r="C937" s="4">
        <v>0.35</v>
      </c>
      <c r="D937" s="4">
        <v>0.19400000000000001</v>
      </c>
      <c r="E937" s="4">
        <v>21</v>
      </c>
      <c r="F937" s="4">
        <v>89</v>
      </c>
      <c r="G937" s="4">
        <v>110</v>
      </c>
      <c r="H937" s="5">
        <v>40585</v>
      </c>
      <c r="I937" s="4">
        <v>1</v>
      </c>
      <c r="J937" s="4">
        <v>13</v>
      </c>
      <c r="K937" s="4" t="b">
        <f>IF(Append1[[#This Row],[days]]="working day",FALSE,TRUE)</f>
        <v>0</v>
      </c>
      <c r="L937" s="4">
        <v>5</v>
      </c>
      <c r="M937" s="4">
        <v>1</v>
      </c>
      <c r="N937" s="6">
        <v>0.24</v>
      </c>
      <c r="O937" s="2" t="str">
        <f>IF(Append1[[#This Row],[weekday]]=0,"holiday",IF(AND(Append1[[#This Row],[weekday]]&gt;1,Append1[[#This Row],[weekday]]&lt;7),"working day","weekend"))</f>
        <v>working day</v>
      </c>
      <c r="P937" s="4" t="str">
        <f>IF(Append1[[#This Row],[weathersit]]=0,"sunny",IF(Append1[[#This Row],[weathersit]]=1,"mist",IF(Append1[[#This Row],[weathersit]]=2,"lightrain","extremerain")))</f>
        <v>mist</v>
      </c>
    </row>
    <row r="938" spans="1:16" x14ac:dyDescent="0.25">
      <c r="A938" s="4">
        <v>936</v>
      </c>
      <c r="B938" s="4">
        <v>0.28789999999999999</v>
      </c>
      <c r="C938" s="4">
        <v>0.26</v>
      </c>
      <c r="D938" s="4">
        <v>0.25369999999999998</v>
      </c>
      <c r="E938" s="4">
        <v>17</v>
      </c>
      <c r="F938" s="4">
        <v>67</v>
      </c>
      <c r="G938" s="4">
        <v>84</v>
      </c>
      <c r="H938" s="5">
        <v>40585</v>
      </c>
      <c r="I938" s="4">
        <v>1</v>
      </c>
      <c r="J938" s="4">
        <v>14</v>
      </c>
      <c r="K938" s="4" t="b">
        <f>IF(Append1[[#This Row],[days]]="working day",FALSE,TRUE)</f>
        <v>0</v>
      </c>
      <c r="L938" s="4">
        <v>5</v>
      </c>
      <c r="M938" s="4">
        <v>1</v>
      </c>
      <c r="N938" s="6">
        <v>0.3</v>
      </c>
      <c r="O938" s="2" t="str">
        <f>IF(Append1[[#This Row],[weekday]]=0,"holiday",IF(AND(Append1[[#This Row],[weekday]]&gt;1,Append1[[#This Row],[weekday]]&lt;7),"working day","weekend"))</f>
        <v>working day</v>
      </c>
      <c r="P938" s="4" t="str">
        <f>IF(Append1[[#This Row],[weathersit]]=0,"sunny",IF(Append1[[#This Row],[weathersit]]=1,"mist",IF(Append1[[#This Row],[weathersit]]=2,"lightrain","extremerain")))</f>
        <v>mist</v>
      </c>
    </row>
    <row r="939" spans="1:16" x14ac:dyDescent="0.25">
      <c r="A939" s="4">
        <v>937</v>
      </c>
      <c r="B939" s="4">
        <v>0.31819999999999998</v>
      </c>
      <c r="C939" s="4">
        <v>0.21</v>
      </c>
      <c r="D939" s="4">
        <v>0.16420000000000001</v>
      </c>
      <c r="E939" s="4">
        <v>12</v>
      </c>
      <c r="F939" s="4">
        <v>62</v>
      </c>
      <c r="G939" s="4">
        <v>74</v>
      </c>
      <c r="H939" s="5">
        <v>40585</v>
      </c>
      <c r="I939" s="4">
        <v>1</v>
      </c>
      <c r="J939" s="4">
        <v>15</v>
      </c>
      <c r="K939" s="4" t="b">
        <f>IF(Append1[[#This Row],[days]]="working day",FALSE,TRUE)</f>
        <v>0</v>
      </c>
      <c r="L939" s="4">
        <v>5</v>
      </c>
      <c r="M939" s="4">
        <v>1</v>
      </c>
      <c r="N939" s="6">
        <v>0.32</v>
      </c>
      <c r="O939" s="2" t="str">
        <f>IF(Append1[[#This Row],[weekday]]=0,"holiday",IF(AND(Append1[[#This Row],[weekday]]&gt;1,Append1[[#This Row],[weekday]]&lt;7),"working day","weekend"))</f>
        <v>working day</v>
      </c>
      <c r="P939" s="4" t="str">
        <f>IF(Append1[[#This Row],[weathersit]]=0,"sunny",IF(Append1[[#This Row],[weathersit]]=1,"mist",IF(Append1[[#This Row],[weathersit]]=2,"lightrain","extremerain")))</f>
        <v>mist</v>
      </c>
    </row>
    <row r="940" spans="1:16" x14ac:dyDescent="0.25">
      <c r="A940" s="4">
        <v>938</v>
      </c>
      <c r="B940" s="4">
        <v>0.28789999999999999</v>
      </c>
      <c r="C940" s="4">
        <v>0.28000000000000003</v>
      </c>
      <c r="D940" s="4">
        <v>0.19400000000000001</v>
      </c>
      <c r="E940" s="4">
        <v>14</v>
      </c>
      <c r="F940" s="4">
        <v>111</v>
      </c>
      <c r="G940" s="4">
        <v>125</v>
      </c>
      <c r="H940" s="5">
        <v>40585</v>
      </c>
      <c r="I940" s="4">
        <v>1</v>
      </c>
      <c r="J940" s="4">
        <v>16</v>
      </c>
      <c r="K940" s="4" t="b">
        <f>IF(Append1[[#This Row],[days]]="working day",FALSE,TRUE)</f>
        <v>0</v>
      </c>
      <c r="L940" s="4">
        <v>5</v>
      </c>
      <c r="M940" s="4">
        <v>1</v>
      </c>
      <c r="N940" s="6">
        <v>0.3</v>
      </c>
      <c r="O940" s="2" t="str">
        <f>IF(Append1[[#This Row],[weekday]]=0,"holiday",IF(AND(Append1[[#This Row],[weekday]]&gt;1,Append1[[#This Row],[weekday]]&lt;7),"working day","weekend"))</f>
        <v>working day</v>
      </c>
      <c r="P940" s="4" t="str">
        <f>IF(Append1[[#This Row],[weathersit]]=0,"sunny",IF(Append1[[#This Row],[weathersit]]=1,"mist",IF(Append1[[#This Row],[weathersit]]=2,"lightrain","extremerain")))</f>
        <v>mist</v>
      </c>
    </row>
    <row r="941" spans="1:16" x14ac:dyDescent="0.25">
      <c r="A941" s="4">
        <v>939</v>
      </c>
      <c r="B941" s="4">
        <v>0.33329999999999999</v>
      </c>
      <c r="C941" s="4">
        <v>0.24</v>
      </c>
      <c r="D941" s="4">
        <v>0</v>
      </c>
      <c r="E941" s="4">
        <v>18</v>
      </c>
      <c r="F941" s="4">
        <v>193</v>
      </c>
      <c r="G941" s="4">
        <v>211</v>
      </c>
      <c r="H941" s="5">
        <v>40585</v>
      </c>
      <c r="I941" s="4">
        <v>1</v>
      </c>
      <c r="J941" s="4">
        <v>17</v>
      </c>
      <c r="K941" s="4" t="b">
        <f>IF(Append1[[#This Row],[days]]="working day",FALSE,TRUE)</f>
        <v>0</v>
      </c>
      <c r="L941" s="4">
        <v>5</v>
      </c>
      <c r="M941" s="4">
        <v>1</v>
      </c>
      <c r="N941" s="6">
        <v>0.3</v>
      </c>
      <c r="O941" s="2" t="str">
        <f>IF(Append1[[#This Row],[weekday]]=0,"holiday",IF(AND(Append1[[#This Row],[weekday]]&gt;1,Append1[[#This Row],[weekday]]&lt;7),"working day","weekend"))</f>
        <v>working day</v>
      </c>
      <c r="P941" s="4" t="str">
        <f>IF(Append1[[#This Row],[weathersit]]=0,"sunny",IF(Append1[[#This Row],[weathersit]]=1,"mist",IF(Append1[[#This Row],[weathersit]]=2,"lightrain","extremerain")))</f>
        <v>mist</v>
      </c>
    </row>
    <row r="942" spans="1:16" x14ac:dyDescent="0.25">
      <c r="A942" s="4">
        <v>940</v>
      </c>
      <c r="B942" s="4">
        <v>0.31819999999999998</v>
      </c>
      <c r="C942" s="4">
        <v>0.28000000000000003</v>
      </c>
      <c r="D942" s="4">
        <v>0</v>
      </c>
      <c r="E942" s="4">
        <v>9</v>
      </c>
      <c r="F942" s="4">
        <v>165</v>
      </c>
      <c r="G942" s="4">
        <v>174</v>
      </c>
      <c r="H942" s="5">
        <v>40585</v>
      </c>
      <c r="I942" s="4">
        <v>1</v>
      </c>
      <c r="J942" s="4">
        <v>18</v>
      </c>
      <c r="K942" s="4" t="b">
        <f>IF(Append1[[#This Row],[days]]="working day",FALSE,TRUE)</f>
        <v>0</v>
      </c>
      <c r="L942" s="4">
        <v>5</v>
      </c>
      <c r="M942" s="4">
        <v>1</v>
      </c>
      <c r="N942" s="6">
        <v>0.28000000000000003</v>
      </c>
      <c r="O942" s="2" t="str">
        <f>IF(Append1[[#This Row],[weekday]]=0,"holiday",IF(AND(Append1[[#This Row],[weekday]]&gt;1,Append1[[#This Row],[weekday]]&lt;7),"working day","weekend"))</f>
        <v>working day</v>
      </c>
      <c r="P942" s="4" t="str">
        <f>IF(Append1[[#This Row],[weathersit]]=0,"sunny",IF(Append1[[#This Row],[weathersit]]=1,"mist",IF(Append1[[#This Row],[weathersit]]=2,"lightrain","extremerain")))</f>
        <v>mist</v>
      </c>
    </row>
    <row r="943" spans="1:16" x14ac:dyDescent="0.25">
      <c r="A943" s="4">
        <v>941</v>
      </c>
      <c r="B943" s="4">
        <v>0.30299999999999999</v>
      </c>
      <c r="C943" s="4">
        <v>0.33</v>
      </c>
      <c r="D943" s="4">
        <v>0</v>
      </c>
      <c r="E943" s="4">
        <v>7</v>
      </c>
      <c r="F943" s="4">
        <v>94</v>
      </c>
      <c r="G943" s="4">
        <v>101</v>
      </c>
      <c r="H943" s="5">
        <v>40585</v>
      </c>
      <c r="I943" s="4">
        <v>1</v>
      </c>
      <c r="J943" s="4">
        <v>19</v>
      </c>
      <c r="K943" s="4" t="b">
        <f>IF(Append1[[#This Row],[days]]="working day",FALSE,TRUE)</f>
        <v>0</v>
      </c>
      <c r="L943" s="4">
        <v>5</v>
      </c>
      <c r="M943" s="4">
        <v>1</v>
      </c>
      <c r="N943" s="6">
        <v>0.26</v>
      </c>
      <c r="O943" s="2" t="str">
        <f>IF(Append1[[#This Row],[weekday]]=0,"holiday",IF(AND(Append1[[#This Row],[weekday]]&gt;1,Append1[[#This Row],[weekday]]&lt;7),"working day","weekend"))</f>
        <v>working day</v>
      </c>
      <c r="P943" s="4" t="str">
        <f>IF(Append1[[#This Row],[weathersit]]=0,"sunny",IF(Append1[[#This Row],[weathersit]]=1,"mist",IF(Append1[[#This Row],[weathersit]]=2,"lightrain","extremerain")))</f>
        <v>mist</v>
      </c>
    </row>
    <row r="944" spans="1:16" x14ac:dyDescent="0.25">
      <c r="A944" s="4">
        <v>942</v>
      </c>
      <c r="B944" s="4">
        <v>0.2273</v>
      </c>
      <c r="C944" s="4">
        <v>0.55000000000000004</v>
      </c>
      <c r="D944" s="4">
        <v>0.1343</v>
      </c>
      <c r="E944" s="4">
        <v>2</v>
      </c>
      <c r="F944" s="4">
        <v>61</v>
      </c>
      <c r="G944" s="4">
        <v>63</v>
      </c>
      <c r="H944" s="5">
        <v>40585</v>
      </c>
      <c r="I944" s="4">
        <v>1</v>
      </c>
      <c r="J944" s="4">
        <v>20</v>
      </c>
      <c r="K944" s="4" t="b">
        <f>IF(Append1[[#This Row],[days]]="working day",FALSE,TRUE)</f>
        <v>0</v>
      </c>
      <c r="L944" s="4">
        <v>5</v>
      </c>
      <c r="M944" s="4">
        <v>1</v>
      </c>
      <c r="N944" s="6">
        <v>0.22</v>
      </c>
      <c r="O944" s="2" t="str">
        <f>IF(Append1[[#This Row],[weekday]]=0,"holiday",IF(AND(Append1[[#This Row],[weekday]]&gt;1,Append1[[#This Row],[weekday]]&lt;7),"working day","weekend"))</f>
        <v>working day</v>
      </c>
      <c r="P944" s="4" t="str">
        <f>IF(Append1[[#This Row],[weathersit]]=0,"sunny",IF(Append1[[#This Row],[weathersit]]=1,"mist",IF(Append1[[#This Row],[weathersit]]=2,"lightrain","extremerain")))</f>
        <v>mist</v>
      </c>
    </row>
    <row r="945" spans="1:16" x14ac:dyDescent="0.25">
      <c r="A945" s="4">
        <v>943</v>
      </c>
      <c r="B945" s="4">
        <v>0.21210000000000001</v>
      </c>
      <c r="C945" s="4">
        <v>0.59</v>
      </c>
      <c r="D945" s="4">
        <v>0.1343</v>
      </c>
      <c r="E945" s="4">
        <v>1</v>
      </c>
      <c r="F945" s="4">
        <v>46</v>
      </c>
      <c r="G945" s="4">
        <v>47</v>
      </c>
      <c r="H945" s="5">
        <v>40585</v>
      </c>
      <c r="I945" s="4">
        <v>1</v>
      </c>
      <c r="J945" s="4">
        <v>21</v>
      </c>
      <c r="K945" s="4" t="b">
        <f>IF(Append1[[#This Row],[days]]="working day",FALSE,TRUE)</f>
        <v>0</v>
      </c>
      <c r="L945" s="4">
        <v>5</v>
      </c>
      <c r="M945" s="4">
        <v>1</v>
      </c>
      <c r="N945" s="6">
        <v>0.2</v>
      </c>
      <c r="O945" s="2" t="str">
        <f>IF(Append1[[#This Row],[weekday]]=0,"holiday",IF(AND(Append1[[#This Row],[weekday]]&gt;1,Append1[[#This Row],[weekday]]&lt;7),"working day","weekend"))</f>
        <v>working day</v>
      </c>
      <c r="P945" s="4" t="str">
        <f>IF(Append1[[#This Row],[weathersit]]=0,"sunny",IF(Append1[[#This Row],[weathersit]]=1,"mist",IF(Append1[[#This Row],[weathersit]]=2,"lightrain","extremerain")))</f>
        <v>mist</v>
      </c>
    </row>
    <row r="946" spans="1:16" x14ac:dyDescent="0.25">
      <c r="A946" s="4">
        <v>944</v>
      </c>
      <c r="B946" s="4">
        <v>0.2273</v>
      </c>
      <c r="C946" s="4">
        <v>0.64</v>
      </c>
      <c r="D946" s="4">
        <v>8.9599999999999999E-2</v>
      </c>
      <c r="E946" s="4">
        <v>2</v>
      </c>
      <c r="F946" s="4">
        <v>41</v>
      </c>
      <c r="G946" s="4">
        <v>43</v>
      </c>
      <c r="H946" s="5">
        <v>40585</v>
      </c>
      <c r="I946" s="4">
        <v>1</v>
      </c>
      <c r="J946" s="4">
        <v>22</v>
      </c>
      <c r="K946" s="4" t="b">
        <f>IF(Append1[[#This Row],[days]]="working day",FALSE,TRUE)</f>
        <v>0</v>
      </c>
      <c r="L946" s="4">
        <v>5</v>
      </c>
      <c r="M946" s="4">
        <v>1</v>
      </c>
      <c r="N946" s="6">
        <v>0.2</v>
      </c>
      <c r="O946" s="2" t="str">
        <f>IF(Append1[[#This Row],[weekday]]=0,"holiday",IF(AND(Append1[[#This Row],[weekday]]&gt;1,Append1[[#This Row],[weekday]]&lt;7),"working day","weekend"))</f>
        <v>working day</v>
      </c>
      <c r="P946" s="4" t="str">
        <f>IF(Append1[[#This Row],[weathersit]]=0,"sunny",IF(Append1[[#This Row],[weathersit]]=1,"mist",IF(Append1[[#This Row],[weathersit]]=2,"lightrain","extremerain")))</f>
        <v>mist</v>
      </c>
    </row>
    <row r="947" spans="1:16" x14ac:dyDescent="0.25">
      <c r="A947" s="4">
        <v>945</v>
      </c>
      <c r="B947" s="4">
        <v>0.2424</v>
      </c>
      <c r="C947" s="4">
        <v>0.69</v>
      </c>
      <c r="D947" s="4">
        <v>0</v>
      </c>
      <c r="E947" s="4">
        <v>5</v>
      </c>
      <c r="F947" s="4">
        <v>48</v>
      </c>
      <c r="G947" s="4">
        <v>53</v>
      </c>
      <c r="H947" s="5">
        <v>40585</v>
      </c>
      <c r="I947" s="4">
        <v>1</v>
      </c>
      <c r="J947" s="4">
        <v>23</v>
      </c>
      <c r="K947" s="4" t="b">
        <f>IF(Append1[[#This Row],[days]]="working day",FALSE,TRUE)</f>
        <v>0</v>
      </c>
      <c r="L947" s="4">
        <v>5</v>
      </c>
      <c r="M947" s="4">
        <v>1</v>
      </c>
      <c r="N947" s="6">
        <v>0.18</v>
      </c>
      <c r="O947" s="2" t="str">
        <f>IF(Append1[[#This Row],[weekday]]=0,"holiday",IF(AND(Append1[[#This Row],[weekday]]&gt;1,Append1[[#This Row],[weekday]]&lt;7),"working day","weekend"))</f>
        <v>working day</v>
      </c>
      <c r="P947" s="4" t="str">
        <f>IF(Append1[[#This Row],[weathersit]]=0,"sunny",IF(Append1[[#This Row],[weathersit]]=1,"mist",IF(Append1[[#This Row],[weathersit]]=2,"lightrain","extremerain")))</f>
        <v>mist</v>
      </c>
    </row>
    <row r="948" spans="1:16" x14ac:dyDescent="0.25">
      <c r="A948" s="4">
        <v>946</v>
      </c>
      <c r="B948" s="4">
        <v>0.19700000000000001</v>
      </c>
      <c r="C948" s="4">
        <v>0.69</v>
      </c>
      <c r="D948" s="4">
        <v>8.9599999999999999E-2</v>
      </c>
      <c r="E948" s="4">
        <v>3</v>
      </c>
      <c r="F948" s="4">
        <v>27</v>
      </c>
      <c r="G948" s="4">
        <v>30</v>
      </c>
      <c r="H948" s="5">
        <v>40586</v>
      </c>
      <c r="I948" s="4">
        <v>1</v>
      </c>
      <c r="J948" s="4">
        <v>0</v>
      </c>
      <c r="K948" s="4" t="b">
        <f>IF(Append1[[#This Row],[days]]="working day",FALSE,TRUE)</f>
        <v>0</v>
      </c>
      <c r="L948" s="4">
        <v>6</v>
      </c>
      <c r="M948" s="4">
        <v>1</v>
      </c>
      <c r="N948" s="6">
        <v>0.16</v>
      </c>
      <c r="O948" s="2" t="str">
        <f>IF(Append1[[#This Row],[weekday]]=0,"holiday",IF(AND(Append1[[#This Row],[weekday]]&gt;1,Append1[[#This Row],[weekday]]&lt;7),"working day","weekend"))</f>
        <v>working day</v>
      </c>
      <c r="P948" s="4" t="str">
        <f>IF(Append1[[#This Row],[weathersit]]=0,"sunny",IF(Append1[[#This Row],[weathersit]]=1,"mist",IF(Append1[[#This Row],[weathersit]]=2,"lightrain","extremerain")))</f>
        <v>mist</v>
      </c>
    </row>
    <row r="949" spans="1:16" x14ac:dyDescent="0.25">
      <c r="A949" s="4">
        <v>947</v>
      </c>
      <c r="B949" s="4">
        <v>0.21210000000000001</v>
      </c>
      <c r="C949" s="4">
        <v>0.86</v>
      </c>
      <c r="D949" s="4">
        <v>0</v>
      </c>
      <c r="E949" s="4">
        <v>2</v>
      </c>
      <c r="F949" s="4">
        <v>22</v>
      </c>
      <c r="G949" s="4">
        <v>24</v>
      </c>
      <c r="H949" s="5">
        <v>40586</v>
      </c>
      <c r="I949" s="4">
        <v>1</v>
      </c>
      <c r="J949" s="4">
        <v>1</v>
      </c>
      <c r="K949" s="4" t="b">
        <f>IF(Append1[[#This Row],[days]]="working day",FALSE,TRUE)</f>
        <v>0</v>
      </c>
      <c r="L949" s="4">
        <v>6</v>
      </c>
      <c r="M949" s="4">
        <v>1</v>
      </c>
      <c r="N949" s="6">
        <v>0.14000000000000001</v>
      </c>
      <c r="O949" s="2" t="str">
        <f>IF(Append1[[#This Row],[weekday]]=0,"holiday",IF(AND(Append1[[#This Row],[weekday]]&gt;1,Append1[[#This Row],[weekday]]&lt;7),"working day","weekend"))</f>
        <v>working day</v>
      </c>
      <c r="P949" s="4" t="str">
        <f>IF(Append1[[#This Row],[weathersit]]=0,"sunny",IF(Append1[[#This Row],[weathersit]]=1,"mist",IF(Append1[[#This Row],[weathersit]]=2,"lightrain","extremerain")))</f>
        <v>mist</v>
      </c>
    </row>
    <row r="950" spans="1:16" x14ac:dyDescent="0.25">
      <c r="A950" s="4">
        <v>948</v>
      </c>
      <c r="B950" s="4">
        <v>0.21210000000000001</v>
      </c>
      <c r="C950" s="4">
        <v>0.8</v>
      </c>
      <c r="D950" s="4">
        <v>0</v>
      </c>
      <c r="E950" s="4">
        <v>2</v>
      </c>
      <c r="F950" s="4">
        <v>13</v>
      </c>
      <c r="G950" s="4">
        <v>15</v>
      </c>
      <c r="H950" s="5">
        <v>40586</v>
      </c>
      <c r="I950" s="4">
        <v>1</v>
      </c>
      <c r="J950" s="4">
        <v>2</v>
      </c>
      <c r="K950" s="4" t="b">
        <f>IF(Append1[[#This Row],[days]]="working day",FALSE,TRUE)</f>
        <v>0</v>
      </c>
      <c r="L950" s="4">
        <v>6</v>
      </c>
      <c r="M950" s="4">
        <v>1</v>
      </c>
      <c r="N950" s="6">
        <v>0.14000000000000001</v>
      </c>
      <c r="O950" s="2" t="str">
        <f>IF(Append1[[#This Row],[weekday]]=0,"holiday",IF(AND(Append1[[#This Row],[weekday]]&gt;1,Append1[[#This Row],[weekday]]&lt;7),"working day","weekend"))</f>
        <v>working day</v>
      </c>
      <c r="P950" s="4" t="str">
        <f>IF(Append1[[#This Row],[weathersit]]=0,"sunny",IF(Append1[[#This Row],[weathersit]]=1,"mist",IF(Append1[[#This Row],[weathersit]]=2,"lightrain","extremerain")))</f>
        <v>mist</v>
      </c>
    </row>
    <row r="951" spans="1:16" x14ac:dyDescent="0.25">
      <c r="A951" s="4">
        <v>949</v>
      </c>
      <c r="B951" s="4">
        <v>0.19700000000000001</v>
      </c>
      <c r="C951" s="4">
        <v>0.8</v>
      </c>
      <c r="D951" s="4">
        <v>0</v>
      </c>
      <c r="E951" s="4">
        <v>3</v>
      </c>
      <c r="F951" s="4">
        <v>7</v>
      </c>
      <c r="G951" s="4">
        <v>10</v>
      </c>
      <c r="H951" s="5">
        <v>40586</v>
      </c>
      <c r="I951" s="4">
        <v>1</v>
      </c>
      <c r="J951" s="4">
        <v>3</v>
      </c>
      <c r="K951" s="4" t="b">
        <f>IF(Append1[[#This Row],[days]]="working day",FALSE,TRUE)</f>
        <v>0</v>
      </c>
      <c r="L951" s="4">
        <v>6</v>
      </c>
      <c r="M951" s="4">
        <v>1</v>
      </c>
      <c r="N951" s="6">
        <v>0.12</v>
      </c>
      <c r="O951" s="2" t="str">
        <f>IF(Append1[[#This Row],[weekday]]=0,"holiday",IF(AND(Append1[[#This Row],[weekday]]&gt;1,Append1[[#This Row],[weekday]]&lt;7),"working day","weekend"))</f>
        <v>working day</v>
      </c>
      <c r="P951" s="4" t="str">
        <f>IF(Append1[[#This Row],[weathersit]]=0,"sunny",IF(Append1[[#This Row],[weathersit]]=1,"mist",IF(Append1[[#This Row],[weathersit]]=2,"lightrain","extremerain")))</f>
        <v>mist</v>
      </c>
    </row>
    <row r="952" spans="1:16" x14ac:dyDescent="0.25">
      <c r="A952" s="4">
        <v>950</v>
      </c>
      <c r="B952" s="4">
        <v>0.16669999999999999</v>
      </c>
      <c r="C952" s="4">
        <v>0.74</v>
      </c>
      <c r="D952" s="4">
        <v>8.9599999999999999E-2</v>
      </c>
      <c r="E952" s="4">
        <v>0</v>
      </c>
      <c r="F952" s="4">
        <v>4</v>
      </c>
      <c r="G952" s="4">
        <v>4</v>
      </c>
      <c r="H952" s="5">
        <v>40586</v>
      </c>
      <c r="I952" s="4">
        <v>1</v>
      </c>
      <c r="J952" s="4">
        <v>4</v>
      </c>
      <c r="K952" s="4" t="b">
        <f>IF(Append1[[#This Row],[days]]="working day",FALSE,TRUE)</f>
        <v>0</v>
      </c>
      <c r="L952" s="4">
        <v>6</v>
      </c>
      <c r="M952" s="4">
        <v>1</v>
      </c>
      <c r="N952" s="6">
        <v>0.12</v>
      </c>
      <c r="O952" s="2" t="str">
        <f>IF(Append1[[#This Row],[weekday]]=0,"holiday",IF(AND(Append1[[#This Row],[weekday]]&gt;1,Append1[[#This Row],[weekday]]&lt;7),"working day","weekend"))</f>
        <v>working day</v>
      </c>
      <c r="P952" s="4" t="str">
        <f>IF(Append1[[#This Row],[weathersit]]=0,"sunny",IF(Append1[[#This Row],[weathersit]]=1,"mist",IF(Append1[[#This Row],[weathersit]]=2,"lightrain","extremerain")))</f>
        <v>mist</v>
      </c>
    </row>
    <row r="953" spans="1:16" x14ac:dyDescent="0.25">
      <c r="A953" s="4">
        <v>951</v>
      </c>
      <c r="B953" s="4">
        <v>0.16669999999999999</v>
      </c>
      <c r="C953" s="4">
        <v>0.74</v>
      </c>
      <c r="D953" s="4">
        <v>8.9599999999999999E-2</v>
      </c>
      <c r="E953" s="4">
        <v>0</v>
      </c>
      <c r="F953" s="4">
        <v>1</v>
      </c>
      <c r="G953" s="4">
        <v>1</v>
      </c>
      <c r="H953" s="5">
        <v>40586</v>
      </c>
      <c r="I953" s="4">
        <v>1</v>
      </c>
      <c r="J953" s="4">
        <v>5</v>
      </c>
      <c r="K953" s="4" t="b">
        <f>IF(Append1[[#This Row],[days]]="working day",FALSE,TRUE)</f>
        <v>0</v>
      </c>
      <c r="L953" s="4">
        <v>6</v>
      </c>
      <c r="M953" s="4">
        <v>1</v>
      </c>
      <c r="N953" s="6">
        <v>0.12</v>
      </c>
      <c r="O953" s="2" t="str">
        <f>IF(Append1[[#This Row],[weekday]]=0,"holiday",IF(AND(Append1[[#This Row],[weekday]]&gt;1,Append1[[#This Row],[weekday]]&lt;7),"working day","weekend"))</f>
        <v>working day</v>
      </c>
      <c r="P953" s="4" t="str">
        <f>IF(Append1[[#This Row],[weathersit]]=0,"sunny",IF(Append1[[#This Row],[weathersit]]=1,"mist",IF(Append1[[#This Row],[weathersit]]=2,"lightrain","extremerain")))</f>
        <v>mist</v>
      </c>
    </row>
    <row r="954" spans="1:16" x14ac:dyDescent="0.25">
      <c r="A954" s="4">
        <v>952</v>
      </c>
      <c r="B954" s="4">
        <v>0.13639999999999999</v>
      </c>
      <c r="C954" s="4">
        <v>0.93</v>
      </c>
      <c r="D954" s="4">
        <v>0.19400000000000001</v>
      </c>
      <c r="E954" s="4">
        <v>1</v>
      </c>
      <c r="F954" s="4">
        <v>1</v>
      </c>
      <c r="G954" s="4">
        <v>2</v>
      </c>
      <c r="H954" s="5">
        <v>40586</v>
      </c>
      <c r="I954" s="4">
        <v>1</v>
      </c>
      <c r="J954" s="4">
        <v>6</v>
      </c>
      <c r="K954" s="4" t="b">
        <f>IF(Append1[[#This Row],[days]]="working day",FALSE,TRUE)</f>
        <v>0</v>
      </c>
      <c r="L954" s="4">
        <v>6</v>
      </c>
      <c r="M954" s="4">
        <v>1</v>
      </c>
      <c r="N954" s="6">
        <v>0.12</v>
      </c>
      <c r="O954" s="2" t="str">
        <f>IF(Append1[[#This Row],[weekday]]=0,"holiday",IF(AND(Append1[[#This Row],[weekday]]&gt;1,Append1[[#This Row],[weekday]]&lt;7),"working day","weekend"))</f>
        <v>working day</v>
      </c>
      <c r="P954" s="4" t="str">
        <f>IF(Append1[[#This Row],[weathersit]]=0,"sunny",IF(Append1[[#This Row],[weathersit]]=1,"mist",IF(Append1[[#This Row],[weathersit]]=2,"lightrain","extremerain")))</f>
        <v>mist</v>
      </c>
    </row>
    <row r="955" spans="1:16" x14ac:dyDescent="0.25">
      <c r="A955" s="4">
        <v>953</v>
      </c>
      <c r="B955" s="4">
        <v>0.1515</v>
      </c>
      <c r="C955" s="4">
        <v>0.8</v>
      </c>
      <c r="D955" s="4">
        <v>0.1045</v>
      </c>
      <c r="E955" s="4">
        <v>2</v>
      </c>
      <c r="F955" s="4">
        <v>9</v>
      </c>
      <c r="G955" s="4">
        <v>11</v>
      </c>
      <c r="H955" s="5">
        <v>40586</v>
      </c>
      <c r="I955" s="4">
        <v>1</v>
      </c>
      <c r="J955" s="4">
        <v>7</v>
      </c>
      <c r="K955" s="4" t="b">
        <f>IF(Append1[[#This Row],[days]]="working day",FALSE,TRUE)</f>
        <v>0</v>
      </c>
      <c r="L955" s="4">
        <v>6</v>
      </c>
      <c r="M955" s="4">
        <v>1</v>
      </c>
      <c r="N955" s="6">
        <v>0.12</v>
      </c>
      <c r="O955" s="2" t="str">
        <f>IF(Append1[[#This Row],[weekday]]=0,"holiday",IF(AND(Append1[[#This Row],[weekday]]&gt;1,Append1[[#This Row],[weekday]]&lt;7),"working day","weekend"))</f>
        <v>working day</v>
      </c>
      <c r="P955" s="4" t="str">
        <f>IF(Append1[[#This Row],[weathersit]]=0,"sunny",IF(Append1[[#This Row],[weathersit]]=1,"mist",IF(Append1[[#This Row],[weathersit]]=2,"lightrain","extremerain")))</f>
        <v>mist</v>
      </c>
    </row>
    <row r="956" spans="1:16" x14ac:dyDescent="0.25">
      <c r="A956" s="4">
        <v>954</v>
      </c>
      <c r="B956" s="4">
        <v>0.1515</v>
      </c>
      <c r="C956" s="4">
        <v>0.86</v>
      </c>
      <c r="D956" s="4">
        <v>0.1343</v>
      </c>
      <c r="E956" s="4">
        <v>2</v>
      </c>
      <c r="F956" s="4">
        <v>28</v>
      </c>
      <c r="G956" s="4">
        <v>30</v>
      </c>
      <c r="H956" s="5">
        <v>40586</v>
      </c>
      <c r="I956" s="4">
        <v>1</v>
      </c>
      <c r="J956" s="4">
        <v>8</v>
      </c>
      <c r="K956" s="4" t="b">
        <f>IF(Append1[[#This Row],[days]]="working day",FALSE,TRUE)</f>
        <v>0</v>
      </c>
      <c r="L956" s="4">
        <v>6</v>
      </c>
      <c r="M956" s="4">
        <v>1</v>
      </c>
      <c r="N956" s="6">
        <v>0.14000000000000001</v>
      </c>
      <c r="O956" s="2" t="str">
        <f>IF(Append1[[#This Row],[weekday]]=0,"holiday",IF(AND(Append1[[#This Row],[weekday]]&gt;1,Append1[[#This Row],[weekday]]&lt;7),"working day","weekend"))</f>
        <v>working day</v>
      </c>
      <c r="P956" s="4" t="str">
        <f>IF(Append1[[#This Row],[weathersit]]=0,"sunny",IF(Append1[[#This Row],[weathersit]]=1,"mist",IF(Append1[[#This Row],[weathersit]]=2,"lightrain","extremerain")))</f>
        <v>mist</v>
      </c>
    </row>
    <row r="957" spans="1:16" x14ac:dyDescent="0.25">
      <c r="A957" s="4">
        <v>955</v>
      </c>
      <c r="B957" s="4">
        <v>0.18179999999999999</v>
      </c>
      <c r="C957" s="4">
        <v>0.64</v>
      </c>
      <c r="D957" s="4">
        <v>0.1343</v>
      </c>
      <c r="E957" s="4">
        <v>5</v>
      </c>
      <c r="F957" s="4">
        <v>38</v>
      </c>
      <c r="G957" s="4">
        <v>43</v>
      </c>
      <c r="H957" s="5">
        <v>40586</v>
      </c>
      <c r="I957" s="4">
        <v>1</v>
      </c>
      <c r="J957" s="4">
        <v>9</v>
      </c>
      <c r="K957" s="4" t="b">
        <f>IF(Append1[[#This Row],[days]]="working day",FALSE,TRUE)</f>
        <v>0</v>
      </c>
      <c r="L957" s="4">
        <v>6</v>
      </c>
      <c r="M957" s="4">
        <v>1</v>
      </c>
      <c r="N957" s="6">
        <v>0.16</v>
      </c>
      <c r="O957" s="2" t="str">
        <f>IF(Append1[[#This Row],[weekday]]=0,"holiday",IF(AND(Append1[[#This Row],[weekday]]&gt;1,Append1[[#This Row],[weekday]]&lt;7),"working day","weekend"))</f>
        <v>working day</v>
      </c>
      <c r="P957" s="4" t="str">
        <f>IF(Append1[[#This Row],[weathersit]]=0,"sunny",IF(Append1[[#This Row],[weathersit]]=1,"mist",IF(Append1[[#This Row],[weathersit]]=2,"lightrain","extremerain")))</f>
        <v>mist</v>
      </c>
    </row>
    <row r="958" spans="1:16" x14ac:dyDescent="0.25">
      <c r="A958" s="4">
        <v>956</v>
      </c>
      <c r="B958" s="4">
        <v>0.21210000000000001</v>
      </c>
      <c r="C958" s="4">
        <v>0.41</v>
      </c>
      <c r="D958" s="4">
        <v>0.25369999999999998</v>
      </c>
      <c r="E958" s="4">
        <v>13</v>
      </c>
      <c r="F958" s="4">
        <v>71</v>
      </c>
      <c r="G958" s="4">
        <v>84</v>
      </c>
      <c r="H958" s="5">
        <v>40586</v>
      </c>
      <c r="I958" s="4">
        <v>1</v>
      </c>
      <c r="J958" s="4">
        <v>10</v>
      </c>
      <c r="K958" s="4" t="b">
        <f>IF(Append1[[#This Row],[days]]="working day",FALSE,TRUE)</f>
        <v>0</v>
      </c>
      <c r="L958" s="4">
        <v>6</v>
      </c>
      <c r="M958" s="4">
        <v>1</v>
      </c>
      <c r="N958" s="6">
        <v>0.22</v>
      </c>
      <c r="O958" s="2" t="str">
        <f>IF(Append1[[#This Row],[weekday]]=0,"holiday",IF(AND(Append1[[#This Row],[weekday]]&gt;1,Append1[[#This Row],[weekday]]&lt;7),"working day","weekend"))</f>
        <v>working day</v>
      </c>
      <c r="P958" s="4" t="str">
        <f>IF(Append1[[#This Row],[weathersit]]=0,"sunny",IF(Append1[[#This Row],[weathersit]]=1,"mist",IF(Append1[[#This Row],[weathersit]]=2,"lightrain","extremerain")))</f>
        <v>mist</v>
      </c>
    </row>
    <row r="959" spans="1:16" x14ac:dyDescent="0.25">
      <c r="A959" s="4">
        <v>957</v>
      </c>
      <c r="B959" s="4">
        <v>0.2727</v>
      </c>
      <c r="C959" s="4">
        <v>0.28000000000000003</v>
      </c>
      <c r="D959" s="4">
        <v>0.32840000000000003</v>
      </c>
      <c r="E959" s="4">
        <v>30</v>
      </c>
      <c r="F959" s="4">
        <v>84</v>
      </c>
      <c r="G959" s="4">
        <v>114</v>
      </c>
      <c r="H959" s="5">
        <v>40586</v>
      </c>
      <c r="I959" s="4">
        <v>1</v>
      </c>
      <c r="J959" s="4">
        <v>11</v>
      </c>
      <c r="K959" s="4" t="b">
        <f>IF(Append1[[#This Row],[days]]="working day",FALSE,TRUE)</f>
        <v>0</v>
      </c>
      <c r="L959" s="4">
        <v>6</v>
      </c>
      <c r="M959" s="4">
        <v>1</v>
      </c>
      <c r="N959" s="6">
        <v>0.3</v>
      </c>
      <c r="O959" s="2" t="str">
        <f>IF(Append1[[#This Row],[weekday]]=0,"holiday",IF(AND(Append1[[#This Row],[weekday]]&gt;1,Append1[[#This Row],[weekday]]&lt;7),"working day","weekend"))</f>
        <v>working day</v>
      </c>
      <c r="P959" s="4" t="str">
        <f>IF(Append1[[#This Row],[weathersit]]=0,"sunny",IF(Append1[[#This Row],[weathersit]]=1,"mist",IF(Append1[[#This Row],[weathersit]]=2,"lightrain","extremerain")))</f>
        <v>mist</v>
      </c>
    </row>
    <row r="960" spans="1:16" x14ac:dyDescent="0.25">
      <c r="A960" s="4">
        <v>958</v>
      </c>
      <c r="B960" s="4">
        <v>0.2727</v>
      </c>
      <c r="C960" s="4">
        <v>0.39</v>
      </c>
      <c r="D960" s="4">
        <v>0.4627</v>
      </c>
      <c r="E960" s="4">
        <v>27</v>
      </c>
      <c r="F960" s="4">
        <v>93</v>
      </c>
      <c r="G960" s="4">
        <v>120</v>
      </c>
      <c r="H960" s="5">
        <v>40586</v>
      </c>
      <c r="I960" s="4">
        <v>1</v>
      </c>
      <c r="J960" s="4">
        <v>12</v>
      </c>
      <c r="K960" s="4" t="b">
        <f>IF(Append1[[#This Row],[days]]="working day",FALSE,TRUE)</f>
        <v>0</v>
      </c>
      <c r="L960" s="4">
        <v>6</v>
      </c>
      <c r="M960" s="4">
        <v>1</v>
      </c>
      <c r="N960" s="6">
        <v>0.3</v>
      </c>
      <c r="O960" s="2" t="str">
        <f>IF(Append1[[#This Row],[weekday]]=0,"holiday",IF(AND(Append1[[#This Row],[weekday]]&gt;1,Append1[[#This Row],[weekday]]&lt;7),"working day","weekend"))</f>
        <v>working day</v>
      </c>
      <c r="P960" s="4" t="str">
        <f>IF(Append1[[#This Row],[weathersit]]=0,"sunny",IF(Append1[[#This Row],[weathersit]]=1,"mist",IF(Append1[[#This Row],[weathersit]]=2,"lightrain","extremerain")))</f>
        <v>mist</v>
      </c>
    </row>
    <row r="961" spans="1:16" x14ac:dyDescent="0.25">
      <c r="A961" s="4">
        <v>959</v>
      </c>
      <c r="B961" s="4">
        <v>0.2727</v>
      </c>
      <c r="C961" s="4">
        <v>0.39</v>
      </c>
      <c r="D961" s="4">
        <v>0.41789999999999999</v>
      </c>
      <c r="E961" s="4">
        <v>32</v>
      </c>
      <c r="F961" s="4">
        <v>103</v>
      </c>
      <c r="G961" s="4">
        <v>135</v>
      </c>
      <c r="H961" s="5">
        <v>40586</v>
      </c>
      <c r="I961" s="4">
        <v>1</v>
      </c>
      <c r="J961" s="4">
        <v>13</v>
      </c>
      <c r="K961" s="4" t="b">
        <f>IF(Append1[[#This Row],[days]]="working day",FALSE,TRUE)</f>
        <v>0</v>
      </c>
      <c r="L961" s="4">
        <v>6</v>
      </c>
      <c r="M961" s="4">
        <v>1</v>
      </c>
      <c r="N961" s="6">
        <v>0.3</v>
      </c>
      <c r="O961" s="2" t="str">
        <f>IF(Append1[[#This Row],[weekday]]=0,"holiday",IF(AND(Append1[[#This Row],[weekday]]&gt;1,Append1[[#This Row],[weekday]]&lt;7),"working day","weekend"))</f>
        <v>working day</v>
      </c>
      <c r="P961" s="4" t="str">
        <f>IF(Append1[[#This Row],[weathersit]]=0,"sunny",IF(Append1[[#This Row],[weathersit]]=1,"mist",IF(Append1[[#This Row],[weathersit]]=2,"lightrain","extremerain")))</f>
        <v>mist</v>
      </c>
    </row>
    <row r="962" spans="1:16" x14ac:dyDescent="0.25">
      <c r="A962" s="4">
        <v>960</v>
      </c>
      <c r="B962" s="4">
        <v>0.31819999999999998</v>
      </c>
      <c r="C962" s="4">
        <v>0.31</v>
      </c>
      <c r="D962" s="4">
        <v>0.28360000000000002</v>
      </c>
      <c r="E962" s="4">
        <v>30</v>
      </c>
      <c r="F962" s="4">
        <v>90</v>
      </c>
      <c r="G962" s="4">
        <v>120</v>
      </c>
      <c r="H962" s="5">
        <v>40586</v>
      </c>
      <c r="I962" s="4">
        <v>1</v>
      </c>
      <c r="J962" s="4">
        <v>14</v>
      </c>
      <c r="K962" s="4" t="b">
        <f>IF(Append1[[#This Row],[days]]="working day",FALSE,TRUE)</f>
        <v>0</v>
      </c>
      <c r="L962" s="4">
        <v>6</v>
      </c>
      <c r="M962" s="4">
        <v>1</v>
      </c>
      <c r="N962" s="6">
        <v>0.34</v>
      </c>
      <c r="O962" s="2" t="str">
        <f>IF(Append1[[#This Row],[weekday]]=0,"holiday",IF(AND(Append1[[#This Row],[weekday]]&gt;1,Append1[[#This Row],[weekday]]&lt;7),"working day","weekend"))</f>
        <v>working day</v>
      </c>
      <c r="P962" s="4" t="str">
        <f>IF(Append1[[#This Row],[weathersit]]=0,"sunny",IF(Append1[[#This Row],[weathersit]]=1,"mist",IF(Append1[[#This Row],[weathersit]]=2,"lightrain","extremerain")))</f>
        <v>mist</v>
      </c>
    </row>
    <row r="963" spans="1:16" x14ac:dyDescent="0.25">
      <c r="A963" s="4">
        <v>961</v>
      </c>
      <c r="B963" s="4">
        <v>0.30299999999999999</v>
      </c>
      <c r="C963" s="4">
        <v>0.28999999999999998</v>
      </c>
      <c r="D963" s="4">
        <v>0.41789999999999999</v>
      </c>
      <c r="E963" s="4">
        <v>47</v>
      </c>
      <c r="F963" s="4">
        <v>127</v>
      </c>
      <c r="G963" s="4">
        <v>174</v>
      </c>
      <c r="H963" s="5">
        <v>40586</v>
      </c>
      <c r="I963" s="4">
        <v>1</v>
      </c>
      <c r="J963" s="4">
        <v>15</v>
      </c>
      <c r="K963" s="4" t="b">
        <f>IF(Append1[[#This Row],[days]]="working day",FALSE,TRUE)</f>
        <v>0</v>
      </c>
      <c r="L963" s="4">
        <v>6</v>
      </c>
      <c r="M963" s="4">
        <v>1</v>
      </c>
      <c r="N963" s="6">
        <v>0.34</v>
      </c>
      <c r="O963" s="2" t="str">
        <f>IF(Append1[[#This Row],[weekday]]=0,"holiday",IF(AND(Append1[[#This Row],[weekday]]&gt;1,Append1[[#This Row],[weekday]]&lt;7),"working day","weekend"))</f>
        <v>working day</v>
      </c>
      <c r="P963" s="4" t="str">
        <f>IF(Append1[[#This Row],[weathersit]]=0,"sunny",IF(Append1[[#This Row],[weathersit]]=1,"mist",IF(Append1[[#This Row],[weathersit]]=2,"lightrain","extremerain")))</f>
        <v>mist</v>
      </c>
    </row>
    <row r="964" spans="1:16" x14ac:dyDescent="0.25">
      <c r="A964" s="4">
        <v>962</v>
      </c>
      <c r="B964" s="4">
        <v>0.30299999999999999</v>
      </c>
      <c r="C964" s="4">
        <v>0.28999999999999998</v>
      </c>
      <c r="D964" s="4">
        <v>0.41789999999999999</v>
      </c>
      <c r="E964" s="4">
        <v>42</v>
      </c>
      <c r="F964" s="4">
        <v>103</v>
      </c>
      <c r="G964" s="4">
        <v>145</v>
      </c>
      <c r="H964" s="5">
        <v>40586</v>
      </c>
      <c r="I964" s="4">
        <v>1</v>
      </c>
      <c r="J964" s="4">
        <v>16</v>
      </c>
      <c r="K964" s="4" t="b">
        <f>IF(Append1[[#This Row],[days]]="working day",FALSE,TRUE)</f>
        <v>0</v>
      </c>
      <c r="L964" s="4">
        <v>6</v>
      </c>
      <c r="M964" s="4">
        <v>1</v>
      </c>
      <c r="N964" s="6">
        <v>0.34</v>
      </c>
      <c r="O964" s="2" t="str">
        <f>IF(Append1[[#This Row],[weekday]]=0,"holiday",IF(AND(Append1[[#This Row],[weekday]]&gt;1,Append1[[#This Row],[weekday]]&lt;7),"working day","weekend"))</f>
        <v>working day</v>
      </c>
      <c r="P964" s="4" t="str">
        <f>IF(Append1[[#This Row],[weathersit]]=0,"sunny",IF(Append1[[#This Row],[weathersit]]=1,"mist",IF(Append1[[#This Row],[weathersit]]=2,"lightrain","extremerain")))</f>
        <v>mist</v>
      </c>
    </row>
    <row r="965" spans="1:16" x14ac:dyDescent="0.25">
      <c r="A965" s="4">
        <v>963</v>
      </c>
      <c r="B965" s="4">
        <v>0.28789999999999999</v>
      </c>
      <c r="C965" s="4">
        <v>0.31</v>
      </c>
      <c r="D965" s="4">
        <v>0.52239999999999998</v>
      </c>
      <c r="E965" s="4">
        <v>24</v>
      </c>
      <c r="F965" s="4">
        <v>113</v>
      </c>
      <c r="G965" s="4">
        <v>137</v>
      </c>
      <c r="H965" s="5">
        <v>40586</v>
      </c>
      <c r="I965" s="4">
        <v>1</v>
      </c>
      <c r="J965" s="4">
        <v>17</v>
      </c>
      <c r="K965" s="4" t="b">
        <f>IF(Append1[[#This Row],[days]]="working day",FALSE,TRUE)</f>
        <v>0</v>
      </c>
      <c r="L965" s="4">
        <v>6</v>
      </c>
      <c r="M965" s="4">
        <v>1</v>
      </c>
      <c r="N965" s="6">
        <v>0.32</v>
      </c>
      <c r="O965" s="2" t="str">
        <f>IF(Append1[[#This Row],[weekday]]=0,"holiday",IF(AND(Append1[[#This Row],[weekday]]&gt;1,Append1[[#This Row],[weekday]]&lt;7),"working day","weekend"))</f>
        <v>working day</v>
      </c>
      <c r="P965" s="4" t="str">
        <f>IF(Append1[[#This Row],[weathersit]]=0,"sunny",IF(Append1[[#This Row],[weathersit]]=1,"mist",IF(Append1[[#This Row],[weathersit]]=2,"lightrain","extremerain")))</f>
        <v>mist</v>
      </c>
    </row>
    <row r="966" spans="1:16" x14ac:dyDescent="0.25">
      <c r="A966" s="4">
        <v>964</v>
      </c>
      <c r="B966" s="4">
        <v>0.2576</v>
      </c>
      <c r="C966" s="4">
        <v>0.38</v>
      </c>
      <c r="D966" s="4">
        <v>0.32840000000000003</v>
      </c>
      <c r="E966" s="4">
        <v>4</v>
      </c>
      <c r="F966" s="4">
        <v>60</v>
      </c>
      <c r="G966" s="4">
        <v>64</v>
      </c>
      <c r="H966" s="5">
        <v>40586</v>
      </c>
      <c r="I966" s="4">
        <v>1</v>
      </c>
      <c r="J966" s="4">
        <v>18</v>
      </c>
      <c r="K966" s="4" t="b">
        <f>IF(Append1[[#This Row],[days]]="working day",FALSE,TRUE)</f>
        <v>0</v>
      </c>
      <c r="L966" s="4">
        <v>6</v>
      </c>
      <c r="M966" s="4">
        <v>1</v>
      </c>
      <c r="N966" s="6">
        <v>0.28000000000000003</v>
      </c>
      <c r="O966" s="2" t="str">
        <f>IF(Append1[[#This Row],[weekday]]=0,"holiday",IF(AND(Append1[[#This Row],[weekday]]&gt;1,Append1[[#This Row],[weekday]]&lt;7),"working day","weekend"))</f>
        <v>working day</v>
      </c>
      <c r="P966" s="4" t="str">
        <f>IF(Append1[[#This Row],[weathersit]]=0,"sunny",IF(Append1[[#This Row],[weathersit]]=1,"mist",IF(Append1[[#This Row],[weathersit]]=2,"lightrain","extremerain")))</f>
        <v>mist</v>
      </c>
    </row>
    <row r="967" spans="1:16" x14ac:dyDescent="0.25">
      <c r="A967" s="4">
        <v>965</v>
      </c>
      <c r="B967" s="4">
        <v>0.2727</v>
      </c>
      <c r="C967" s="4">
        <v>0.38</v>
      </c>
      <c r="D967" s="4">
        <v>0.16420000000000001</v>
      </c>
      <c r="E967" s="4">
        <v>2</v>
      </c>
      <c r="F967" s="4">
        <v>39</v>
      </c>
      <c r="G967" s="4">
        <v>41</v>
      </c>
      <c r="H967" s="5">
        <v>40586</v>
      </c>
      <c r="I967" s="4">
        <v>1</v>
      </c>
      <c r="J967" s="4">
        <v>19</v>
      </c>
      <c r="K967" s="4" t="b">
        <f>IF(Append1[[#This Row],[days]]="working day",FALSE,TRUE)</f>
        <v>0</v>
      </c>
      <c r="L967" s="4">
        <v>6</v>
      </c>
      <c r="M967" s="4">
        <v>1</v>
      </c>
      <c r="N967" s="6">
        <v>0.28000000000000003</v>
      </c>
      <c r="O967" s="2" t="str">
        <f>IF(Append1[[#This Row],[weekday]]=0,"holiday",IF(AND(Append1[[#This Row],[weekday]]&gt;1,Append1[[#This Row],[weekday]]&lt;7),"working day","weekend"))</f>
        <v>working day</v>
      </c>
      <c r="P967" s="4" t="str">
        <f>IF(Append1[[#This Row],[weathersit]]=0,"sunny",IF(Append1[[#This Row],[weathersit]]=1,"mist",IF(Append1[[#This Row],[weathersit]]=2,"lightrain","extremerain")))</f>
        <v>mist</v>
      </c>
    </row>
    <row r="968" spans="1:16" x14ac:dyDescent="0.25">
      <c r="A968" s="4">
        <v>966</v>
      </c>
      <c r="B968" s="4">
        <v>0.2576</v>
      </c>
      <c r="C968" s="4">
        <v>0.41</v>
      </c>
      <c r="D968" s="4">
        <v>0.22389999999999999</v>
      </c>
      <c r="E968" s="4">
        <v>1</v>
      </c>
      <c r="F968" s="4">
        <v>39</v>
      </c>
      <c r="G968" s="4">
        <v>40</v>
      </c>
      <c r="H968" s="5">
        <v>40586</v>
      </c>
      <c r="I968" s="4">
        <v>1</v>
      </c>
      <c r="J968" s="4">
        <v>20</v>
      </c>
      <c r="K968" s="4" t="b">
        <f>IF(Append1[[#This Row],[days]]="working day",FALSE,TRUE)</f>
        <v>0</v>
      </c>
      <c r="L968" s="4">
        <v>6</v>
      </c>
      <c r="M968" s="4">
        <v>1</v>
      </c>
      <c r="N968" s="6">
        <v>0.26</v>
      </c>
      <c r="O968" s="2" t="str">
        <f>IF(Append1[[#This Row],[weekday]]=0,"holiday",IF(AND(Append1[[#This Row],[weekday]]&gt;1,Append1[[#This Row],[weekday]]&lt;7),"working day","weekend"))</f>
        <v>working day</v>
      </c>
      <c r="P968" s="4" t="str">
        <f>IF(Append1[[#This Row],[weathersit]]=0,"sunny",IF(Append1[[#This Row],[weathersit]]=1,"mist",IF(Append1[[#This Row],[weathersit]]=2,"lightrain","extremerain")))</f>
        <v>mist</v>
      </c>
    </row>
    <row r="969" spans="1:16" x14ac:dyDescent="0.25">
      <c r="A969" s="4">
        <v>967</v>
      </c>
      <c r="B969" s="4">
        <v>0.30299999999999999</v>
      </c>
      <c r="C969" s="4">
        <v>0.41</v>
      </c>
      <c r="D969" s="4">
        <v>0</v>
      </c>
      <c r="E969" s="4">
        <v>9</v>
      </c>
      <c r="F969" s="4">
        <v>42</v>
      </c>
      <c r="G969" s="4">
        <v>51</v>
      </c>
      <c r="H969" s="5">
        <v>40586</v>
      </c>
      <c r="I969" s="4">
        <v>1</v>
      </c>
      <c r="J969" s="4">
        <v>21</v>
      </c>
      <c r="K969" s="4" t="b">
        <f>IF(Append1[[#This Row],[days]]="working day",FALSE,TRUE)</f>
        <v>0</v>
      </c>
      <c r="L969" s="4">
        <v>6</v>
      </c>
      <c r="M969" s="4">
        <v>1</v>
      </c>
      <c r="N969" s="6">
        <v>0.26</v>
      </c>
      <c r="O969" s="2" t="str">
        <f>IF(Append1[[#This Row],[weekday]]=0,"holiday",IF(AND(Append1[[#This Row],[weekday]]&gt;1,Append1[[#This Row],[weekday]]&lt;7),"working day","weekend"))</f>
        <v>working day</v>
      </c>
      <c r="P969" s="4" t="str">
        <f>IF(Append1[[#This Row],[weathersit]]=0,"sunny",IF(Append1[[#This Row],[weathersit]]=1,"mist",IF(Append1[[#This Row],[weathersit]]=2,"lightrain","extremerain")))</f>
        <v>mist</v>
      </c>
    </row>
    <row r="970" spans="1:16" x14ac:dyDescent="0.25">
      <c r="A970" s="4">
        <v>968</v>
      </c>
      <c r="B970" s="4">
        <v>0.2576</v>
      </c>
      <c r="C970" s="4">
        <v>0.44</v>
      </c>
      <c r="D970" s="4">
        <v>8.9599999999999999E-2</v>
      </c>
      <c r="E970" s="4">
        <v>6</v>
      </c>
      <c r="F970" s="4">
        <v>39</v>
      </c>
      <c r="G970" s="4">
        <v>45</v>
      </c>
      <c r="H970" s="5">
        <v>40586</v>
      </c>
      <c r="I970" s="4">
        <v>1</v>
      </c>
      <c r="J970" s="4">
        <v>22</v>
      </c>
      <c r="K970" s="4" t="b">
        <f>IF(Append1[[#This Row],[days]]="working day",FALSE,TRUE)</f>
        <v>0</v>
      </c>
      <c r="L970" s="4">
        <v>6</v>
      </c>
      <c r="M970" s="4">
        <v>1</v>
      </c>
      <c r="N970" s="6">
        <v>0.24</v>
      </c>
      <c r="O970" s="2" t="str">
        <f>IF(Append1[[#This Row],[weekday]]=0,"holiday",IF(AND(Append1[[#This Row],[weekday]]&gt;1,Append1[[#This Row],[weekday]]&lt;7),"working day","weekend"))</f>
        <v>working day</v>
      </c>
      <c r="P970" s="4" t="str">
        <f>IF(Append1[[#This Row],[weathersit]]=0,"sunny",IF(Append1[[#This Row],[weathersit]]=1,"mist",IF(Append1[[#This Row],[weathersit]]=2,"lightrain","extremerain")))</f>
        <v>mist</v>
      </c>
    </row>
    <row r="971" spans="1:16" x14ac:dyDescent="0.25">
      <c r="A971" s="4">
        <v>969</v>
      </c>
      <c r="B971" s="4">
        <v>0.2273</v>
      </c>
      <c r="C971" s="4">
        <v>0.51</v>
      </c>
      <c r="D971" s="4">
        <v>0.1343</v>
      </c>
      <c r="E971" s="4">
        <v>1</v>
      </c>
      <c r="F971" s="4">
        <v>31</v>
      </c>
      <c r="G971" s="4">
        <v>32</v>
      </c>
      <c r="H971" s="5">
        <v>40586</v>
      </c>
      <c r="I971" s="4">
        <v>1</v>
      </c>
      <c r="J971" s="4">
        <v>23</v>
      </c>
      <c r="K971" s="4" t="b">
        <f>IF(Append1[[#This Row],[days]]="working day",FALSE,TRUE)</f>
        <v>0</v>
      </c>
      <c r="L971" s="4">
        <v>6</v>
      </c>
      <c r="M971" s="4">
        <v>1</v>
      </c>
      <c r="N971" s="6">
        <v>0.22</v>
      </c>
      <c r="O971" s="2" t="str">
        <f>IF(Append1[[#This Row],[weekday]]=0,"holiday",IF(AND(Append1[[#This Row],[weekday]]&gt;1,Append1[[#This Row],[weekday]]&lt;7),"working day","weekend"))</f>
        <v>working day</v>
      </c>
      <c r="P971" s="4" t="str">
        <f>IF(Append1[[#This Row],[weathersit]]=0,"sunny",IF(Append1[[#This Row],[weathersit]]=1,"mist",IF(Append1[[#This Row],[weathersit]]=2,"lightrain","extremerain")))</f>
        <v>mist</v>
      </c>
    </row>
    <row r="972" spans="1:16" x14ac:dyDescent="0.25">
      <c r="A972" s="4">
        <v>970</v>
      </c>
      <c r="B972" s="4">
        <v>0.2273</v>
      </c>
      <c r="C972" s="4">
        <v>0.64</v>
      </c>
      <c r="D972" s="4">
        <v>0.1045</v>
      </c>
      <c r="E972" s="4">
        <v>5</v>
      </c>
      <c r="F972" s="4">
        <v>34</v>
      </c>
      <c r="G972" s="4">
        <v>39</v>
      </c>
      <c r="H972" s="5">
        <v>40587</v>
      </c>
      <c r="I972" s="4">
        <v>1</v>
      </c>
      <c r="J972" s="4">
        <v>0</v>
      </c>
      <c r="K972" s="4" t="b">
        <f>IF(Append1[[#This Row],[days]]="working day",FALSE,TRUE)</f>
        <v>1</v>
      </c>
      <c r="L972" s="4">
        <v>0</v>
      </c>
      <c r="M972" s="4">
        <v>1</v>
      </c>
      <c r="N972" s="6">
        <v>0.2</v>
      </c>
      <c r="O972" s="2" t="str">
        <f>IF(Append1[[#This Row],[weekday]]=0,"holiday",IF(AND(Append1[[#This Row],[weekday]]&gt;1,Append1[[#This Row],[weekday]]&lt;7),"working day","weekend"))</f>
        <v>holiday</v>
      </c>
      <c r="P972" s="4" t="str">
        <f>IF(Append1[[#This Row],[weathersit]]=0,"sunny",IF(Append1[[#This Row],[weathersit]]=1,"mist",IF(Append1[[#This Row],[weathersit]]=2,"lightrain","extremerain")))</f>
        <v>mist</v>
      </c>
    </row>
    <row r="973" spans="1:16" x14ac:dyDescent="0.25">
      <c r="A973" s="4">
        <v>971</v>
      </c>
      <c r="B973" s="4">
        <v>0.2273</v>
      </c>
      <c r="C973" s="4">
        <v>0.59</v>
      </c>
      <c r="D973" s="4">
        <v>8.9599999999999999E-2</v>
      </c>
      <c r="E973" s="4">
        <v>1</v>
      </c>
      <c r="F973" s="4">
        <v>23</v>
      </c>
      <c r="G973" s="4">
        <v>24</v>
      </c>
      <c r="H973" s="5">
        <v>40587</v>
      </c>
      <c r="I973" s="4">
        <v>1</v>
      </c>
      <c r="J973" s="4">
        <v>1</v>
      </c>
      <c r="K973" s="4" t="b">
        <f>IF(Append1[[#This Row],[days]]="working day",FALSE,TRUE)</f>
        <v>1</v>
      </c>
      <c r="L973" s="4">
        <v>0</v>
      </c>
      <c r="M973" s="4">
        <v>1</v>
      </c>
      <c r="N973" s="6">
        <v>0.2</v>
      </c>
      <c r="O973" s="2" t="str">
        <f>IF(Append1[[#This Row],[weekday]]=0,"holiday",IF(AND(Append1[[#This Row],[weekday]]&gt;1,Append1[[#This Row],[weekday]]&lt;7),"working day","weekend"))</f>
        <v>holiday</v>
      </c>
      <c r="P973" s="4" t="str">
        <f>IF(Append1[[#This Row],[weathersit]]=0,"sunny",IF(Append1[[#This Row],[weathersit]]=1,"mist",IF(Append1[[#This Row],[weathersit]]=2,"lightrain","extremerain")))</f>
        <v>mist</v>
      </c>
    </row>
    <row r="974" spans="1:16" x14ac:dyDescent="0.25">
      <c r="A974" s="4">
        <v>972</v>
      </c>
      <c r="B974" s="4">
        <v>0.2273</v>
      </c>
      <c r="C974" s="4">
        <v>0.75</v>
      </c>
      <c r="D974" s="4">
        <v>8.9599999999999999E-2</v>
      </c>
      <c r="E974" s="4">
        <v>1</v>
      </c>
      <c r="F974" s="4">
        <v>19</v>
      </c>
      <c r="G974" s="4">
        <v>20</v>
      </c>
      <c r="H974" s="5">
        <v>40587</v>
      </c>
      <c r="I974" s="4">
        <v>1</v>
      </c>
      <c r="J974" s="4">
        <v>2</v>
      </c>
      <c r="K974" s="4" t="b">
        <f>IF(Append1[[#This Row],[days]]="working day",FALSE,TRUE)</f>
        <v>1</v>
      </c>
      <c r="L974" s="4">
        <v>0</v>
      </c>
      <c r="M974" s="4">
        <v>2</v>
      </c>
      <c r="N974" s="6">
        <v>0.2</v>
      </c>
      <c r="O974" s="2" t="str">
        <f>IF(Append1[[#This Row],[weekday]]=0,"holiday",IF(AND(Append1[[#This Row],[weekday]]&gt;1,Append1[[#This Row],[weekday]]&lt;7),"working day","weekend"))</f>
        <v>holiday</v>
      </c>
      <c r="P974" s="4" t="str">
        <f>IF(Append1[[#This Row],[weathersit]]=0,"sunny",IF(Append1[[#This Row],[weathersit]]=1,"mist",IF(Append1[[#This Row],[weathersit]]=2,"lightrain","extremerain")))</f>
        <v>lightrain</v>
      </c>
    </row>
    <row r="975" spans="1:16" x14ac:dyDescent="0.25">
      <c r="A975" s="4">
        <v>973</v>
      </c>
      <c r="B975" s="4">
        <v>0.2273</v>
      </c>
      <c r="C975" s="4">
        <v>0.69</v>
      </c>
      <c r="D975" s="4">
        <v>0.1045</v>
      </c>
      <c r="E975" s="4">
        <v>4</v>
      </c>
      <c r="F975" s="4">
        <v>8</v>
      </c>
      <c r="G975" s="4">
        <v>12</v>
      </c>
      <c r="H975" s="5">
        <v>40587</v>
      </c>
      <c r="I975" s="4">
        <v>1</v>
      </c>
      <c r="J975" s="4">
        <v>3</v>
      </c>
      <c r="K975" s="4" t="b">
        <f>IF(Append1[[#This Row],[days]]="working day",FALSE,TRUE)</f>
        <v>1</v>
      </c>
      <c r="L975" s="4">
        <v>0</v>
      </c>
      <c r="M975" s="4">
        <v>2</v>
      </c>
      <c r="N975" s="6">
        <v>0.2</v>
      </c>
      <c r="O975" s="2" t="str">
        <f>IF(Append1[[#This Row],[weekday]]=0,"holiday",IF(AND(Append1[[#This Row],[weekday]]&gt;1,Append1[[#This Row],[weekday]]&lt;7),"working day","weekend"))</f>
        <v>holiday</v>
      </c>
      <c r="P975" s="4" t="str">
        <f>IF(Append1[[#This Row],[weathersit]]=0,"sunny",IF(Append1[[#This Row],[weathersit]]=1,"mist",IF(Append1[[#This Row],[weathersit]]=2,"lightrain","extremerain")))</f>
        <v>lightrain</v>
      </c>
    </row>
    <row r="976" spans="1:16" x14ac:dyDescent="0.25">
      <c r="A976" s="4">
        <v>974</v>
      </c>
      <c r="B976" s="4">
        <v>0.21210000000000001</v>
      </c>
      <c r="C976" s="4">
        <v>0.69</v>
      </c>
      <c r="D976" s="4">
        <v>0.16420000000000001</v>
      </c>
      <c r="E976" s="4">
        <v>0</v>
      </c>
      <c r="F976" s="4">
        <v>2</v>
      </c>
      <c r="G976" s="4">
        <v>2</v>
      </c>
      <c r="H976" s="5">
        <v>40587</v>
      </c>
      <c r="I976" s="4">
        <v>1</v>
      </c>
      <c r="J976" s="4">
        <v>4</v>
      </c>
      <c r="K976" s="4" t="b">
        <f>IF(Append1[[#This Row],[days]]="working day",FALSE,TRUE)</f>
        <v>1</v>
      </c>
      <c r="L976" s="4">
        <v>0</v>
      </c>
      <c r="M976" s="4">
        <v>2</v>
      </c>
      <c r="N976" s="6">
        <v>0.2</v>
      </c>
      <c r="O976" s="2" t="str">
        <f>IF(Append1[[#This Row],[weekday]]=0,"holiday",IF(AND(Append1[[#This Row],[weekday]]&gt;1,Append1[[#This Row],[weekday]]&lt;7),"working day","weekend"))</f>
        <v>holiday</v>
      </c>
      <c r="P976" s="4" t="str">
        <f>IF(Append1[[#This Row],[weathersit]]=0,"sunny",IF(Append1[[#This Row],[weathersit]]=1,"mist",IF(Append1[[#This Row],[weathersit]]=2,"lightrain","extremerain")))</f>
        <v>lightrain</v>
      </c>
    </row>
    <row r="977" spans="1:16" x14ac:dyDescent="0.25">
      <c r="A977" s="4">
        <v>975</v>
      </c>
      <c r="B977" s="4">
        <v>0.21210000000000001</v>
      </c>
      <c r="C977" s="4">
        <v>0.69</v>
      </c>
      <c r="D977" s="4">
        <v>0.1343</v>
      </c>
      <c r="E977" s="4">
        <v>2</v>
      </c>
      <c r="F977" s="4">
        <v>3</v>
      </c>
      <c r="G977" s="4">
        <v>5</v>
      </c>
      <c r="H977" s="5">
        <v>40587</v>
      </c>
      <c r="I977" s="4">
        <v>1</v>
      </c>
      <c r="J977" s="4">
        <v>6</v>
      </c>
      <c r="K977" s="4" t="b">
        <f>IF(Append1[[#This Row],[days]]="working day",FALSE,TRUE)</f>
        <v>1</v>
      </c>
      <c r="L977" s="4">
        <v>0</v>
      </c>
      <c r="M977" s="4">
        <v>2</v>
      </c>
      <c r="N977" s="6">
        <v>0.2</v>
      </c>
      <c r="O977" s="2" t="str">
        <f>IF(Append1[[#This Row],[weekday]]=0,"holiday",IF(AND(Append1[[#This Row],[weekday]]&gt;1,Append1[[#This Row],[weekday]]&lt;7),"working day","weekend"))</f>
        <v>holiday</v>
      </c>
      <c r="P977" s="4" t="str">
        <f>IF(Append1[[#This Row],[weathersit]]=0,"sunny",IF(Append1[[#This Row],[weathersit]]=1,"mist",IF(Append1[[#This Row],[weathersit]]=2,"lightrain","extremerain")))</f>
        <v>lightrain</v>
      </c>
    </row>
    <row r="978" spans="1:16" x14ac:dyDescent="0.25">
      <c r="A978" s="4">
        <v>976</v>
      </c>
      <c r="B978" s="4">
        <v>0.2727</v>
      </c>
      <c r="C978" s="4">
        <v>0.55000000000000004</v>
      </c>
      <c r="D978" s="4">
        <v>0</v>
      </c>
      <c r="E978" s="4">
        <v>0</v>
      </c>
      <c r="F978" s="4">
        <v>3</v>
      </c>
      <c r="G978" s="4">
        <v>3</v>
      </c>
      <c r="H978" s="5">
        <v>40587</v>
      </c>
      <c r="I978" s="4">
        <v>1</v>
      </c>
      <c r="J978" s="4">
        <v>7</v>
      </c>
      <c r="K978" s="4" t="b">
        <f>IF(Append1[[#This Row],[days]]="working day",FALSE,TRUE)</f>
        <v>1</v>
      </c>
      <c r="L978" s="4">
        <v>0</v>
      </c>
      <c r="M978" s="4">
        <v>2</v>
      </c>
      <c r="N978" s="6">
        <v>0.22</v>
      </c>
      <c r="O978" s="2" t="str">
        <f>IF(Append1[[#This Row],[weekday]]=0,"holiday",IF(AND(Append1[[#This Row],[weekday]]&gt;1,Append1[[#This Row],[weekday]]&lt;7),"working day","weekend"))</f>
        <v>holiday</v>
      </c>
      <c r="P978" s="4" t="str">
        <f>IF(Append1[[#This Row],[weathersit]]=0,"sunny",IF(Append1[[#This Row],[weathersit]]=1,"mist",IF(Append1[[#This Row],[weathersit]]=2,"lightrain","extremerain")))</f>
        <v>lightrain</v>
      </c>
    </row>
    <row r="979" spans="1:16" x14ac:dyDescent="0.25">
      <c r="A979" s="4">
        <v>977</v>
      </c>
      <c r="B979" s="4">
        <v>0.2273</v>
      </c>
      <c r="C979" s="4">
        <v>0.64</v>
      </c>
      <c r="D979" s="4">
        <v>0.19400000000000001</v>
      </c>
      <c r="E979" s="4">
        <v>1</v>
      </c>
      <c r="F979" s="4">
        <v>11</v>
      </c>
      <c r="G979" s="4">
        <v>12</v>
      </c>
      <c r="H979" s="5">
        <v>40587</v>
      </c>
      <c r="I979" s="4">
        <v>1</v>
      </c>
      <c r="J979" s="4">
        <v>8</v>
      </c>
      <c r="K979" s="4" t="b">
        <f>IF(Append1[[#This Row],[days]]="working day",FALSE,TRUE)</f>
        <v>1</v>
      </c>
      <c r="L979" s="4">
        <v>0</v>
      </c>
      <c r="M979" s="4">
        <v>2</v>
      </c>
      <c r="N979" s="6">
        <v>0.22</v>
      </c>
      <c r="O979" s="2" t="str">
        <f>IF(Append1[[#This Row],[weekday]]=0,"holiday",IF(AND(Append1[[#This Row],[weekday]]&gt;1,Append1[[#This Row],[weekday]]&lt;7),"working day","weekend"))</f>
        <v>holiday</v>
      </c>
      <c r="P979" s="4" t="str">
        <f>IF(Append1[[#This Row],[weathersit]]=0,"sunny",IF(Append1[[#This Row],[weathersit]]=1,"mist",IF(Append1[[#This Row],[weathersit]]=2,"lightrain","extremerain")))</f>
        <v>lightrain</v>
      </c>
    </row>
    <row r="980" spans="1:16" x14ac:dyDescent="0.25">
      <c r="A980" s="4">
        <v>978</v>
      </c>
      <c r="B980" s="4">
        <v>0.2273</v>
      </c>
      <c r="C980" s="4">
        <v>0.6</v>
      </c>
      <c r="D980" s="4">
        <v>0.22389999999999999</v>
      </c>
      <c r="E980" s="4">
        <v>12</v>
      </c>
      <c r="F980" s="4">
        <v>35</v>
      </c>
      <c r="G980" s="4">
        <v>47</v>
      </c>
      <c r="H980" s="5">
        <v>40587</v>
      </c>
      <c r="I980" s="4">
        <v>1</v>
      </c>
      <c r="J980" s="4">
        <v>9</v>
      </c>
      <c r="K980" s="4" t="b">
        <f>IF(Append1[[#This Row],[days]]="working day",FALSE,TRUE)</f>
        <v>1</v>
      </c>
      <c r="L980" s="4">
        <v>0</v>
      </c>
      <c r="M980" s="4">
        <v>2</v>
      </c>
      <c r="N980" s="6">
        <v>0.24</v>
      </c>
      <c r="O980" s="2" t="str">
        <f>IF(Append1[[#This Row],[weekday]]=0,"holiday",IF(AND(Append1[[#This Row],[weekday]]&gt;1,Append1[[#This Row],[weekday]]&lt;7),"working day","weekend"))</f>
        <v>holiday</v>
      </c>
      <c r="P980" s="4" t="str">
        <f>IF(Append1[[#This Row],[weathersit]]=0,"sunny",IF(Append1[[#This Row],[weathersit]]=1,"mist",IF(Append1[[#This Row],[weathersit]]=2,"lightrain","extremerain")))</f>
        <v>lightrain</v>
      </c>
    </row>
    <row r="981" spans="1:16" x14ac:dyDescent="0.25">
      <c r="A981" s="4">
        <v>979</v>
      </c>
      <c r="B981" s="4">
        <v>0.2727</v>
      </c>
      <c r="C981" s="4">
        <v>0.45</v>
      </c>
      <c r="D981" s="4">
        <v>0.32840000000000003</v>
      </c>
      <c r="E981" s="4">
        <v>19</v>
      </c>
      <c r="F981" s="4">
        <v>86</v>
      </c>
      <c r="G981" s="4">
        <v>105</v>
      </c>
      <c r="H981" s="5">
        <v>40587</v>
      </c>
      <c r="I981" s="4">
        <v>1</v>
      </c>
      <c r="J981" s="4">
        <v>10</v>
      </c>
      <c r="K981" s="4" t="b">
        <f>IF(Append1[[#This Row],[days]]="working day",FALSE,TRUE)</f>
        <v>1</v>
      </c>
      <c r="L981" s="4">
        <v>0</v>
      </c>
      <c r="M981" s="4">
        <v>1</v>
      </c>
      <c r="N981" s="6">
        <v>0.3</v>
      </c>
      <c r="O981" s="2" t="str">
        <f>IF(Append1[[#This Row],[weekday]]=0,"holiday",IF(AND(Append1[[#This Row],[weekday]]&gt;1,Append1[[#This Row],[weekday]]&lt;7),"working day","weekend"))</f>
        <v>holiday</v>
      </c>
      <c r="P981" s="4" t="str">
        <f>IF(Append1[[#This Row],[weathersit]]=0,"sunny",IF(Append1[[#This Row],[weathersit]]=1,"mist",IF(Append1[[#This Row],[weathersit]]=2,"lightrain","extremerain")))</f>
        <v>mist</v>
      </c>
    </row>
    <row r="982" spans="1:16" x14ac:dyDescent="0.25">
      <c r="A982" s="4">
        <v>980</v>
      </c>
      <c r="B982" s="4">
        <v>0.28789999999999999</v>
      </c>
      <c r="C982" s="4">
        <v>0.39</v>
      </c>
      <c r="D982" s="4">
        <v>0.44779999999999998</v>
      </c>
      <c r="E982" s="4">
        <v>26</v>
      </c>
      <c r="F982" s="4">
        <v>86</v>
      </c>
      <c r="G982" s="4">
        <v>112</v>
      </c>
      <c r="H982" s="5">
        <v>40587</v>
      </c>
      <c r="I982" s="4">
        <v>1</v>
      </c>
      <c r="J982" s="4">
        <v>11</v>
      </c>
      <c r="K982" s="4" t="b">
        <f>IF(Append1[[#This Row],[days]]="working day",FALSE,TRUE)</f>
        <v>1</v>
      </c>
      <c r="L982" s="4">
        <v>0</v>
      </c>
      <c r="M982" s="4">
        <v>1</v>
      </c>
      <c r="N982" s="6">
        <v>0.32</v>
      </c>
      <c r="O982" s="2" t="str">
        <f>IF(Append1[[#This Row],[weekday]]=0,"holiday",IF(AND(Append1[[#This Row],[weekday]]&gt;1,Append1[[#This Row],[weekday]]&lt;7),"working day","weekend"))</f>
        <v>holiday</v>
      </c>
      <c r="P982" s="4" t="str">
        <f>IF(Append1[[#This Row],[weathersit]]=0,"sunny",IF(Append1[[#This Row],[weathersit]]=1,"mist",IF(Append1[[#This Row],[weathersit]]=2,"lightrain","extremerain")))</f>
        <v>mist</v>
      </c>
    </row>
    <row r="983" spans="1:16" x14ac:dyDescent="0.25">
      <c r="A983" s="4">
        <v>981</v>
      </c>
      <c r="B983" s="4">
        <v>0.31819999999999998</v>
      </c>
      <c r="C983" s="4">
        <v>0.32</v>
      </c>
      <c r="D983" s="4">
        <v>0.4627</v>
      </c>
      <c r="E983" s="4">
        <v>58</v>
      </c>
      <c r="F983" s="4">
        <v>94</v>
      </c>
      <c r="G983" s="4">
        <v>152</v>
      </c>
      <c r="H983" s="5">
        <v>40587</v>
      </c>
      <c r="I983" s="4">
        <v>1</v>
      </c>
      <c r="J983" s="4">
        <v>12</v>
      </c>
      <c r="K983" s="4" t="b">
        <f>IF(Append1[[#This Row],[days]]="working day",FALSE,TRUE)</f>
        <v>1</v>
      </c>
      <c r="L983" s="4">
        <v>0</v>
      </c>
      <c r="M983" s="4">
        <v>1</v>
      </c>
      <c r="N983" s="6">
        <v>0.36</v>
      </c>
      <c r="O983" s="2" t="str">
        <f>IF(Append1[[#This Row],[weekday]]=0,"holiday",IF(AND(Append1[[#This Row],[weekday]]&gt;1,Append1[[#This Row],[weekday]]&lt;7),"working day","weekend"))</f>
        <v>holiday</v>
      </c>
      <c r="P983" s="4" t="str">
        <f>IF(Append1[[#This Row],[weathersit]]=0,"sunny",IF(Append1[[#This Row],[weathersit]]=1,"mist",IF(Append1[[#This Row],[weathersit]]=2,"lightrain","extremerain")))</f>
        <v>mist</v>
      </c>
    </row>
    <row r="984" spans="1:16" x14ac:dyDescent="0.25">
      <c r="A984" s="4">
        <v>982</v>
      </c>
      <c r="B984" s="4">
        <v>0.39389999999999997</v>
      </c>
      <c r="C984" s="4">
        <v>0.28999999999999998</v>
      </c>
      <c r="D984" s="4">
        <v>0.35820000000000002</v>
      </c>
      <c r="E984" s="4">
        <v>62</v>
      </c>
      <c r="F984" s="4">
        <v>92</v>
      </c>
      <c r="G984" s="4">
        <v>154</v>
      </c>
      <c r="H984" s="5">
        <v>40587</v>
      </c>
      <c r="I984" s="4">
        <v>1</v>
      </c>
      <c r="J984" s="4">
        <v>13</v>
      </c>
      <c r="K984" s="4" t="b">
        <f>IF(Append1[[#This Row],[days]]="working day",FALSE,TRUE)</f>
        <v>1</v>
      </c>
      <c r="L984" s="4">
        <v>0</v>
      </c>
      <c r="M984" s="4">
        <v>1</v>
      </c>
      <c r="N984" s="6">
        <v>0.38</v>
      </c>
      <c r="O984" s="2" t="str">
        <f>IF(Append1[[#This Row],[weekday]]=0,"holiday",IF(AND(Append1[[#This Row],[weekday]]&gt;1,Append1[[#This Row],[weekday]]&lt;7),"working day","weekend"))</f>
        <v>holiday</v>
      </c>
      <c r="P984" s="4" t="str">
        <f>IF(Append1[[#This Row],[weathersit]]=0,"sunny",IF(Append1[[#This Row],[weathersit]]=1,"mist",IF(Append1[[#This Row],[weathersit]]=2,"lightrain","extremerain")))</f>
        <v>mist</v>
      </c>
    </row>
    <row r="985" spans="1:16" x14ac:dyDescent="0.25">
      <c r="A985" s="4">
        <v>983</v>
      </c>
      <c r="B985" s="4">
        <v>0.40910000000000002</v>
      </c>
      <c r="C985" s="4">
        <v>0.3</v>
      </c>
      <c r="D985" s="4">
        <v>0.41789999999999999</v>
      </c>
      <c r="E985" s="4">
        <v>51</v>
      </c>
      <c r="F985" s="4">
        <v>110</v>
      </c>
      <c r="G985" s="4">
        <v>161</v>
      </c>
      <c r="H985" s="5">
        <v>40587</v>
      </c>
      <c r="I985" s="4">
        <v>1</v>
      </c>
      <c r="J985" s="4">
        <v>14</v>
      </c>
      <c r="K985" s="4" t="b">
        <f>IF(Append1[[#This Row],[days]]="working day",FALSE,TRUE)</f>
        <v>1</v>
      </c>
      <c r="L985" s="4">
        <v>0</v>
      </c>
      <c r="M985" s="4">
        <v>2</v>
      </c>
      <c r="N985" s="6">
        <v>0.4</v>
      </c>
      <c r="O985" s="2" t="str">
        <f>IF(Append1[[#This Row],[weekday]]=0,"holiday",IF(AND(Append1[[#This Row],[weekday]]&gt;1,Append1[[#This Row],[weekday]]&lt;7),"working day","weekend"))</f>
        <v>holiday</v>
      </c>
      <c r="P985" s="4" t="str">
        <f>IF(Append1[[#This Row],[weathersit]]=0,"sunny",IF(Append1[[#This Row],[weathersit]]=1,"mist",IF(Append1[[#This Row],[weathersit]]=2,"lightrain","extremerain")))</f>
        <v>lightrain</v>
      </c>
    </row>
    <row r="986" spans="1:16" x14ac:dyDescent="0.25">
      <c r="A986" s="4">
        <v>984</v>
      </c>
      <c r="B986" s="4">
        <v>0.40910000000000002</v>
      </c>
      <c r="C986" s="4">
        <v>0.3</v>
      </c>
      <c r="D986" s="4">
        <v>0.29849999999999999</v>
      </c>
      <c r="E986" s="4">
        <v>40</v>
      </c>
      <c r="F986" s="4">
        <v>122</v>
      </c>
      <c r="G986" s="4">
        <v>162</v>
      </c>
      <c r="H986" s="5">
        <v>40587</v>
      </c>
      <c r="I986" s="4">
        <v>1</v>
      </c>
      <c r="J986" s="4">
        <v>15</v>
      </c>
      <c r="K986" s="4" t="b">
        <f>IF(Append1[[#This Row],[days]]="working day",FALSE,TRUE)</f>
        <v>1</v>
      </c>
      <c r="L986" s="4">
        <v>0</v>
      </c>
      <c r="M986" s="4">
        <v>2</v>
      </c>
      <c r="N986" s="6">
        <v>0.4</v>
      </c>
      <c r="O986" s="2" t="str">
        <f>IF(Append1[[#This Row],[weekday]]=0,"holiday",IF(AND(Append1[[#This Row],[weekday]]&gt;1,Append1[[#This Row],[weekday]]&lt;7),"working day","weekend"))</f>
        <v>holiday</v>
      </c>
      <c r="P986" s="4" t="str">
        <f>IF(Append1[[#This Row],[weathersit]]=0,"sunny",IF(Append1[[#This Row],[weathersit]]=1,"mist",IF(Append1[[#This Row],[weathersit]]=2,"lightrain","extremerain")))</f>
        <v>lightrain</v>
      </c>
    </row>
    <row r="987" spans="1:16" x14ac:dyDescent="0.25">
      <c r="A987" s="4">
        <v>985</v>
      </c>
      <c r="B987" s="4">
        <v>0.42420000000000002</v>
      </c>
      <c r="C987" s="4">
        <v>0.28000000000000003</v>
      </c>
      <c r="D987" s="4">
        <v>0.32840000000000003</v>
      </c>
      <c r="E987" s="4">
        <v>28</v>
      </c>
      <c r="F987" s="4">
        <v>106</v>
      </c>
      <c r="G987" s="4">
        <v>134</v>
      </c>
      <c r="H987" s="5">
        <v>40587</v>
      </c>
      <c r="I987" s="4">
        <v>1</v>
      </c>
      <c r="J987" s="4">
        <v>16</v>
      </c>
      <c r="K987" s="4" t="b">
        <f>IF(Append1[[#This Row],[days]]="working day",FALSE,TRUE)</f>
        <v>1</v>
      </c>
      <c r="L987" s="4">
        <v>0</v>
      </c>
      <c r="M987" s="4">
        <v>2</v>
      </c>
      <c r="N987" s="6">
        <v>0.42</v>
      </c>
      <c r="O987" s="2" t="str">
        <f>IF(Append1[[#This Row],[weekday]]=0,"holiday",IF(AND(Append1[[#This Row],[weekday]]&gt;1,Append1[[#This Row],[weekday]]&lt;7),"working day","weekend"))</f>
        <v>holiday</v>
      </c>
      <c r="P987" s="4" t="str">
        <f>IF(Append1[[#This Row],[weathersit]]=0,"sunny",IF(Append1[[#This Row],[weathersit]]=1,"mist",IF(Append1[[#This Row],[weathersit]]=2,"lightrain","extremerain")))</f>
        <v>lightrain</v>
      </c>
    </row>
    <row r="988" spans="1:16" x14ac:dyDescent="0.25">
      <c r="A988" s="4">
        <v>986</v>
      </c>
      <c r="B988" s="4">
        <v>0.42420000000000002</v>
      </c>
      <c r="C988" s="4">
        <v>0.28000000000000003</v>
      </c>
      <c r="D988" s="4">
        <v>0.32840000000000003</v>
      </c>
      <c r="E988" s="4">
        <v>30</v>
      </c>
      <c r="F988" s="4">
        <v>95</v>
      </c>
      <c r="G988" s="4">
        <v>125</v>
      </c>
      <c r="H988" s="5">
        <v>40587</v>
      </c>
      <c r="I988" s="4">
        <v>1</v>
      </c>
      <c r="J988" s="4">
        <v>17</v>
      </c>
      <c r="K988" s="4" t="b">
        <f>IF(Append1[[#This Row],[days]]="working day",FALSE,TRUE)</f>
        <v>1</v>
      </c>
      <c r="L988" s="4">
        <v>0</v>
      </c>
      <c r="M988" s="4">
        <v>1</v>
      </c>
      <c r="N988" s="6">
        <v>0.42</v>
      </c>
      <c r="O988" s="2" t="str">
        <f>IF(Append1[[#This Row],[weekday]]=0,"holiday",IF(AND(Append1[[#This Row],[weekday]]&gt;1,Append1[[#This Row],[weekday]]&lt;7),"working day","weekend"))</f>
        <v>holiday</v>
      </c>
      <c r="P988" s="4" t="str">
        <f>IF(Append1[[#This Row],[weathersit]]=0,"sunny",IF(Append1[[#This Row],[weathersit]]=1,"mist",IF(Append1[[#This Row],[weathersit]]=2,"lightrain","extremerain")))</f>
        <v>mist</v>
      </c>
    </row>
    <row r="989" spans="1:16" x14ac:dyDescent="0.25">
      <c r="A989" s="4">
        <v>987</v>
      </c>
      <c r="B989" s="4">
        <v>0.40910000000000002</v>
      </c>
      <c r="C989" s="4">
        <v>0.32</v>
      </c>
      <c r="D989" s="4">
        <v>0.29849999999999999</v>
      </c>
      <c r="E989" s="4">
        <v>17</v>
      </c>
      <c r="F989" s="4">
        <v>78</v>
      </c>
      <c r="G989" s="4">
        <v>95</v>
      </c>
      <c r="H989" s="5">
        <v>40587</v>
      </c>
      <c r="I989" s="4">
        <v>1</v>
      </c>
      <c r="J989" s="4">
        <v>18</v>
      </c>
      <c r="K989" s="4" t="b">
        <f>IF(Append1[[#This Row],[days]]="working day",FALSE,TRUE)</f>
        <v>1</v>
      </c>
      <c r="L989" s="4">
        <v>0</v>
      </c>
      <c r="M989" s="4">
        <v>1</v>
      </c>
      <c r="N989" s="6">
        <v>0.4</v>
      </c>
      <c r="O989" s="2" t="str">
        <f>IF(Append1[[#This Row],[weekday]]=0,"holiday",IF(AND(Append1[[#This Row],[weekday]]&gt;1,Append1[[#This Row],[weekday]]&lt;7),"working day","weekend"))</f>
        <v>holiday</v>
      </c>
      <c r="P989" s="4" t="str">
        <f>IF(Append1[[#This Row],[weathersit]]=0,"sunny",IF(Append1[[#This Row],[weathersit]]=1,"mist",IF(Append1[[#This Row],[weathersit]]=2,"lightrain","extremerain")))</f>
        <v>mist</v>
      </c>
    </row>
    <row r="990" spans="1:16" x14ac:dyDescent="0.25">
      <c r="A990" s="4">
        <v>988</v>
      </c>
      <c r="B990" s="4">
        <v>0.40910000000000002</v>
      </c>
      <c r="C990" s="4">
        <v>0.35</v>
      </c>
      <c r="D990" s="4">
        <v>0.28360000000000002</v>
      </c>
      <c r="E990" s="4">
        <v>11</v>
      </c>
      <c r="F990" s="4">
        <v>50</v>
      </c>
      <c r="G990" s="4">
        <v>61</v>
      </c>
      <c r="H990" s="5">
        <v>40587</v>
      </c>
      <c r="I990" s="4">
        <v>1</v>
      </c>
      <c r="J990" s="4">
        <v>19</v>
      </c>
      <c r="K990" s="4" t="b">
        <f>IF(Append1[[#This Row],[days]]="working day",FALSE,TRUE)</f>
        <v>1</v>
      </c>
      <c r="L990" s="4">
        <v>0</v>
      </c>
      <c r="M990" s="4">
        <v>1</v>
      </c>
      <c r="N990" s="6">
        <v>0.4</v>
      </c>
      <c r="O990" s="2" t="str">
        <f>IF(Append1[[#This Row],[weekday]]=0,"holiday",IF(AND(Append1[[#This Row],[weekday]]&gt;1,Append1[[#This Row],[weekday]]&lt;7),"working day","weekend"))</f>
        <v>holiday</v>
      </c>
      <c r="P990" s="4" t="str">
        <f>IF(Append1[[#This Row],[weathersit]]=0,"sunny",IF(Append1[[#This Row],[weathersit]]=1,"mist",IF(Append1[[#This Row],[weathersit]]=2,"lightrain","extremerain")))</f>
        <v>mist</v>
      </c>
    </row>
    <row r="991" spans="1:16" x14ac:dyDescent="0.25">
      <c r="A991" s="4">
        <v>989</v>
      </c>
      <c r="B991" s="4">
        <v>0.40910000000000002</v>
      </c>
      <c r="C991" s="4">
        <v>0.35</v>
      </c>
      <c r="D991" s="4">
        <v>0.32840000000000003</v>
      </c>
      <c r="E991" s="4">
        <v>15</v>
      </c>
      <c r="F991" s="4">
        <v>32</v>
      </c>
      <c r="G991" s="4">
        <v>47</v>
      </c>
      <c r="H991" s="5">
        <v>40587</v>
      </c>
      <c r="I991" s="4">
        <v>1</v>
      </c>
      <c r="J991" s="4">
        <v>20</v>
      </c>
      <c r="K991" s="4" t="b">
        <f>IF(Append1[[#This Row],[days]]="working day",FALSE,TRUE)</f>
        <v>1</v>
      </c>
      <c r="L991" s="4">
        <v>0</v>
      </c>
      <c r="M991" s="4">
        <v>1</v>
      </c>
      <c r="N991" s="6">
        <v>0.4</v>
      </c>
      <c r="O991" s="2" t="str">
        <f>IF(Append1[[#This Row],[weekday]]=0,"holiday",IF(AND(Append1[[#This Row],[weekday]]&gt;1,Append1[[#This Row],[weekday]]&lt;7),"working day","weekend"))</f>
        <v>holiday</v>
      </c>
      <c r="P991" s="4" t="str">
        <f>IF(Append1[[#This Row],[weathersit]]=0,"sunny",IF(Append1[[#This Row],[weathersit]]=1,"mist",IF(Append1[[#This Row],[weathersit]]=2,"lightrain","extremerain")))</f>
        <v>mist</v>
      </c>
    </row>
    <row r="992" spans="1:16" x14ac:dyDescent="0.25">
      <c r="A992" s="4">
        <v>990</v>
      </c>
      <c r="B992" s="4">
        <v>0.40910000000000002</v>
      </c>
      <c r="C992" s="4">
        <v>0.35</v>
      </c>
      <c r="D992" s="4">
        <v>0.35820000000000002</v>
      </c>
      <c r="E992" s="4">
        <v>6</v>
      </c>
      <c r="F992" s="4">
        <v>45</v>
      </c>
      <c r="G992" s="4">
        <v>51</v>
      </c>
      <c r="H992" s="5">
        <v>40587</v>
      </c>
      <c r="I992" s="4">
        <v>1</v>
      </c>
      <c r="J992" s="4">
        <v>21</v>
      </c>
      <c r="K992" s="4" t="b">
        <f>IF(Append1[[#This Row],[days]]="working day",FALSE,TRUE)</f>
        <v>1</v>
      </c>
      <c r="L992" s="4">
        <v>0</v>
      </c>
      <c r="M992" s="4">
        <v>1</v>
      </c>
      <c r="N992" s="6">
        <v>0.4</v>
      </c>
      <c r="O992" s="2" t="str">
        <f>IF(Append1[[#This Row],[weekday]]=0,"holiday",IF(AND(Append1[[#This Row],[weekday]]&gt;1,Append1[[#This Row],[weekday]]&lt;7),"working day","weekend"))</f>
        <v>holiday</v>
      </c>
      <c r="P992" s="4" t="str">
        <f>IF(Append1[[#This Row],[weathersit]]=0,"sunny",IF(Append1[[#This Row],[weathersit]]=1,"mist",IF(Append1[[#This Row],[weathersit]]=2,"lightrain","extremerain")))</f>
        <v>mist</v>
      </c>
    </row>
    <row r="993" spans="1:16" x14ac:dyDescent="0.25">
      <c r="A993" s="4">
        <v>991</v>
      </c>
      <c r="B993" s="4">
        <v>0.40910000000000002</v>
      </c>
      <c r="C993" s="4">
        <v>0.35</v>
      </c>
      <c r="D993" s="4">
        <v>0.29849999999999999</v>
      </c>
      <c r="E993" s="4">
        <v>5</v>
      </c>
      <c r="F993" s="4">
        <v>31</v>
      </c>
      <c r="G993" s="4">
        <v>36</v>
      </c>
      <c r="H993" s="5">
        <v>40587</v>
      </c>
      <c r="I993" s="4">
        <v>1</v>
      </c>
      <c r="J993" s="4">
        <v>22</v>
      </c>
      <c r="K993" s="4" t="b">
        <f>IF(Append1[[#This Row],[days]]="working day",FALSE,TRUE)</f>
        <v>1</v>
      </c>
      <c r="L993" s="4">
        <v>0</v>
      </c>
      <c r="M993" s="4">
        <v>1</v>
      </c>
      <c r="N993" s="6">
        <v>0.4</v>
      </c>
      <c r="O993" s="2" t="str">
        <f>IF(Append1[[#This Row],[weekday]]=0,"holiday",IF(AND(Append1[[#This Row],[weekday]]&gt;1,Append1[[#This Row],[weekday]]&lt;7),"working day","weekend"))</f>
        <v>holiday</v>
      </c>
      <c r="P993" s="4" t="str">
        <f>IF(Append1[[#This Row],[weathersit]]=0,"sunny",IF(Append1[[#This Row],[weathersit]]=1,"mist",IF(Append1[[#This Row],[weathersit]]=2,"lightrain","extremerain")))</f>
        <v>mist</v>
      </c>
    </row>
    <row r="994" spans="1:16" x14ac:dyDescent="0.25">
      <c r="A994" s="4">
        <v>992</v>
      </c>
      <c r="B994" s="4">
        <v>0.40910000000000002</v>
      </c>
      <c r="C994" s="4">
        <v>0.35</v>
      </c>
      <c r="D994" s="4">
        <v>0.35820000000000002</v>
      </c>
      <c r="E994" s="4">
        <v>3</v>
      </c>
      <c r="F994" s="4">
        <v>27</v>
      </c>
      <c r="G994" s="4">
        <v>30</v>
      </c>
      <c r="H994" s="5">
        <v>40587</v>
      </c>
      <c r="I994" s="4">
        <v>1</v>
      </c>
      <c r="J994" s="4">
        <v>23</v>
      </c>
      <c r="K994" s="4" t="b">
        <f>IF(Append1[[#This Row],[days]]="working day",FALSE,TRUE)</f>
        <v>1</v>
      </c>
      <c r="L994" s="4">
        <v>0</v>
      </c>
      <c r="M994" s="4">
        <v>1</v>
      </c>
      <c r="N994" s="6">
        <v>0.4</v>
      </c>
      <c r="O994" s="2" t="str">
        <f>IF(Append1[[#This Row],[weekday]]=0,"holiday",IF(AND(Append1[[#This Row],[weekday]]&gt;1,Append1[[#This Row],[weekday]]&lt;7),"working day","weekend"))</f>
        <v>holiday</v>
      </c>
      <c r="P994" s="4" t="str">
        <f>IF(Append1[[#This Row],[weathersit]]=0,"sunny",IF(Append1[[#This Row],[weathersit]]=1,"mist",IF(Append1[[#This Row],[weathersit]]=2,"lightrain","extremerain")))</f>
        <v>mist</v>
      </c>
    </row>
    <row r="995" spans="1:16" x14ac:dyDescent="0.25">
      <c r="A995" s="4">
        <v>993</v>
      </c>
      <c r="B995" s="4">
        <v>0.39389999999999997</v>
      </c>
      <c r="C995" s="4">
        <v>0.37</v>
      </c>
      <c r="D995" s="4">
        <v>0.35820000000000002</v>
      </c>
      <c r="E995" s="4">
        <v>3</v>
      </c>
      <c r="F995" s="4">
        <v>8</v>
      </c>
      <c r="G995" s="4">
        <v>11</v>
      </c>
      <c r="H995" s="5">
        <v>40588</v>
      </c>
      <c r="I995" s="4">
        <v>1</v>
      </c>
      <c r="J995" s="4">
        <v>0</v>
      </c>
      <c r="K995" s="4" t="b">
        <f>IF(Append1[[#This Row],[days]]="working day",FALSE,TRUE)</f>
        <v>1</v>
      </c>
      <c r="L995" s="4">
        <v>1</v>
      </c>
      <c r="M995" s="4">
        <v>1</v>
      </c>
      <c r="N995" s="6">
        <v>0.38</v>
      </c>
      <c r="O995" s="2" t="str">
        <f>IF(Append1[[#This Row],[weekday]]=0,"holiday",IF(AND(Append1[[#This Row],[weekday]]&gt;1,Append1[[#This Row],[weekday]]&lt;7),"working day","weekend"))</f>
        <v>weekend</v>
      </c>
      <c r="P995" s="4" t="str">
        <f>IF(Append1[[#This Row],[weathersit]]=0,"sunny",IF(Append1[[#This Row],[weathersit]]=1,"mist",IF(Append1[[#This Row],[weathersit]]=2,"lightrain","extremerain")))</f>
        <v>mist</v>
      </c>
    </row>
    <row r="996" spans="1:16" x14ac:dyDescent="0.25">
      <c r="A996" s="4">
        <v>994</v>
      </c>
      <c r="B996" s="4">
        <v>0.39389999999999997</v>
      </c>
      <c r="C996" s="4">
        <v>0.37</v>
      </c>
      <c r="D996" s="4">
        <v>0.35820000000000002</v>
      </c>
      <c r="E996" s="4">
        <v>1</v>
      </c>
      <c r="F996" s="4">
        <v>6</v>
      </c>
      <c r="G996" s="4">
        <v>7</v>
      </c>
      <c r="H996" s="5">
        <v>40588</v>
      </c>
      <c r="I996" s="4">
        <v>1</v>
      </c>
      <c r="J996" s="4">
        <v>1</v>
      </c>
      <c r="K996" s="4" t="b">
        <f>IF(Append1[[#This Row],[days]]="working day",FALSE,TRUE)</f>
        <v>1</v>
      </c>
      <c r="L996" s="4">
        <v>1</v>
      </c>
      <c r="M996" s="4">
        <v>1</v>
      </c>
      <c r="N996" s="6">
        <v>0.38</v>
      </c>
      <c r="O996" s="2" t="str">
        <f>IF(Append1[[#This Row],[weekday]]=0,"holiday",IF(AND(Append1[[#This Row],[weekday]]&gt;1,Append1[[#This Row],[weekday]]&lt;7),"working day","weekend"))</f>
        <v>weekend</v>
      </c>
      <c r="P996" s="4" t="str">
        <f>IF(Append1[[#This Row],[weathersit]]=0,"sunny",IF(Append1[[#This Row],[weathersit]]=1,"mist",IF(Append1[[#This Row],[weathersit]]=2,"lightrain","extremerain")))</f>
        <v>mist</v>
      </c>
    </row>
    <row r="997" spans="1:16" x14ac:dyDescent="0.25">
      <c r="A997" s="4">
        <v>995</v>
      </c>
      <c r="B997" s="4">
        <v>0.33329999999999999</v>
      </c>
      <c r="C997" s="4">
        <v>0.4</v>
      </c>
      <c r="D997" s="4">
        <v>0.29849999999999999</v>
      </c>
      <c r="E997" s="4">
        <v>0</v>
      </c>
      <c r="F997" s="4">
        <v>2</v>
      </c>
      <c r="G997" s="4">
        <v>2</v>
      </c>
      <c r="H997" s="5">
        <v>40588</v>
      </c>
      <c r="I997" s="4">
        <v>1</v>
      </c>
      <c r="J997" s="4">
        <v>2</v>
      </c>
      <c r="K997" s="4" t="b">
        <f>IF(Append1[[#This Row],[days]]="working day",FALSE,TRUE)</f>
        <v>1</v>
      </c>
      <c r="L997" s="4">
        <v>1</v>
      </c>
      <c r="M997" s="4">
        <v>1</v>
      </c>
      <c r="N997" s="6">
        <v>0.36</v>
      </c>
      <c r="O997" s="2" t="str">
        <f>IF(Append1[[#This Row],[weekday]]=0,"holiday",IF(AND(Append1[[#This Row],[weekday]]&gt;1,Append1[[#This Row],[weekday]]&lt;7),"working day","weekend"))</f>
        <v>weekend</v>
      </c>
      <c r="P997" s="4" t="str">
        <f>IF(Append1[[#This Row],[weathersit]]=0,"sunny",IF(Append1[[#This Row],[weathersit]]=1,"mist",IF(Append1[[#This Row],[weathersit]]=2,"lightrain","extremerain")))</f>
        <v>mist</v>
      </c>
    </row>
    <row r="998" spans="1:16" x14ac:dyDescent="0.25">
      <c r="A998" s="4">
        <v>996</v>
      </c>
      <c r="B998" s="4">
        <v>0.31819999999999998</v>
      </c>
      <c r="C998" s="4">
        <v>0.46</v>
      </c>
      <c r="D998" s="4">
        <v>0.22389999999999999</v>
      </c>
      <c r="E998" s="4">
        <v>1</v>
      </c>
      <c r="F998" s="4">
        <v>1</v>
      </c>
      <c r="G998" s="4">
        <v>2</v>
      </c>
      <c r="H998" s="5">
        <v>40588</v>
      </c>
      <c r="I998" s="4">
        <v>1</v>
      </c>
      <c r="J998" s="4">
        <v>3</v>
      </c>
      <c r="K998" s="4" t="b">
        <f>IF(Append1[[#This Row],[days]]="working day",FALSE,TRUE)</f>
        <v>1</v>
      </c>
      <c r="L998" s="4">
        <v>1</v>
      </c>
      <c r="M998" s="4">
        <v>1</v>
      </c>
      <c r="N998" s="6">
        <v>0.34</v>
      </c>
      <c r="O998" s="2" t="str">
        <f>IF(Append1[[#This Row],[weekday]]=0,"holiday",IF(AND(Append1[[#This Row],[weekday]]&gt;1,Append1[[#This Row],[weekday]]&lt;7),"working day","weekend"))</f>
        <v>weekend</v>
      </c>
      <c r="P998" s="4" t="str">
        <f>IF(Append1[[#This Row],[weathersit]]=0,"sunny",IF(Append1[[#This Row],[weathersit]]=1,"mist",IF(Append1[[#This Row],[weathersit]]=2,"lightrain","extremerain")))</f>
        <v>mist</v>
      </c>
    </row>
    <row r="999" spans="1:16" x14ac:dyDescent="0.25">
      <c r="A999" s="4">
        <v>997</v>
      </c>
      <c r="B999" s="4">
        <v>0.30299999999999999</v>
      </c>
      <c r="C999" s="4">
        <v>0.53</v>
      </c>
      <c r="D999" s="4">
        <v>0.28360000000000002</v>
      </c>
      <c r="E999" s="4">
        <v>0</v>
      </c>
      <c r="F999" s="4">
        <v>2</v>
      </c>
      <c r="G999" s="4">
        <v>2</v>
      </c>
      <c r="H999" s="5">
        <v>40588</v>
      </c>
      <c r="I999" s="4">
        <v>1</v>
      </c>
      <c r="J999" s="4">
        <v>4</v>
      </c>
      <c r="K999" s="4" t="b">
        <f>IF(Append1[[#This Row],[days]]="working day",FALSE,TRUE)</f>
        <v>1</v>
      </c>
      <c r="L999" s="4">
        <v>1</v>
      </c>
      <c r="M999" s="4">
        <v>1</v>
      </c>
      <c r="N999" s="6">
        <v>0.32</v>
      </c>
      <c r="O999" s="2" t="str">
        <f>IF(Append1[[#This Row],[weekday]]=0,"holiday",IF(AND(Append1[[#This Row],[weekday]]&gt;1,Append1[[#This Row],[weekday]]&lt;7),"working day","weekend"))</f>
        <v>weekend</v>
      </c>
      <c r="P999" s="4" t="str">
        <f>IF(Append1[[#This Row],[weathersit]]=0,"sunny",IF(Append1[[#This Row],[weathersit]]=1,"mist",IF(Append1[[#This Row],[weathersit]]=2,"lightrain","extremerain")))</f>
        <v>mist</v>
      </c>
    </row>
    <row r="1000" spans="1:16" x14ac:dyDescent="0.25">
      <c r="A1000" s="4">
        <v>998</v>
      </c>
      <c r="B1000" s="4">
        <v>0.30299999999999999</v>
      </c>
      <c r="C1000" s="4">
        <v>0.53</v>
      </c>
      <c r="D1000" s="4">
        <v>0.28360000000000002</v>
      </c>
      <c r="E1000" s="4">
        <v>0</v>
      </c>
      <c r="F1000" s="4">
        <v>3</v>
      </c>
      <c r="G1000" s="4">
        <v>3</v>
      </c>
      <c r="H1000" s="5">
        <v>40588</v>
      </c>
      <c r="I1000" s="4">
        <v>1</v>
      </c>
      <c r="J1000" s="4">
        <v>5</v>
      </c>
      <c r="K1000" s="4" t="b">
        <f>IF(Append1[[#This Row],[days]]="working day",FALSE,TRUE)</f>
        <v>1</v>
      </c>
      <c r="L1000" s="4">
        <v>1</v>
      </c>
      <c r="M1000" s="4">
        <v>1</v>
      </c>
      <c r="N1000" s="6">
        <v>0.32</v>
      </c>
      <c r="O1000" s="2" t="str">
        <f>IF(Append1[[#This Row],[weekday]]=0,"holiday",IF(AND(Append1[[#This Row],[weekday]]&gt;1,Append1[[#This Row],[weekday]]&lt;7),"working day","weekend"))</f>
        <v>weekend</v>
      </c>
      <c r="P1000" s="4" t="str">
        <f>IF(Append1[[#This Row],[weathersit]]=0,"sunny",IF(Append1[[#This Row],[weathersit]]=1,"mist",IF(Append1[[#This Row],[weathersit]]=2,"lightrain","extremerain")))</f>
        <v>mist</v>
      </c>
    </row>
    <row r="1001" spans="1:16" x14ac:dyDescent="0.25">
      <c r="A1001" s="4">
        <v>999</v>
      </c>
      <c r="B1001" s="4">
        <v>0.30299999999999999</v>
      </c>
      <c r="C1001" s="4">
        <v>0.46</v>
      </c>
      <c r="D1001" s="4">
        <v>0.29849999999999999</v>
      </c>
      <c r="E1001" s="4">
        <v>1</v>
      </c>
      <c r="F1001" s="4">
        <v>25</v>
      </c>
      <c r="G1001" s="4">
        <v>26</v>
      </c>
      <c r="H1001" s="5">
        <v>40588</v>
      </c>
      <c r="I1001" s="4">
        <v>1</v>
      </c>
      <c r="J1001" s="4">
        <v>6</v>
      </c>
      <c r="K1001" s="4" t="b">
        <f>IF(Append1[[#This Row],[days]]="working day",FALSE,TRUE)</f>
        <v>1</v>
      </c>
      <c r="L1001" s="4">
        <v>1</v>
      </c>
      <c r="M1001" s="4">
        <v>1</v>
      </c>
      <c r="N1001" s="6">
        <v>0.34</v>
      </c>
      <c r="O1001" s="2" t="str">
        <f>IF(Append1[[#This Row],[weekday]]=0,"holiday",IF(AND(Append1[[#This Row],[weekday]]&gt;1,Append1[[#This Row],[weekday]]&lt;7),"working day","weekend"))</f>
        <v>weekend</v>
      </c>
      <c r="P1001" s="4" t="str">
        <f>IF(Append1[[#This Row],[weathersit]]=0,"sunny",IF(Append1[[#This Row],[weathersit]]=1,"mist",IF(Append1[[#This Row],[weathersit]]=2,"lightrain","extremerain")))</f>
        <v>mist</v>
      </c>
    </row>
    <row r="1002" spans="1:16" x14ac:dyDescent="0.25">
      <c r="A1002" s="4">
        <v>1000</v>
      </c>
      <c r="B1002" s="4">
        <v>0.30299999999999999</v>
      </c>
      <c r="C1002" s="4">
        <v>0.46</v>
      </c>
      <c r="D1002" s="4">
        <v>0.29849999999999999</v>
      </c>
      <c r="E1002" s="4">
        <v>2</v>
      </c>
      <c r="F1002" s="4">
        <v>96</v>
      </c>
      <c r="G1002" s="4">
        <v>98</v>
      </c>
      <c r="H1002" s="5">
        <v>40588</v>
      </c>
      <c r="I1002" s="4">
        <v>1</v>
      </c>
      <c r="J1002" s="4">
        <v>7</v>
      </c>
      <c r="K1002" s="4" t="b">
        <f>IF(Append1[[#This Row],[days]]="working day",FALSE,TRUE)</f>
        <v>1</v>
      </c>
      <c r="L1002" s="4">
        <v>1</v>
      </c>
      <c r="M1002" s="4">
        <v>1</v>
      </c>
      <c r="N1002" s="6">
        <v>0.34</v>
      </c>
      <c r="O1002" s="2" t="str">
        <f>IF(Append1[[#This Row],[weekday]]=0,"holiday",IF(AND(Append1[[#This Row],[weekday]]&gt;1,Append1[[#This Row],[weekday]]&lt;7),"working day","weekend"))</f>
        <v>weekend</v>
      </c>
      <c r="P1002" s="4" t="str">
        <f>IF(Append1[[#This Row],[weathersit]]=0,"sunny",IF(Append1[[#This Row],[weathersit]]=1,"mist",IF(Append1[[#This Row],[weathersit]]=2,"lightrain","extremerain")))</f>
        <v>mist</v>
      </c>
    </row>
    <row r="1003" spans="1:16" x14ac:dyDescent="0.25">
      <c r="A1003" s="4"/>
      <c r="B1003" s="4"/>
      <c r="C1003" s="4"/>
      <c r="D1003" s="4"/>
      <c r="E1003" s="4"/>
      <c r="F1003" s="4"/>
      <c r="G1003" s="4"/>
      <c r="H1003" s="5"/>
      <c r="I1003" s="4"/>
      <c r="J1003" s="4"/>
      <c r="K1003" s="4"/>
      <c r="L1003" s="4"/>
      <c r="M1003" s="4"/>
      <c r="N1003" s="6"/>
      <c r="O1003" s="4"/>
      <c r="P1003" s="4"/>
    </row>
    <row r="1004" spans="1:16" x14ac:dyDescent="0.25">
      <c r="A1004" s="4"/>
      <c r="B1004" s="4"/>
      <c r="C1004" s="4"/>
      <c r="D1004" s="4"/>
      <c r="E1004" s="4"/>
      <c r="F1004" s="4"/>
      <c r="G1004" s="4"/>
      <c r="H1004" s="5"/>
      <c r="I1004" s="4"/>
      <c r="J1004" s="4"/>
      <c r="K1004" s="4"/>
      <c r="L1004" s="4"/>
      <c r="M1004" s="4"/>
      <c r="N1004" s="6"/>
      <c r="O1004" s="4"/>
      <c r="P1004" s="4"/>
    </row>
    <row r="1005" spans="1:16" x14ac:dyDescent="0.25">
      <c r="A1005" s="4"/>
      <c r="B1005" s="4"/>
      <c r="C1005" s="4"/>
      <c r="D1005" s="4"/>
      <c r="E1005" s="4"/>
      <c r="F1005" s="4"/>
      <c r="G1005" s="4"/>
      <c r="H1005" s="5"/>
      <c r="I1005" s="4"/>
      <c r="J1005" s="4"/>
      <c r="K1005" s="4"/>
      <c r="L1005" s="4"/>
      <c r="M1005" s="4"/>
      <c r="N1005" s="6"/>
      <c r="O1005" s="4"/>
      <c r="P1005" s="4"/>
    </row>
    <row r="1006" spans="1:16" x14ac:dyDescent="0.25">
      <c r="A1006" s="4"/>
      <c r="B1006" s="4"/>
      <c r="C1006" s="4"/>
      <c r="D1006" s="4"/>
      <c r="E1006" s="4"/>
      <c r="F1006" s="4"/>
      <c r="G1006" s="4"/>
      <c r="H1006" s="5"/>
      <c r="I1006" s="4"/>
      <c r="J1006" s="4"/>
      <c r="K1006" s="4"/>
      <c r="L1006" s="4"/>
      <c r="M1006" s="4"/>
      <c r="N1006" s="6"/>
      <c r="O1006" s="4"/>
      <c r="P1006" s="4"/>
    </row>
    <row r="1007" spans="1:16" x14ac:dyDescent="0.25">
      <c r="A1007" s="4"/>
      <c r="B1007" s="4"/>
      <c r="C1007" s="4"/>
      <c r="D1007" s="4"/>
      <c r="E1007" s="4"/>
      <c r="F1007" s="4"/>
      <c r="G1007" s="4"/>
      <c r="H1007" s="5"/>
      <c r="I1007" s="4"/>
      <c r="J1007" s="4"/>
      <c r="K1007" s="4"/>
      <c r="L1007" s="4"/>
      <c r="M1007" s="4"/>
      <c r="N1007" s="6"/>
      <c r="O1007" s="4"/>
      <c r="P1007" s="4"/>
    </row>
    <row r="1008" spans="1:16" x14ac:dyDescent="0.25">
      <c r="A1008" s="4"/>
      <c r="B1008" s="4"/>
      <c r="C1008" s="4"/>
      <c r="D1008" s="4"/>
      <c r="E1008" s="4"/>
      <c r="F1008" s="4"/>
      <c r="G1008" s="4"/>
      <c r="H1008" s="5"/>
      <c r="I1008" s="4"/>
      <c r="J1008" s="4"/>
      <c r="K1008" s="4"/>
      <c r="L1008" s="4"/>
      <c r="M1008" s="4"/>
      <c r="N1008" s="6"/>
      <c r="O1008" s="4"/>
      <c r="P1008" s="4"/>
    </row>
    <row r="1009" spans="1:16" x14ac:dyDescent="0.25">
      <c r="A1009" s="4"/>
      <c r="B1009" s="4"/>
      <c r="C1009" s="4"/>
      <c r="D1009" s="4"/>
      <c r="E1009" s="4"/>
      <c r="F1009" s="4"/>
      <c r="G1009" s="4"/>
      <c r="H1009" s="5"/>
      <c r="I1009" s="4"/>
      <c r="J1009" s="4"/>
      <c r="K1009" s="4"/>
      <c r="L1009" s="4"/>
      <c r="M1009" s="4"/>
      <c r="N1009" s="6"/>
      <c r="O1009" s="4"/>
      <c r="P1009" s="4"/>
    </row>
    <row r="1010" spans="1:16" x14ac:dyDescent="0.25">
      <c r="A1010" s="4"/>
      <c r="B1010" s="4"/>
      <c r="C1010" s="4"/>
      <c r="D1010" s="4"/>
      <c r="E1010" s="4"/>
      <c r="F1010" s="4"/>
      <c r="G1010" s="4"/>
      <c r="H1010" s="5"/>
      <c r="I1010" s="4"/>
      <c r="J1010" s="4"/>
      <c r="K1010" s="4"/>
      <c r="L1010" s="4"/>
      <c r="M1010" s="4"/>
      <c r="N1010" s="6"/>
      <c r="O1010" s="4"/>
      <c r="P1010" s="4"/>
    </row>
    <row r="1011" spans="1:16" x14ac:dyDescent="0.25">
      <c r="A1011" s="4"/>
      <c r="B1011" s="4"/>
      <c r="C1011" s="4"/>
      <c r="D1011" s="4"/>
      <c r="E1011" s="4"/>
      <c r="F1011" s="4"/>
      <c r="G1011" s="4"/>
      <c r="H1011" s="5"/>
      <c r="I1011" s="4"/>
      <c r="J1011" s="4"/>
      <c r="K1011" s="4"/>
      <c r="L1011" s="4"/>
      <c r="M1011" s="4"/>
      <c r="N1011" s="6"/>
      <c r="O1011" s="4"/>
      <c r="P1011" s="4"/>
    </row>
    <row r="1012" spans="1:16" x14ac:dyDescent="0.25">
      <c r="A1012" s="7"/>
      <c r="B1012" s="7"/>
      <c r="C1012" s="7"/>
      <c r="D1012" s="7"/>
      <c r="E1012" s="7"/>
      <c r="F1012" s="7"/>
      <c r="G1012" s="7"/>
      <c r="H1012" s="8"/>
      <c r="I1012" s="7"/>
      <c r="J1012" s="7"/>
      <c r="K1012" s="7"/>
      <c r="L1012" s="7"/>
      <c r="M1012" s="7"/>
      <c r="N1012" s="9"/>
      <c r="O1012" s="7"/>
      <c r="P1012" s="7"/>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E038C-A680-417D-AB32-285579E90E7E}">
  <dimension ref="A1:R612"/>
  <sheetViews>
    <sheetView tabSelected="1" workbookViewId="0">
      <selection activeCell="G22" sqref="G22"/>
    </sheetView>
  </sheetViews>
  <sheetFormatPr defaultRowHeight="15" x14ac:dyDescent="0.25"/>
  <cols>
    <col min="1" max="1" width="14" bestFit="1" customWidth="1"/>
    <col min="2" max="2" width="9.42578125" bestFit="1" customWidth="1"/>
    <col min="3" max="3" width="9" bestFit="1" customWidth="1"/>
    <col min="4" max="4" width="7.28515625" bestFit="1" customWidth="1"/>
    <col min="5" max="5" width="13.140625" bestFit="1" customWidth="1"/>
    <col min="6" max="6" width="8.7109375" bestFit="1" customWidth="1"/>
    <col min="7" max="7" width="12.42578125" bestFit="1" customWidth="1"/>
    <col min="8" max="8" width="6" bestFit="1" customWidth="1"/>
    <col min="9" max="9" width="11.42578125" bestFit="1" customWidth="1"/>
    <col min="10" max="10" width="9.7109375" bestFit="1" customWidth="1"/>
    <col min="11" max="11" width="9.42578125" bestFit="1" customWidth="1"/>
    <col min="12" max="12" width="5" bestFit="1" customWidth="1"/>
    <col min="13" max="13" width="8" bestFit="1" customWidth="1"/>
    <col min="14" max="14" width="5.140625" bestFit="1" customWidth="1"/>
    <col min="15" max="15" width="9.85546875" bestFit="1" customWidth="1"/>
    <col min="16" max="16" width="11.28515625" bestFit="1" customWidth="1"/>
    <col min="17" max="17" width="12.85546875" bestFit="1" customWidth="1"/>
    <col min="18" max="18" width="8"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0</v>
      </c>
      <c r="B2">
        <v>1</v>
      </c>
      <c r="C2">
        <v>0.28789999999999999</v>
      </c>
      <c r="D2">
        <v>0.81</v>
      </c>
      <c r="E2">
        <v>0</v>
      </c>
      <c r="F2">
        <v>3</v>
      </c>
      <c r="G2">
        <v>13</v>
      </c>
      <c r="H2">
        <v>16</v>
      </c>
      <c r="I2">
        <v>1</v>
      </c>
      <c r="J2" s="1">
        <v>40544</v>
      </c>
      <c r="K2">
        <v>1</v>
      </c>
      <c r="L2">
        <v>0</v>
      </c>
      <c r="M2">
        <v>1</v>
      </c>
      <c r="N2">
        <v>0</v>
      </c>
      <c r="O2" t="b">
        <v>0</v>
      </c>
      <c r="P2">
        <v>6</v>
      </c>
      <c r="Q2">
        <v>1</v>
      </c>
      <c r="R2">
        <v>0.24</v>
      </c>
    </row>
    <row r="3" spans="1:18" x14ac:dyDescent="0.25">
      <c r="A3">
        <v>1</v>
      </c>
      <c r="B3">
        <v>2</v>
      </c>
      <c r="C3">
        <v>0.2727</v>
      </c>
      <c r="D3">
        <v>0.8</v>
      </c>
      <c r="E3">
        <v>0</v>
      </c>
      <c r="F3">
        <v>8</v>
      </c>
      <c r="G3">
        <v>32</v>
      </c>
      <c r="H3">
        <v>40</v>
      </c>
      <c r="I3">
        <v>2</v>
      </c>
      <c r="J3" s="1">
        <v>40544</v>
      </c>
      <c r="K3">
        <v>1</v>
      </c>
      <c r="L3">
        <v>0</v>
      </c>
      <c r="M3">
        <v>1</v>
      </c>
      <c r="N3">
        <v>1</v>
      </c>
      <c r="O3" t="b">
        <v>0</v>
      </c>
      <c r="P3">
        <v>6</v>
      </c>
      <c r="Q3">
        <v>1</v>
      </c>
      <c r="R3">
        <v>0.22</v>
      </c>
    </row>
    <row r="4" spans="1:18" x14ac:dyDescent="0.25">
      <c r="A4">
        <v>2</v>
      </c>
      <c r="B4">
        <v>3</v>
      </c>
      <c r="C4">
        <v>0.2727</v>
      </c>
      <c r="D4">
        <v>0.8</v>
      </c>
      <c r="E4">
        <v>0</v>
      </c>
      <c r="F4">
        <v>5</v>
      </c>
      <c r="G4">
        <v>27</v>
      </c>
      <c r="H4">
        <v>32</v>
      </c>
      <c r="I4">
        <v>3</v>
      </c>
      <c r="J4" s="1">
        <v>40544</v>
      </c>
      <c r="K4">
        <v>1</v>
      </c>
      <c r="L4">
        <v>0</v>
      </c>
      <c r="M4">
        <v>1</v>
      </c>
      <c r="N4">
        <v>2</v>
      </c>
      <c r="O4" t="b">
        <v>0</v>
      </c>
      <c r="P4">
        <v>6</v>
      </c>
      <c r="Q4">
        <v>1</v>
      </c>
      <c r="R4">
        <v>0.22</v>
      </c>
    </row>
    <row r="5" spans="1:18" x14ac:dyDescent="0.25">
      <c r="A5">
        <v>3</v>
      </c>
      <c r="B5">
        <v>4</v>
      </c>
      <c r="C5">
        <v>0.28789999999999999</v>
      </c>
      <c r="D5">
        <v>0.75</v>
      </c>
      <c r="E5">
        <v>0</v>
      </c>
      <c r="F5">
        <v>3</v>
      </c>
      <c r="G5">
        <v>10</v>
      </c>
      <c r="H5">
        <v>13</v>
      </c>
      <c r="I5">
        <v>4</v>
      </c>
      <c r="J5" s="1">
        <v>40544</v>
      </c>
      <c r="K5">
        <v>1</v>
      </c>
      <c r="L5">
        <v>0</v>
      </c>
      <c r="M5">
        <v>1</v>
      </c>
      <c r="N5">
        <v>3</v>
      </c>
      <c r="O5" t="b">
        <v>0</v>
      </c>
      <c r="P5">
        <v>6</v>
      </c>
      <c r="Q5">
        <v>1</v>
      </c>
      <c r="R5">
        <v>0.24</v>
      </c>
    </row>
    <row r="6" spans="1:18" x14ac:dyDescent="0.25">
      <c r="A6">
        <v>4</v>
      </c>
      <c r="B6">
        <v>5</v>
      </c>
      <c r="C6">
        <v>0.28789999999999999</v>
      </c>
      <c r="D6">
        <v>0.75</v>
      </c>
      <c r="E6">
        <v>0</v>
      </c>
      <c r="F6">
        <v>0</v>
      </c>
      <c r="G6">
        <v>1</v>
      </c>
      <c r="H6">
        <v>1</v>
      </c>
      <c r="I6">
        <v>5</v>
      </c>
      <c r="J6" s="1">
        <v>40544</v>
      </c>
      <c r="K6">
        <v>1</v>
      </c>
      <c r="L6">
        <v>0</v>
      </c>
      <c r="M6">
        <v>1</v>
      </c>
      <c r="N6">
        <v>4</v>
      </c>
      <c r="O6" t="b">
        <v>0</v>
      </c>
      <c r="P6">
        <v>6</v>
      </c>
      <c r="Q6">
        <v>1</v>
      </c>
      <c r="R6">
        <v>0.24</v>
      </c>
    </row>
    <row r="7" spans="1:18" x14ac:dyDescent="0.25">
      <c r="A7">
        <v>5</v>
      </c>
      <c r="B7">
        <v>6</v>
      </c>
      <c r="C7">
        <v>0.2576</v>
      </c>
      <c r="D7">
        <v>0.75</v>
      </c>
      <c r="E7">
        <v>8.9599999999999999E-2</v>
      </c>
      <c r="F7">
        <v>0</v>
      </c>
      <c r="G7">
        <v>1</v>
      </c>
      <c r="H7">
        <v>1</v>
      </c>
      <c r="I7">
        <v>6</v>
      </c>
      <c r="J7" s="1">
        <v>40544</v>
      </c>
      <c r="K7">
        <v>1</v>
      </c>
      <c r="L7">
        <v>0</v>
      </c>
      <c r="M7">
        <v>1</v>
      </c>
      <c r="N7">
        <v>5</v>
      </c>
      <c r="O7" t="b">
        <v>0</v>
      </c>
      <c r="P7">
        <v>6</v>
      </c>
      <c r="Q7">
        <v>2</v>
      </c>
      <c r="R7">
        <v>0.24</v>
      </c>
    </row>
    <row r="8" spans="1:18" x14ac:dyDescent="0.25">
      <c r="A8">
        <v>6</v>
      </c>
      <c r="B8">
        <v>7</v>
      </c>
      <c r="C8">
        <v>0.2727</v>
      </c>
      <c r="D8">
        <v>0.8</v>
      </c>
      <c r="E8">
        <v>0</v>
      </c>
      <c r="F8">
        <v>2</v>
      </c>
      <c r="G8">
        <v>0</v>
      </c>
      <c r="H8">
        <v>2</v>
      </c>
      <c r="I8">
        <v>7</v>
      </c>
      <c r="J8" s="1">
        <v>40544</v>
      </c>
      <c r="K8">
        <v>1</v>
      </c>
      <c r="L8">
        <v>0</v>
      </c>
      <c r="M8">
        <v>1</v>
      </c>
      <c r="N8">
        <v>6</v>
      </c>
      <c r="O8" t="b">
        <v>0</v>
      </c>
      <c r="P8">
        <v>6</v>
      </c>
      <c r="Q8">
        <v>1</v>
      </c>
      <c r="R8">
        <v>0.22</v>
      </c>
    </row>
    <row r="9" spans="1:18" x14ac:dyDescent="0.25">
      <c r="A9">
        <v>7</v>
      </c>
      <c r="B9">
        <v>8</v>
      </c>
      <c r="C9">
        <v>0.2576</v>
      </c>
      <c r="D9">
        <v>0.86</v>
      </c>
      <c r="E9">
        <v>0</v>
      </c>
      <c r="F9">
        <v>1</v>
      </c>
      <c r="G9">
        <v>2</v>
      </c>
      <c r="H9">
        <v>3</v>
      </c>
      <c r="I9">
        <v>8</v>
      </c>
      <c r="J9" s="1">
        <v>40544</v>
      </c>
      <c r="K9">
        <v>1</v>
      </c>
      <c r="L9">
        <v>0</v>
      </c>
      <c r="M9">
        <v>1</v>
      </c>
      <c r="N9">
        <v>7</v>
      </c>
      <c r="O9" t="b">
        <v>0</v>
      </c>
      <c r="P9">
        <v>6</v>
      </c>
      <c r="Q9">
        <v>1</v>
      </c>
      <c r="R9">
        <v>0.2</v>
      </c>
    </row>
    <row r="10" spans="1:18" x14ac:dyDescent="0.25">
      <c r="A10">
        <v>8</v>
      </c>
      <c r="B10">
        <v>9</v>
      </c>
      <c r="D10">
        <v>0.75</v>
      </c>
      <c r="E10">
        <v>0</v>
      </c>
      <c r="F10">
        <v>1</v>
      </c>
      <c r="G10">
        <v>7</v>
      </c>
      <c r="H10">
        <v>8</v>
      </c>
      <c r="I10">
        <v>9</v>
      </c>
      <c r="J10" s="1">
        <v>40544</v>
      </c>
      <c r="K10">
        <v>1</v>
      </c>
      <c r="L10">
        <v>0</v>
      </c>
      <c r="M10">
        <v>1</v>
      </c>
      <c r="N10">
        <v>8</v>
      </c>
      <c r="O10" t="b">
        <v>0</v>
      </c>
      <c r="P10">
        <v>6</v>
      </c>
      <c r="Q10">
        <v>1</v>
      </c>
      <c r="R10">
        <v>0.24</v>
      </c>
    </row>
    <row r="11" spans="1:18" x14ac:dyDescent="0.25">
      <c r="A11">
        <v>9</v>
      </c>
      <c r="B11">
        <v>10</v>
      </c>
      <c r="C11">
        <v>0.34849999999999998</v>
      </c>
      <c r="D11">
        <v>0.76</v>
      </c>
      <c r="E11">
        <v>0</v>
      </c>
      <c r="F11">
        <v>8</v>
      </c>
      <c r="G11">
        <v>6</v>
      </c>
      <c r="H11">
        <v>14</v>
      </c>
      <c r="I11">
        <v>10</v>
      </c>
      <c r="J11" s="1">
        <v>40544</v>
      </c>
      <c r="K11">
        <v>1</v>
      </c>
      <c r="L11">
        <v>0</v>
      </c>
      <c r="M11">
        <v>1</v>
      </c>
      <c r="N11">
        <v>9</v>
      </c>
      <c r="O11" t="b">
        <v>0</v>
      </c>
      <c r="P11">
        <v>6</v>
      </c>
      <c r="Q11">
        <v>1</v>
      </c>
      <c r="R11">
        <v>0.32</v>
      </c>
    </row>
    <row r="12" spans="1:18" x14ac:dyDescent="0.25">
      <c r="A12">
        <v>10</v>
      </c>
      <c r="B12">
        <v>11</v>
      </c>
      <c r="C12">
        <v>0.39389999999999997</v>
      </c>
      <c r="D12">
        <v>0.76</v>
      </c>
      <c r="E12">
        <v>0.25369999999999998</v>
      </c>
      <c r="F12">
        <v>12</v>
      </c>
      <c r="G12">
        <v>24</v>
      </c>
      <c r="H12">
        <v>36</v>
      </c>
      <c r="I12">
        <v>11</v>
      </c>
      <c r="J12" s="1">
        <v>40544</v>
      </c>
      <c r="K12">
        <v>1</v>
      </c>
      <c r="L12">
        <v>0</v>
      </c>
      <c r="M12">
        <v>1</v>
      </c>
      <c r="N12">
        <v>10</v>
      </c>
      <c r="O12" t="b">
        <v>0</v>
      </c>
      <c r="P12">
        <v>6</v>
      </c>
      <c r="Q12">
        <v>1</v>
      </c>
      <c r="R12">
        <v>0.38</v>
      </c>
    </row>
    <row r="13" spans="1:18" x14ac:dyDescent="0.25">
      <c r="A13">
        <v>11</v>
      </c>
      <c r="B13">
        <v>12</v>
      </c>
      <c r="C13">
        <v>0.33329999999999999</v>
      </c>
      <c r="D13">
        <v>0.81</v>
      </c>
      <c r="E13">
        <v>0.28360000000000002</v>
      </c>
      <c r="F13">
        <v>26</v>
      </c>
      <c r="G13">
        <v>30</v>
      </c>
      <c r="H13">
        <v>56</v>
      </c>
      <c r="I13">
        <v>12</v>
      </c>
      <c r="J13" s="1">
        <v>40544</v>
      </c>
      <c r="K13">
        <v>1</v>
      </c>
      <c r="L13">
        <v>0</v>
      </c>
      <c r="M13">
        <v>1</v>
      </c>
      <c r="N13">
        <v>11</v>
      </c>
      <c r="O13" t="b">
        <v>0</v>
      </c>
      <c r="P13">
        <v>6</v>
      </c>
      <c r="Q13">
        <v>1</v>
      </c>
      <c r="R13">
        <v>0.36</v>
      </c>
    </row>
    <row r="14" spans="1:18" x14ac:dyDescent="0.25">
      <c r="A14">
        <v>12</v>
      </c>
      <c r="B14">
        <v>13</v>
      </c>
      <c r="C14">
        <v>0.42420000000000002</v>
      </c>
      <c r="D14">
        <v>0.77</v>
      </c>
      <c r="E14">
        <v>0.28360000000000002</v>
      </c>
      <c r="F14">
        <v>29</v>
      </c>
      <c r="G14">
        <v>55</v>
      </c>
      <c r="H14">
        <v>84</v>
      </c>
      <c r="I14">
        <v>13</v>
      </c>
      <c r="J14" s="1">
        <v>40544</v>
      </c>
      <c r="K14">
        <v>1</v>
      </c>
      <c r="L14">
        <v>0</v>
      </c>
      <c r="M14">
        <v>1</v>
      </c>
      <c r="N14">
        <v>12</v>
      </c>
      <c r="O14" t="b">
        <v>0</v>
      </c>
      <c r="P14">
        <v>6</v>
      </c>
      <c r="Q14">
        <v>1</v>
      </c>
      <c r="R14">
        <v>0.42</v>
      </c>
    </row>
    <row r="15" spans="1:18" x14ac:dyDescent="0.25">
      <c r="A15">
        <v>13</v>
      </c>
      <c r="B15">
        <v>14</v>
      </c>
      <c r="C15">
        <v>0.45450000000000002</v>
      </c>
      <c r="D15">
        <v>0.72</v>
      </c>
      <c r="E15">
        <v>0.29849999999999999</v>
      </c>
      <c r="F15">
        <v>47</v>
      </c>
      <c r="G15">
        <v>47</v>
      </c>
      <c r="H15">
        <v>94</v>
      </c>
      <c r="I15">
        <v>14</v>
      </c>
      <c r="J15" s="1">
        <v>40544</v>
      </c>
      <c r="K15">
        <v>1</v>
      </c>
      <c r="L15">
        <v>0</v>
      </c>
      <c r="M15">
        <v>1</v>
      </c>
      <c r="N15">
        <v>13</v>
      </c>
      <c r="O15" t="b">
        <v>0</v>
      </c>
      <c r="P15">
        <v>6</v>
      </c>
      <c r="Q15">
        <v>2</v>
      </c>
      <c r="R15">
        <v>0.46</v>
      </c>
    </row>
    <row r="16" spans="1:18" x14ac:dyDescent="0.25">
      <c r="A16">
        <v>14</v>
      </c>
      <c r="B16">
        <v>15</v>
      </c>
      <c r="C16">
        <v>0.45450000000000002</v>
      </c>
      <c r="D16">
        <v>0.72</v>
      </c>
      <c r="E16">
        <v>0.28360000000000002</v>
      </c>
      <c r="F16">
        <v>35</v>
      </c>
      <c r="G16">
        <v>71</v>
      </c>
      <c r="H16">
        <v>106</v>
      </c>
      <c r="I16">
        <v>15</v>
      </c>
      <c r="J16" s="1">
        <v>40544</v>
      </c>
      <c r="K16">
        <v>1</v>
      </c>
      <c r="L16">
        <v>0</v>
      </c>
      <c r="M16">
        <v>1</v>
      </c>
      <c r="N16">
        <v>14</v>
      </c>
      <c r="O16" t="b">
        <v>0</v>
      </c>
      <c r="P16">
        <v>6</v>
      </c>
      <c r="Q16">
        <v>2</v>
      </c>
      <c r="R16">
        <v>0.46</v>
      </c>
    </row>
    <row r="17" spans="1:18" x14ac:dyDescent="0.25">
      <c r="A17">
        <v>15</v>
      </c>
      <c r="B17">
        <v>16</v>
      </c>
      <c r="C17">
        <v>0.43940000000000001</v>
      </c>
      <c r="D17">
        <v>0.77</v>
      </c>
      <c r="E17">
        <v>0.29849999999999999</v>
      </c>
      <c r="F17">
        <v>40</v>
      </c>
      <c r="G17">
        <v>70</v>
      </c>
      <c r="H17">
        <v>110</v>
      </c>
      <c r="I17">
        <v>16</v>
      </c>
      <c r="J17" s="1">
        <v>40544</v>
      </c>
      <c r="K17">
        <v>1</v>
      </c>
      <c r="L17">
        <v>0</v>
      </c>
      <c r="M17">
        <v>1</v>
      </c>
      <c r="N17">
        <v>15</v>
      </c>
      <c r="O17" t="b">
        <v>0</v>
      </c>
      <c r="P17">
        <v>6</v>
      </c>
      <c r="Q17">
        <v>2</v>
      </c>
      <c r="R17">
        <v>0.44</v>
      </c>
    </row>
    <row r="18" spans="1:18" x14ac:dyDescent="0.25">
      <c r="A18">
        <v>16</v>
      </c>
      <c r="B18">
        <v>17</v>
      </c>
      <c r="C18">
        <v>0.42420000000000002</v>
      </c>
      <c r="D18">
        <v>0.82</v>
      </c>
      <c r="E18">
        <v>0.29849999999999999</v>
      </c>
      <c r="F18">
        <v>41</v>
      </c>
      <c r="G18">
        <v>52</v>
      </c>
      <c r="H18">
        <v>93</v>
      </c>
      <c r="I18">
        <v>17</v>
      </c>
      <c r="J18" s="1">
        <v>40544</v>
      </c>
      <c r="K18">
        <v>1</v>
      </c>
      <c r="L18">
        <v>0</v>
      </c>
      <c r="M18">
        <v>1</v>
      </c>
      <c r="N18">
        <v>16</v>
      </c>
      <c r="O18" t="b">
        <v>0</v>
      </c>
      <c r="P18">
        <v>6</v>
      </c>
      <c r="Q18">
        <v>2</v>
      </c>
      <c r="R18">
        <v>0.42</v>
      </c>
    </row>
    <row r="19" spans="1:18" x14ac:dyDescent="0.25">
      <c r="A19">
        <v>17</v>
      </c>
      <c r="B19">
        <v>18</v>
      </c>
      <c r="D19">
        <v>0.82</v>
      </c>
      <c r="E19">
        <v>0.28360000000000002</v>
      </c>
      <c r="F19">
        <v>15</v>
      </c>
      <c r="G19">
        <v>52</v>
      </c>
      <c r="H19">
        <v>67</v>
      </c>
      <c r="I19">
        <v>18</v>
      </c>
      <c r="J19" s="1">
        <v>40544</v>
      </c>
      <c r="K19">
        <v>1</v>
      </c>
      <c r="L19">
        <v>0</v>
      </c>
      <c r="M19">
        <v>1</v>
      </c>
      <c r="N19">
        <v>17</v>
      </c>
      <c r="O19" t="b">
        <v>0</v>
      </c>
      <c r="P19">
        <v>6</v>
      </c>
      <c r="Q19">
        <v>2</v>
      </c>
      <c r="R19">
        <v>0.44</v>
      </c>
    </row>
    <row r="20" spans="1:18" x14ac:dyDescent="0.25">
      <c r="A20">
        <v>18</v>
      </c>
      <c r="B20">
        <v>19</v>
      </c>
      <c r="C20">
        <v>0.42420000000000002</v>
      </c>
      <c r="D20">
        <v>0.88</v>
      </c>
      <c r="E20">
        <v>0.25369999999999998</v>
      </c>
      <c r="F20">
        <v>9</v>
      </c>
      <c r="G20">
        <v>26</v>
      </c>
      <c r="H20">
        <v>35</v>
      </c>
      <c r="I20">
        <v>19</v>
      </c>
      <c r="J20" s="1">
        <v>40544</v>
      </c>
      <c r="K20">
        <v>1</v>
      </c>
      <c r="L20">
        <v>0</v>
      </c>
      <c r="M20">
        <v>1</v>
      </c>
      <c r="N20">
        <v>18</v>
      </c>
      <c r="O20" t="b">
        <v>0</v>
      </c>
      <c r="P20">
        <v>6</v>
      </c>
      <c r="Q20">
        <v>3</v>
      </c>
      <c r="R20">
        <v>0.42</v>
      </c>
    </row>
    <row r="21" spans="1:18" x14ac:dyDescent="0.25">
      <c r="A21">
        <v>19</v>
      </c>
      <c r="B21">
        <v>20</v>
      </c>
      <c r="C21">
        <v>0.42420000000000002</v>
      </c>
      <c r="D21">
        <v>0.88</v>
      </c>
      <c r="E21">
        <v>0.25369999999999998</v>
      </c>
      <c r="F21">
        <v>6</v>
      </c>
      <c r="G21">
        <v>31</v>
      </c>
      <c r="H21">
        <v>37</v>
      </c>
      <c r="I21">
        <v>20</v>
      </c>
      <c r="J21" s="1">
        <v>40544</v>
      </c>
      <c r="K21">
        <v>1</v>
      </c>
      <c r="L21">
        <v>0</v>
      </c>
      <c r="M21">
        <v>1</v>
      </c>
      <c r="N21">
        <v>19</v>
      </c>
      <c r="O21" t="b">
        <v>0</v>
      </c>
      <c r="P21">
        <v>6</v>
      </c>
      <c r="Q21">
        <v>3</v>
      </c>
      <c r="R21">
        <v>0.42</v>
      </c>
    </row>
    <row r="22" spans="1:18" x14ac:dyDescent="0.25">
      <c r="A22">
        <v>20</v>
      </c>
      <c r="B22">
        <v>21</v>
      </c>
      <c r="C22">
        <v>0.40910000000000002</v>
      </c>
      <c r="D22">
        <v>0.87</v>
      </c>
      <c r="E22">
        <v>0.25369999999999998</v>
      </c>
      <c r="F22">
        <v>11</v>
      </c>
      <c r="G22">
        <v>25</v>
      </c>
      <c r="H22">
        <v>36</v>
      </c>
      <c r="I22">
        <v>21</v>
      </c>
      <c r="J22" s="1">
        <v>40544</v>
      </c>
      <c r="K22">
        <v>1</v>
      </c>
      <c r="L22">
        <v>0</v>
      </c>
      <c r="M22">
        <v>1</v>
      </c>
      <c r="N22">
        <v>20</v>
      </c>
      <c r="O22" t="b">
        <v>0</v>
      </c>
      <c r="P22">
        <v>6</v>
      </c>
      <c r="Q22">
        <v>2</v>
      </c>
      <c r="R22">
        <v>0.4</v>
      </c>
    </row>
    <row r="23" spans="1:18" x14ac:dyDescent="0.25">
      <c r="A23">
        <v>21</v>
      </c>
      <c r="B23">
        <v>22</v>
      </c>
      <c r="C23">
        <v>0.40910000000000002</v>
      </c>
      <c r="D23">
        <v>0.87</v>
      </c>
      <c r="E23">
        <v>0.19400000000000001</v>
      </c>
      <c r="F23">
        <v>3</v>
      </c>
      <c r="G23">
        <v>31</v>
      </c>
      <c r="H23">
        <v>34</v>
      </c>
      <c r="I23">
        <v>22</v>
      </c>
      <c r="J23" s="1">
        <v>40544</v>
      </c>
      <c r="K23">
        <v>1</v>
      </c>
      <c r="L23">
        <v>0</v>
      </c>
      <c r="M23">
        <v>1</v>
      </c>
      <c r="N23">
        <v>21</v>
      </c>
      <c r="O23" t="b">
        <v>0</v>
      </c>
      <c r="P23">
        <v>6</v>
      </c>
      <c r="Q23">
        <v>2</v>
      </c>
      <c r="R23">
        <v>0.4</v>
      </c>
    </row>
    <row r="24" spans="1:18" x14ac:dyDescent="0.25">
      <c r="A24">
        <v>22</v>
      </c>
      <c r="B24">
        <v>23</v>
      </c>
      <c r="C24">
        <v>0.40910000000000002</v>
      </c>
      <c r="D24">
        <v>0.94</v>
      </c>
      <c r="E24">
        <v>0.22389999999999999</v>
      </c>
      <c r="F24">
        <v>11</v>
      </c>
      <c r="G24">
        <v>17</v>
      </c>
      <c r="H24">
        <v>28</v>
      </c>
      <c r="I24">
        <v>23</v>
      </c>
      <c r="J24" s="1">
        <v>40544</v>
      </c>
      <c r="K24">
        <v>1</v>
      </c>
      <c r="L24">
        <v>0</v>
      </c>
      <c r="M24">
        <v>1</v>
      </c>
      <c r="N24">
        <v>22</v>
      </c>
      <c r="O24" t="b">
        <v>0</v>
      </c>
      <c r="P24">
        <v>6</v>
      </c>
      <c r="Q24">
        <v>2</v>
      </c>
      <c r="R24">
        <v>0.4</v>
      </c>
    </row>
    <row r="25" spans="1:18" x14ac:dyDescent="0.25">
      <c r="A25">
        <v>23</v>
      </c>
      <c r="B25">
        <v>24</v>
      </c>
      <c r="D25">
        <v>0.88</v>
      </c>
      <c r="E25">
        <v>0.29849999999999999</v>
      </c>
      <c r="F25">
        <v>15</v>
      </c>
      <c r="G25">
        <v>24</v>
      </c>
      <c r="H25">
        <v>39</v>
      </c>
      <c r="I25">
        <v>24</v>
      </c>
      <c r="J25" s="1">
        <v>40544</v>
      </c>
      <c r="K25">
        <v>1</v>
      </c>
      <c r="L25">
        <v>0</v>
      </c>
      <c r="M25">
        <v>1</v>
      </c>
      <c r="N25">
        <v>23</v>
      </c>
      <c r="O25" t="b">
        <v>0</v>
      </c>
      <c r="P25">
        <v>6</v>
      </c>
      <c r="Q25">
        <v>2</v>
      </c>
      <c r="R25">
        <v>0.46</v>
      </c>
    </row>
    <row r="26" spans="1:18" x14ac:dyDescent="0.25">
      <c r="A26">
        <v>24</v>
      </c>
      <c r="B26">
        <v>25</v>
      </c>
      <c r="C26">
        <v>0.45450000000000002</v>
      </c>
      <c r="D26">
        <v>0.88</v>
      </c>
      <c r="E26">
        <v>0.29849999999999999</v>
      </c>
      <c r="F26">
        <v>4</v>
      </c>
      <c r="G26">
        <v>13</v>
      </c>
      <c r="H26">
        <v>17</v>
      </c>
      <c r="I26">
        <v>25</v>
      </c>
      <c r="J26" s="1">
        <v>40545</v>
      </c>
      <c r="K26">
        <v>1</v>
      </c>
      <c r="L26">
        <v>0</v>
      </c>
      <c r="M26">
        <v>1</v>
      </c>
      <c r="N26">
        <v>0</v>
      </c>
      <c r="O26" t="b">
        <v>0</v>
      </c>
      <c r="P26">
        <v>0</v>
      </c>
      <c r="Q26">
        <v>2</v>
      </c>
      <c r="R26">
        <v>0.46</v>
      </c>
    </row>
    <row r="27" spans="1:18" x14ac:dyDescent="0.25">
      <c r="A27">
        <v>25</v>
      </c>
      <c r="B27">
        <v>26</v>
      </c>
      <c r="C27">
        <v>0.43940000000000001</v>
      </c>
      <c r="D27">
        <v>0.94</v>
      </c>
      <c r="E27">
        <v>0.25369999999999998</v>
      </c>
      <c r="F27">
        <v>1</v>
      </c>
      <c r="G27">
        <v>16</v>
      </c>
      <c r="H27">
        <v>17</v>
      </c>
      <c r="I27">
        <v>26</v>
      </c>
      <c r="J27" s="1">
        <v>40545</v>
      </c>
      <c r="K27">
        <v>1</v>
      </c>
      <c r="L27">
        <v>0</v>
      </c>
      <c r="M27">
        <v>1</v>
      </c>
      <c r="N27">
        <v>1</v>
      </c>
      <c r="O27" t="b">
        <v>0</v>
      </c>
      <c r="P27">
        <v>0</v>
      </c>
      <c r="Q27">
        <v>2</v>
      </c>
      <c r="R27">
        <v>0.44</v>
      </c>
    </row>
    <row r="28" spans="1:18" x14ac:dyDescent="0.25">
      <c r="A28">
        <v>26</v>
      </c>
      <c r="B28">
        <v>27</v>
      </c>
      <c r="C28">
        <v>0.42420000000000002</v>
      </c>
      <c r="D28">
        <v>1</v>
      </c>
      <c r="E28">
        <v>0.28360000000000002</v>
      </c>
      <c r="F28">
        <v>1</v>
      </c>
      <c r="G28">
        <v>8</v>
      </c>
      <c r="H28">
        <v>9</v>
      </c>
      <c r="I28">
        <v>27</v>
      </c>
      <c r="J28" s="1">
        <v>40545</v>
      </c>
      <c r="K28">
        <v>1</v>
      </c>
      <c r="L28">
        <v>0</v>
      </c>
      <c r="M28">
        <v>1</v>
      </c>
      <c r="N28">
        <v>2</v>
      </c>
      <c r="O28" t="b">
        <v>0</v>
      </c>
      <c r="P28">
        <v>0</v>
      </c>
      <c r="Q28">
        <v>2</v>
      </c>
      <c r="R28">
        <v>0.42</v>
      </c>
    </row>
    <row r="29" spans="1:18" x14ac:dyDescent="0.25">
      <c r="A29">
        <v>27</v>
      </c>
      <c r="B29">
        <v>28</v>
      </c>
      <c r="C29">
        <v>0.45450000000000002</v>
      </c>
      <c r="D29">
        <v>0.94</v>
      </c>
      <c r="E29">
        <v>0.19400000000000001</v>
      </c>
      <c r="F29">
        <v>2</v>
      </c>
      <c r="G29">
        <v>4</v>
      </c>
      <c r="H29">
        <v>6</v>
      </c>
      <c r="I29">
        <v>28</v>
      </c>
      <c r="J29" s="1">
        <v>40545</v>
      </c>
      <c r="K29">
        <v>1</v>
      </c>
      <c r="L29">
        <v>0</v>
      </c>
      <c r="M29">
        <v>1</v>
      </c>
      <c r="N29">
        <v>3</v>
      </c>
      <c r="O29" t="b">
        <v>0</v>
      </c>
      <c r="P29">
        <v>0</v>
      </c>
      <c r="Q29">
        <v>2</v>
      </c>
      <c r="R29">
        <v>0.46</v>
      </c>
    </row>
    <row r="30" spans="1:18" x14ac:dyDescent="0.25">
      <c r="A30">
        <v>28</v>
      </c>
      <c r="B30">
        <v>29</v>
      </c>
      <c r="D30">
        <v>0.94</v>
      </c>
      <c r="E30">
        <v>0.19400000000000001</v>
      </c>
      <c r="F30">
        <v>2</v>
      </c>
      <c r="G30">
        <v>1</v>
      </c>
      <c r="H30">
        <v>3</v>
      </c>
      <c r="I30">
        <v>29</v>
      </c>
      <c r="J30" s="1">
        <v>40545</v>
      </c>
      <c r="K30">
        <v>1</v>
      </c>
      <c r="L30">
        <v>0</v>
      </c>
      <c r="M30">
        <v>1</v>
      </c>
      <c r="N30">
        <v>4</v>
      </c>
      <c r="O30" t="b">
        <v>0</v>
      </c>
      <c r="P30">
        <v>0</v>
      </c>
      <c r="Q30">
        <v>2</v>
      </c>
      <c r="R30">
        <v>0.46</v>
      </c>
    </row>
    <row r="31" spans="1:18" x14ac:dyDescent="0.25">
      <c r="A31">
        <v>29</v>
      </c>
      <c r="B31">
        <v>30</v>
      </c>
      <c r="C31">
        <v>0.42420000000000002</v>
      </c>
      <c r="D31">
        <v>0.77</v>
      </c>
      <c r="E31">
        <v>0.29849999999999999</v>
      </c>
      <c r="F31">
        <v>0</v>
      </c>
      <c r="G31">
        <v>2</v>
      </c>
      <c r="H31">
        <v>2</v>
      </c>
      <c r="I31">
        <v>30</v>
      </c>
      <c r="J31" s="1">
        <v>40545</v>
      </c>
      <c r="K31">
        <v>1</v>
      </c>
      <c r="L31">
        <v>0</v>
      </c>
      <c r="M31">
        <v>1</v>
      </c>
      <c r="N31">
        <v>6</v>
      </c>
      <c r="O31" t="b">
        <v>0</v>
      </c>
      <c r="P31">
        <v>0</v>
      </c>
      <c r="Q31">
        <v>3</v>
      </c>
      <c r="R31">
        <v>0.42</v>
      </c>
    </row>
    <row r="32" spans="1:18" x14ac:dyDescent="0.25">
      <c r="A32">
        <v>30</v>
      </c>
      <c r="B32">
        <v>31</v>
      </c>
      <c r="C32">
        <v>0.40910000000000002</v>
      </c>
      <c r="D32">
        <v>0.76</v>
      </c>
      <c r="E32">
        <v>0.19400000000000001</v>
      </c>
      <c r="F32">
        <v>0</v>
      </c>
      <c r="G32">
        <v>1</v>
      </c>
      <c r="H32">
        <v>1</v>
      </c>
      <c r="I32">
        <v>31</v>
      </c>
      <c r="J32" s="1">
        <v>40545</v>
      </c>
      <c r="K32">
        <v>1</v>
      </c>
      <c r="L32">
        <v>0</v>
      </c>
      <c r="M32">
        <v>1</v>
      </c>
      <c r="N32">
        <v>7</v>
      </c>
      <c r="O32" t="b">
        <v>0</v>
      </c>
      <c r="P32">
        <v>0</v>
      </c>
      <c r="Q32">
        <v>2</v>
      </c>
      <c r="R32">
        <v>0.4</v>
      </c>
    </row>
    <row r="33" spans="1:18" x14ac:dyDescent="0.25">
      <c r="A33">
        <v>31</v>
      </c>
      <c r="B33">
        <v>32</v>
      </c>
      <c r="C33">
        <v>0.40910000000000002</v>
      </c>
      <c r="D33">
        <v>0.71</v>
      </c>
      <c r="E33">
        <v>0.22389999999999999</v>
      </c>
      <c r="F33">
        <v>0</v>
      </c>
      <c r="G33">
        <v>8</v>
      </c>
      <c r="H33">
        <v>8</v>
      </c>
      <c r="I33">
        <v>32</v>
      </c>
      <c r="J33" s="1">
        <v>40545</v>
      </c>
      <c r="K33">
        <v>1</v>
      </c>
      <c r="L33">
        <v>0</v>
      </c>
      <c r="M33">
        <v>1</v>
      </c>
      <c r="N33">
        <v>8</v>
      </c>
      <c r="O33" t="b">
        <v>0</v>
      </c>
      <c r="P33">
        <v>0</v>
      </c>
      <c r="Q33">
        <v>3</v>
      </c>
      <c r="R33">
        <v>0.4</v>
      </c>
    </row>
    <row r="34" spans="1:18" x14ac:dyDescent="0.25">
      <c r="A34">
        <v>32</v>
      </c>
      <c r="B34">
        <v>33</v>
      </c>
      <c r="D34">
        <v>0.76</v>
      </c>
      <c r="E34">
        <v>0.22389999999999999</v>
      </c>
      <c r="F34">
        <v>1</v>
      </c>
      <c r="G34">
        <v>19</v>
      </c>
      <c r="H34">
        <v>20</v>
      </c>
      <c r="I34">
        <v>33</v>
      </c>
      <c r="J34" s="1">
        <v>40545</v>
      </c>
      <c r="K34">
        <v>1</v>
      </c>
      <c r="L34">
        <v>0</v>
      </c>
      <c r="M34">
        <v>1</v>
      </c>
      <c r="N34">
        <v>9</v>
      </c>
      <c r="O34" t="b">
        <v>0</v>
      </c>
      <c r="P34">
        <v>0</v>
      </c>
      <c r="Q34">
        <v>2</v>
      </c>
      <c r="R34">
        <v>0.38</v>
      </c>
    </row>
    <row r="35" spans="1:18" x14ac:dyDescent="0.25">
      <c r="A35">
        <v>33</v>
      </c>
      <c r="B35">
        <v>34</v>
      </c>
      <c r="C35">
        <v>0.34849999999999998</v>
      </c>
      <c r="D35">
        <v>0.81</v>
      </c>
      <c r="E35">
        <v>0.22389999999999999</v>
      </c>
      <c r="F35">
        <v>7</v>
      </c>
      <c r="G35">
        <v>46</v>
      </c>
      <c r="H35">
        <v>53</v>
      </c>
      <c r="I35">
        <v>34</v>
      </c>
      <c r="J35" s="1">
        <v>40545</v>
      </c>
      <c r="K35">
        <v>1</v>
      </c>
      <c r="L35">
        <v>0</v>
      </c>
      <c r="M35">
        <v>1</v>
      </c>
      <c r="N35">
        <v>10</v>
      </c>
      <c r="O35" t="b">
        <v>0</v>
      </c>
      <c r="P35">
        <v>0</v>
      </c>
      <c r="Q35">
        <v>2</v>
      </c>
      <c r="R35">
        <v>0.36</v>
      </c>
    </row>
    <row r="36" spans="1:18" x14ac:dyDescent="0.25">
      <c r="A36">
        <v>34</v>
      </c>
      <c r="B36">
        <v>35</v>
      </c>
      <c r="C36">
        <v>0.33329999999999999</v>
      </c>
      <c r="D36">
        <v>0.71</v>
      </c>
      <c r="E36">
        <v>0.25369999999999998</v>
      </c>
      <c r="F36">
        <v>16</v>
      </c>
      <c r="G36">
        <v>54</v>
      </c>
      <c r="H36">
        <v>70</v>
      </c>
      <c r="I36">
        <v>35</v>
      </c>
      <c r="J36" s="1">
        <v>40545</v>
      </c>
      <c r="K36">
        <v>1</v>
      </c>
      <c r="L36">
        <v>0</v>
      </c>
      <c r="M36">
        <v>1</v>
      </c>
      <c r="N36">
        <v>11</v>
      </c>
      <c r="O36" t="b">
        <v>0</v>
      </c>
      <c r="P36">
        <v>0</v>
      </c>
      <c r="Q36">
        <v>2</v>
      </c>
      <c r="R36">
        <v>0.36</v>
      </c>
    </row>
    <row r="37" spans="1:18" x14ac:dyDescent="0.25">
      <c r="A37">
        <v>35</v>
      </c>
      <c r="B37">
        <v>36</v>
      </c>
      <c r="C37">
        <v>0.33329999999999999</v>
      </c>
      <c r="D37">
        <v>0.66</v>
      </c>
      <c r="E37">
        <v>0.29849999999999999</v>
      </c>
      <c r="F37">
        <v>20</v>
      </c>
      <c r="G37">
        <v>73</v>
      </c>
      <c r="H37">
        <v>93</v>
      </c>
      <c r="I37">
        <v>36</v>
      </c>
      <c r="J37" s="1">
        <v>40545</v>
      </c>
      <c r="K37">
        <v>1</v>
      </c>
      <c r="L37">
        <v>0</v>
      </c>
      <c r="M37">
        <v>1</v>
      </c>
      <c r="N37">
        <v>12</v>
      </c>
      <c r="O37" t="b">
        <v>0</v>
      </c>
      <c r="P37">
        <v>0</v>
      </c>
      <c r="Q37">
        <v>2</v>
      </c>
      <c r="R37">
        <v>0.36</v>
      </c>
    </row>
    <row r="38" spans="1:18" x14ac:dyDescent="0.25">
      <c r="A38">
        <v>36</v>
      </c>
      <c r="B38">
        <v>37</v>
      </c>
      <c r="C38">
        <v>0.34849999999999998</v>
      </c>
      <c r="D38">
        <v>0.66</v>
      </c>
      <c r="E38">
        <v>0.1343</v>
      </c>
      <c r="F38">
        <v>11</v>
      </c>
      <c r="G38">
        <v>64</v>
      </c>
      <c r="H38">
        <v>75</v>
      </c>
      <c r="I38">
        <v>37</v>
      </c>
      <c r="J38" s="1">
        <v>40545</v>
      </c>
      <c r="K38">
        <v>1</v>
      </c>
      <c r="L38">
        <v>0</v>
      </c>
      <c r="M38">
        <v>1</v>
      </c>
      <c r="N38">
        <v>13</v>
      </c>
      <c r="O38" t="b">
        <v>0</v>
      </c>
      <c r="P38">
        <v>0</v>
      </c>
      <c r="Q38">
        <v>2</v>
      </c>
      <c r="R38">
        <v>0.36</v>
      </c>
    </row>
    <row r="39" spans="1:18" x14ac:dyDescent="0.25">
      <c r="A39">
        <v>37</v>
      </c>
      <c r="B39">
        <v>38</v>
      </c>
      <c r="D39">
        <v>0.76</v>
      </c>
      <c r="E39">
        <v>0.19400000000000001</v>
      </c>
      <c r="F39">
        <v>4</v>
      </c>
      <c r="G39">
        <v>55</v>
      </c>
      <c r="H39">
        <v>59</v>
      </c>
      <c r="I39">
        <v>38</v>
      </c>
      <c r="J39" s="1">
        <v>40545</v>
      </c>
      <c r="K39">
        <v>1</v>
      </c>
      <c r="L39">
        <v>0</v>
      </c>
      <c r="M39">
        <v>1</v>
      </c>
      <c r="N39">
        <v>14</v>
      </c>
      <c r="O39" t="b">
        <v>0</v>
      </c>
      <c r="P39">
        <v>0</v>
      </c>
      <c r="Q39">
        <v>3</v>
      </c>
      <c r="R39">
        <v>0.36</v>
      </c>
    </row>
    <row r="40" spans="1:18" x14ac:dyDescent="0.25">
      <c r="A40">
        <v>38</v>
      </c>
      <c r="B40">
        <v>39</v>
      </c>
      <c r="C40">
        <v>0.33329999999999999</v>
      </c>
      <c r="D40">
        <v>0.81</v>
      </c>
      <c r="E40">
        <v>0.16420000000000001</v>
      </c>
      <c r="F40">
        <v>19</v>
      </c>
      <c r="G40">
        <v>55</v>
      </c>
      <c r="H40">
        <v>74</v>
      </c>
      <c r="I40">
        <v>39</v>
      </c>
      <c r="J40" s="1">
        <v>40545</v>
      </c>
      <c r="K40">
        <v>1</v>
      </c>
      <c r="L40">
        <v>0</v>
      </c>
      <c r="M40">
        <v>1</v>
      </c>
      <c r="N40">
        <v>15</v>
      </c>
      <c r="O40" t="b">
        <v>0</v>
      </c>
      <c r="P40">
        <v>0</v>
      </c>
      <c r="Q40">
        <v>3</v>
      </c>
      <c r="R40">
        <v>0.34</v>
      </c>
    </row>
    <row r="41" spans="1:18" x14ac:dyDescent="0.25">
      <c r="A41">
        <v>39</v>
      </c>
      <c r="B41">
        <v>40</v>
      </c>
      <c r="C41">
        <v>0.33329999999999999</v>
      </c>
      <c r="D41">
        <v>0.71</v>
      </c>
      <c r="E41">
        <v>0.16420000000000001</v>
      </c>
      <c r="F41">
        <v>9</v>
      </c>
      <c r="G41">
        <v>67</v>
      </c>
      <c r="H41">
        <v>76</v>
      </c>
      <c r="I41">
        <v>40</v>
      </c>
      <c r="J41" s="1">
        <v>40545</v>
      </c>
      <c r="K41">
        <v>1</v>
      </c>
      <c r="L41">
        <v>0</v>
      </c>
      <c r="M41">
        <v>1</v>
      </c>
      <c r="N41">
        <v>16</v>
      </c>
      <c r="O41" t="b">
        <v>0</v>
      </c>
      <c r="P41">
        <v>0</v>
      </c>
      <c r="Q41">
        <v>3</v>
      </c>
      <c r="R41">
        <v>0.34</v>
      </c>
    </row>
    <row r="42" spans="1:18" x14ac:dyDescent="0.25">
      <c r="A42">
        <v>40</v>
      </c>
      <c r="B42">
        <v>41</v>
      </c>
      <c r="C42">
        <v>0.33329999999999999</v>
      </c>
      <c r="D42">
        <v>0.56999999999999995</v>
      </c>
      <c r="E42">
        <v>0.19400000000000001</v>
      </c>
      <c r="F42">
        <v>7</v>
      </c>
      <c r="G42">
        <v>58</v>
      </c>
      <c r="H42">
        <v>65</v>
      </c>
      <c r="I42">
        <v>41</v>
      </c>
      <c r="J42" s="1">
        <v>40545</v>
      </c>
      <c r="K42">
        <v>1</v>
      </c>
      <c r="L42">
        <v>0</v>
      </c>
      <c r="M42">
        <v>1</v>
      </c>
      <c r="N42">
        <v>17</v>
      </c>
      <c r="O42" t="b">
        <v>0</v>
      </c>
      <c r="P42">
        <v>0</v>
      </c>
      <c r="Q42">
        <v>1</v>
      </c>
      <c r="R42">
        <v>0.34</v>
      </c>
    </row>
    <row r="43" spans="1:18" x14ac:dyDescent="0.25">
      <c r="A43">
        <v>41</v>
      </c>
      <c r="B43">
        <v>42</v>
      </c>
      <c r="C43">
        <v>0.33329999999999999</v>
      </c>
      <c r="D43">
        <v>0.46</v>
      </c>
      <c r="E43">
        <v>0.32840000000000003</v>
      </c>
      <c r="F43">
        <v>10</v>
      </c>
      <c r="G43">
        <v>43</v>
      </c>
      <c r="H43">
        <v>53</v>
      </c>
      <c r="I43">
        <v>42</v>
      </c>
      <c r="J43" s="1">
        <v>40545</v>
      </c>
      <c r="K43">
        <v>1</v>
      </c>
      <c r="L43">
        <v>0</v>
      </c>
      <c r="M43">
        <v>1</v>
      </c>
      <c r="N43">
        <v>18</v>
      </c>
      <c r="O43" t="b">
        <v>0</v>
      </c>
      <c r="P43">
        <v>0</v>
      </c>
      <c r="Q43">
        <v>2</v>
      </c>
      <c r="R43">
        <v>0.36</v>
      </c>
    </row>
    <row r="44" spans="1:18" x14ac:dyDescent="0.25">
      <c r="A44">
        <v>42</v>
      </c>
      <c r="B44">
        <v>43</v>
      </c>
      <c r="C44">
        <v>0.28789999999999999</v>
      </c>
      <c r="D44">
        <v>0.42</v>
      </c>
      <c r="E44">
        <v>0.44779999999999998</v>
      </c>
      <c r="F44">
        <v>1</v>
      </c>
      <c r="G44">
        <v>29</v>
      </c>
      <c r="H44">
        <v>30</v>
      </c>
      <c r="I44">
        <v>43</v>
      </c>
      <c r="J44" s="1">
        <v>40545</v>
      </c>
      <c r="K44">
        <v>1</v>
      </c>
      <c r="L44">
        <v>0</v>
      </c>
      <c r="M44">
        <v>1</v>
      </c>
      <c r="N44">
        <v>19</v>
      </c>
      <c r="O44" t="b">
        <v>0</v>
      </c>
      <c r="P44">
        <v>0</v>
      </c>
      <c r="Q44">
        <v>1</v>
      </c>
      <c r="R44">
        <v>0.32</v>
      </c>
    </row>
    <row r="45" spans="1:18" x14ac:dyDescent="0.25">
      <c r="A45">
        <v>43</v>
      </c>
      <c r="B45">
        <v>44</v>
      </c>
      <c r="D45">
        <v>0.39</v>
      </c>
      <c r="E45">
        <v>0.35820000000000002</v>
      </c>
      <c r="F45">
        <v>5</v>
      </c>
      <c r="G45">
        <v>17</v>
      </c>
      <c r="H45">
        <v>22</v>
      </c>
      <c r="I45">
        <v>44</v>
      </c>
      <c r="J45" s="1">
        <v>40545</v>
      </c>
      <c r="K45">
        <v>1</v>
      </c>
      <c r="L45">
        <v>0</v>
      </c>
      <c r="M45">
        <v>1</v>
      </c>
      <c r="N45">
        <v>20</v>
      </c>
      <c r="O45" t="b">
        <v>0</v>
      </c>
      <c r="P45">
        <v>0</v>
      </c>
      <c r="Q45">
        <v>1</v>
      </c>
      <c r="R45">
        <v>0.3</v>
      </c>
    </row>
    <row r="46" spans="1:18" x14ac:dyDescent="0.25">
      <c r="A46">
        <v>44</v>
      </c>
      <c r="B46">
        <v>45</v>
      </c>
      <c r="C46">
        <v>0.2273</v>
      </c>
      <c r="D46">
        <v>0.44</v>
      </c>
      <c r="E46">
        <v>0.32840000000000003</v>
      </c>
      <c r="F46">
        <v>11</v>
      </c>
      <c r="G46">
        <v>20</v>
      </c>
      <c r="H46">
        <v>31</v>
      </c>
      <c r="I46">
        <v>45</v>
      </c>
      <c r="J46" s="1">
        <v>40545</v>
      </c>
      <c r="K46">
        <v>1</v>
      </c>
      <c r="L46">
        <v>0</v>
      </c>
      <c r="M46">
        <v>1</v>
      </c>
      <c r="N46">
        <v>21</v>
      </c>
      <c r="O46" t="b">
        <v>0</v>
      </c>
      <c r="P46">
        <v>0</v>
      </c>
      <c r="Q46">
        <v>1</v>
      </c>
      <c r="R46">
        <v>0.26</v>
      </c>
    </row>
    <row r="47" spans="1:18" x14ac:dyDescent="0.25">
      <c r="A47">
        <v>45</v>
      </c>
      <c r="B47">
        <v>46</v>
      </c>
      <c r="C47">
        <v>0.21210000000000001</v>
      </c>
      <c r="D47">
        <v>0.44</v>
      </c>
      <c r="E47">
        <v>0.29849999999999999</v>
      </c>
      <c r="F47">
        <v>0</v>
      </c>
      <c r="G47">
        <v>9</v>
      </c>
      <c r="H47">
        <v>9</v>
      </c>
      <c r="I47">
        <v>46</v>
      </c>
      <c r="J47" s="1">
        <v>40545</v>
      </c>
      <c r="K47">
        <v>1</v>
      </c>
      <c r="L47">
        <v>0</v>
      </c>
      <c r="M47">
        <v>1</v>
      </c>
      <c r="N47">
        <v>22</v>
      </c>
      <c r="O47" t="b">
        <v>0</v>
      </c>
      <c r="P47">
        <v>0</v>
      </c>
      <c r="Q47">
        <v>1</v>
      </c>
      <c r="R47">
        <v>0.24</v>
      </c>
    </row>
    <row r="48" spans="1:18" x14ac:dyDescent="0.25">
      <c r="A48">
        <v>46</v>
      </c>
      <c r="B48">
        <v>47</v>
      </c>
      <c r="C48">
        <v>0.2273</v>
      </c>
      <c r="D48">
        <v>0.47</v>
      </c>
      <c r="E48">
        <v>0.16420000000000001</v>
      </c>
      <c r="F48">
        <v>0</v>
      </c>
      <c r="G48">
        <v>8</v>
      </c>
      <c r="H48">
        <v>8</v>
      </c>
      <c r="I48">
        <v>47</v>
      </c>
      <c r="J48" s="1">
        <v>40545</v>
      </c>
      <c r="K48">
        <v>1</v>
      </c>
      <c r="L48">
        <v>0</v>
      </c>
      <c r="M48">
        <v>1</v>
      </c>
      <c r="N48">
        <v>23</v>
      </c>
      <c r="O48" t="b">
        <v>0</v>
      </c>
      <c r="P48">
        <v>0</v>
      </c>
      <c r="Q48">
        <v>1</v>
      </c>
      <c r="R48">
        <v>0.22</v>
      </c>
    </row>
    <row r="49" spans="1:18" x14ac:dyDescent="0.25">
      <c r="A49">
        <v>47</v>
      </c>
      <c r="B49">
        <v>48</v>
      </c>
      <c r="C49">
        <v>0.19700000000000001</v>
      </c>
      <c r="D49">
        <v>0.44</v>
      </c>
      <c r="E49">
        <v>0.35820000000000002</v>
      </c>
      <c r="F49">
        <v>0</v>
      </c>
      <c r="G49">
        <v>5</v>
      </c>
      <c r="H49">
        <v>5</v>
      </c>
      <c r="I49">
        <v>48</v>
      </c>
      <c r="J49" s="1">
        <v>40546</v>
      </c>
      <c r="K49">
        <v>1</v>
      </c>
      <c r="L49">
        <v>0</v>
      </c>
      <c r="M49">
        <v>1</v>
      </c>
      <c r="N49">
        <v>0</v>
      </c>
      <c r="O49" t="b">
        <v>0</v>
      </c>
      <c r="P49">
        <v>1</v>
      </c>
      <c r="Q49">
        <v>1</v>
      </c>
      <c r="R49">
        <v>0.22</v>
      </c>
    </row>
    <row r="50" spans="1:18" x14ac:dyDescent="0.25">
      <c r="A50">
        <v>48</v>
      </c>
      <c r="B50">
        <v>49</v>
      </c>
      <c r="D50">
        <v>0.44</v>
      </c>
      <c r="E50">
        <v>0.41789999999999999</v>
      </c>
      <c r="F50">
        <v>0</v>
      </c>
      <c r="G50">
        <v>2</v>
      </c>
      <c r="H50">
        <v>2</v>
      </c>
      <c r="I50">
        <v>49</v>
      </c>
      <c r="J50" s="1">
        <v>40546</v>
      </c>
      <c r="K50">
        <v>1</v>
      </c>
      <c r="L50">
        <v>0</v>
      </c>
      <c r="M50">
        <v>1</v>
      </c>
      <c r="N50">
        <v>1</v>
      </c>
      <c r="O50" t="b">
        <v>0</v>
      </c>
      <c r="P50">
        <v>1</v>
      </c>
      <c r="Q50">
        <v>1</v>
      </c>
      <c r="R50">
        <v>0.2</v>
      </c>
    </row>
    <row r="51" spans="1:18" x14ac:dyDescent="0.25">
      <c r="A51">
        <v>49</v>
      </c>
      <c r="B51">
        <v>50</v>
      </c>
      <c r="C51">
        <v>0.13639999999999999</v>
      </c>
      <c r="D51">
        <v>0.47</v>
      </c>
      <c r="E51">
        <v>0.3881</v>
      </c>
      <c r="F51">
        <v>0</v>
      </c>
      <c r="G51">
        <v>1</v>
      </c>
      <c r="H51">
        <v>1</v>
      </c>
      <c r="I51">
        <v>50</v>
      </c>
      <c r="J51" s="1">
        <v>40546</v>
      </c>
      <c r="K51">
        <v>1</v>
      </c>
      <c r="L51">
        <v>0</v>
      </c>
      <c r="M51">
        <v>1</v>
      </c>
      <c r="N51">
        <v>4</v>
      </c>
      <c r="O51" t="b">
        <v>0</v>
      </c>
      <c r="P51">
        <v>1</v>
      </c>
      <c r="Q51">
        <v>1</v>
      </c>
      <c r="R51">
        <v>0.16</v>
      </c>
    </row>
    <row r="52" spans="1:18" x14ac:dyDescent="0.25">
      <c r="A52">
        <v>50</v>
      </c>
      <c r="B52">
        <v>51</v>
      </c>
      <c r="C52">
        <v>0.13639999999999999</v>
      </c>
      <c r="D52">
        <v>0.47</v>
      </c>
      <c r="E52">
        <v>0.28360000000000002</v>
      </c>
      <c r="F52">
        <v>0</v>
      </c>
      <c r="G52">
        <v>3</v>
      </c>
      <c r="H52">
        <v>3</v>
      </c>
      <c r="I52">
        <v>51</v>
      </c>
      <c r="J52" s="1">
        <v>40546</v>
      </c>
      <c r="K52">
        <v>1</v>
      </c>
      <c r="L52">
        <v>0</v>
      </c>
      <c r="M52">
        <v>1</v>
      </c>
      <c r="N52">
        <v>5</v>
      </c>
      <c r="O52" t="b">
        <v>0</v>
      </c>
      <c r="P52">
        <v>1</v>
      </c>
      <c r="Q52">
        <v>1</v>
      </c>
      <c r="R52">
        <v>0.16</v>
      </c>
    </row>
    <row r="53" spans="1:18" x14ac:dyDescent="0.25">
      <c r="A53">
        <v>51</v>
      </c>
      <c r="B53">
        <v>52</v>
      </c>
      <c r="C53">
        <v>0.1061</v>
      </c>
      <c r="D53">
        <v>0.5</v>
      </c>
      <c r="E53">
        <v>0.3881</v>
      </c>
      <c r="F53">
        <v>0</v>
      </c>
      <c r="G53">
        <v>30</v>
      </c>
      <c r="H53">
        <v>30</v>
      </c>
      <c r="I53">
        <v>52</v>
      </c>
      <c r="J53" s="1">
        <v>40546</v>
      </c>
      <c r="K53">
        <v>1</v>
      </c>
      <c r="L53">
        <v>0</v>
      </c>
      <c r="M53">
        <v>1</v>
      </c>
      <c r="N53">
        <v>6</v>
      </c>
      <c r="O53" t="b">
        <v>0</v>
      </c>
      <c r="P53">
        <v>1</v>
      </c>
      <c r="Q53">
        <v>1</v>
      </c>
      <c r="R53">
        <v>0.14000000000000001</v>
      </c>
    </row>
    <row r="54" spans="1:18" x14ac:dyDescent="0.25">
      <c r="A54">
        <v>52</v>
      </c>
      <c r="B54">
        <v>53</v>
      </c>
      <c r="C54">
        <v>0.13639999999999999</v>
      </c>
      <c r="D54">
        <v>0.5</v>
      </c>
      <c r="E54">
        <v>0.19400000000000001</v>
      </c>
      <c r="F54">
        <v>1</v>
      </c>
      <c r="G54">
        <v>63</v>
      </c>
      <c r="H54">
        <v>64</v>
      </c>
      <c r="I54">
        <v>53</v>
      </c>
      <c r="J54" s="1">
        <v>40546</v>
      </c>
      <c r="K54">
        <v>1</v>
      </c>
      <c r="L54">
        <v>0</v>
      </c>
      <c r="M54">
        <v>1</v>
      </c>
      <c r="N54">
        <v>7</v>
      </c>
      <c r="O54" t="b">
        <v>0</v>
      </c>
      <c r="P54">
        <v>1</v>
      </c>
      <c r="Q54">
        <v>1</v>
      </c>
      <c r="R54">
        <v>0.14000000000000001</v>
      </c>
    </row>
    <row r="55" spans="1:18" x14ac:dyDescent="0.25">
      <c r="A55">
        <v>53</v>
      </c>
      <c r="B55">
        <v>54</v>
      </c>
      <c r="C55">
        <v>0.1212</v>
      </c>
      <c r="D55">
        <v>0.5</v>
      </c>
      <c r="E55">
        <v>0.28360000000000002</v>
      </c>
      <c r="F55">
        <v>1</v>
      </c>
      <c r="G55">
        <v>153</v>
      </c>
      <c r="H55">
        <v>154</v>
      </c>
      <c r="I55">
        <v>54</v>
      </c>
      <c r="J55" s="1">
        <v>40546</v>
      </c>
      <c r="K55">
        <v>1</v>
      </c>
      <c r="L55">
        <v>0</v>
      </c>
      <c r="M55">
        <v>1</v>
      </c>
      <c r="N55">
        <v>8</v>
      </c>
      <c r="O55" t="b">
        <v>0</v>
      </c>
      <c r="P55">
        <v>1</v>
      </c>
      <c r="Q55">
        <v>1</v>
      </c>
      <c r="R55">
        <v>0.14000000000000001</v>
      </c>
    </row>
    <row r="56" spans="1:18" x14ac:dyDescent="0.25">
      <c r="A56">
        <v>54</v>
      </c>
      <c r="B56">
        <v>55</v>
      </c>
      <c r="C56">
        <v>0.13639999999999999</v>
      </c>
      <c r="D56">
        <v>0.43</v>
      </c>
      <c r="E56">
        <v>0.3881</v>
      </c>
      <c r="F56">
        <v>7</v>
      </c>
      <c r="G56">
        <v>81</v>
      </c>
      <c r="H56">
        <v>88</v>
      </c>
      <c r="I56">
        <v>55</v>
      </c>
      <c r="J56" s="1">
        <v>40546</v>
      </c>
      <c r="K56">
        <v>1</v>
      </c>
      <c r="L56">
        <v>0</v>
      </c>
      <c r="M56">
        <v>1</v>
      </c>
      <c r="N56">
        <v>9</v>
      </c>
      <c r="O56" t="b">
        <v>0</v>
      </c>
      <c r="P56">
        <v>1</v>
      </c>
      <c r="Q56">
        <v>1</v>
      </c>
      <c r="R56">
        <v>0.16</v>
      </c>
    </row>
    <row r="57" spans="1:18" x14ac:dyDescent="0.25">
      <c r="A57">
        <v>55</v>
      </c>
      <c r="B57">
        <v>56</v>
      </c>
      <c r="C57">
        <v>0.16669999999999999</v>
      </c>
      <c r="D57">
        <v>0.43</v>
      </c>
      <c r="E57">
        <v>0.25369999999999998</v>
      </c>
      <c r="F57">
        <v>11</v>
      </c>
      <c r="G57">
        <v>33</v>
      </c>
      <c r="H57">
        <v>44</v>
      </c>
      <c r="I57">
        <v>56</v>
      </c>
      <c r="J57" s="1">
        <v>40546</v>
      </c>
      <c r="K57">
        <v>1</v>
      </c>
      <c r="L57">
        <v>0</v>
      </c>
      <c r="M57">
        <v>1</v>
      </c>
      <c r="N57">
        <v>10</v>
      </c>
      <c r="O57" t="b">
        <v>0</v>
      </c>
      <c r="P57">
        <v>1</v>
      </c>
      <c r="Q57">
        <v>1</v>
      </c>
      <c r="R57">
        <v>0.18</v>
      </c>
    </row>
    <row r="58" spans="1:18" x14ac:dyDescent="0.25">
      <c r="A58">
        <v>56</v>
      </c>
      <c r="B58">
        <v>57</v>
      </c>
      <c r="C58">
        <v>0.18179999999999999</v>
      </c>
      <c r="D58">
        <v>0.4</v>
      </c>
      <c r="E58">
        <v>0.32840000000000003</v>
      </c>
      <c r="F58">
        <v>10</v>
      </c>
      <c r="G58">
        <v>41</v>
      </c>
      <c r="H58">
        <v>51</v>
      </c>
      <c r="I58">
        <v>57</v>
      </c>
      <c r="J58" s="1">
        <v>40546</v>
      </c>
      <c r="K58">
        <v>1</v>
      </c>
      <c r="L58">
        <v>0</v>
      </c>
      <c r="M58">
        <v>1</v>
      </c>
      <c r="N58">
        <v>11</v>
      </c>
      <c r="O58" t="b">
        <v>0</v>
      </c>
      <c r="P58">
        <v>1</v>
      </c>
      <c r="Q58">
        <v>1</v>
      </c>
      <c r="R58">
        <v>0.2</v>
      </c>
    </row>
    <row r="59" spans="1:18" x14ac:dyDescent="0.25">
      <c r="A59">
        <v>57</v>
      </c>
      <c r="B59">
        <v>58</v>
      </c>
      <c r="C59">
        <v>0.21210000000000001</v>
      </c>
      <c r="D59">
        <v>0.35</v>
      </c>
      <c r="E59">
        <v>0.29849999999999999</v>
      </c>
      <c r="F59">
        <v>13</v>
      </c>
      <c r="G59">
        <v>48</v>
      </c>
      <c r="H59">
        <v>61</v>
      </c>
      <c r="I59">
        <v>58</v>
      </c>
      <c r="J59" s="1">
        <v>40546</v>
      </c>
      <c r="K59">
        <v>1</v>
      </c>
      <c r="L59">
        <v>0</v>
      </c>
      <c r="M59">
        <v>1</v>
      </c>
      <c r="N59">
        <v>12</v>
      </c>
      <c r="O59" t="b">
        <v>0</v>
      </c>
      <c r="P59">
        <v>1</v>
      </c>
      <c r="Q59">
        <v>1</v>
      </c>
      <c r="R59">
        <v>0.22</v>
      </c>
    </row>
    <row r="60" spans="1:18" x14ac:dyDescent="0.25">
      <c r="A60">
        <v>58</v>
      </c>
      <c r="B60">
        <v>59</v>
      </c>
      <c r="D60">
        <v>0.35</v>
      </c>
      <c r="E60">
        <v>0.28360000000000002</v>
      </c>
      <c r="F60">
        <v>8</v>
      </c>
      <c r="G60">
        <v>53</v>
      </c>
      <c r="H60">
        <v>61</v>
      </c>
      <c r="I60">
        <v>59</v>
      </c>
      <c r="J60" s="1">
        <v>40546</v>
      </c>
      <c r="K60">
        <v>1</v>
      </c>
      <c r="L60">
        <v>0</v>
      </c>
      <c r="M60">
        <v>1</v>
      </c>
      <c r="N60">
        <v>13</v>
      </c>
      <c r="O60" t="b">
        <v>0</v>
      </c>
      <c r="P60">
        <v>1</v>
      </c>
      <c r="Q60">
        <v>1</v>
      </c>
      <c r="R60">
        <v>0.24</v>
      </c>
    </row>
    <row r="61" spans="1:18" x14ac:dyDescent="0.25">
      <c r="A61">
        <v>59</v>
      </c>
      <c r="B61">
        <v>60</v>
      </c>
      <c r="C61">
        <v>0.2424</v>
      </c>
      <c r="D61">
        <v>0.3</v>
      </c>
      <c r="E61">
        <v>0.28360000000000002</v>
      </c>
      <c r="F61">
        <v>11</v>
      </c>
      <c r="G61">
        <v>66</v>
      </c>
      <c r="H61">
        <v>77</v>
      </c>
      <c r="I61">
        <v>60</v>
      </c>
      <c r="J61" s="1">
        <v>40546</v>
      </c>
      <c r="K61">
        <v>1</v>
      </c>
      <c r="L61">
        <v>0</v>
      </c>
      <c r="M61">
        <v>1</v>
      </c>
      <c r="N61">
        <v>14</v>
      </c>
      <c r="O61" t="b">
        <v>0</v>
      </c>
      <c r="P61">
        <v>1</v>
      </c>
      <c r="Q61">
        <v>1</v>
      </c>
      <c r="R61">
        <v>0.26</v>
      </c>
    </row>
    <row r="62" spans="1:18" x14ac:dyDescent="0.25">
      <c r="A62">
        <v>60</v>
      </c>
      <c r="B62">
        <v>61</v>
      </c>
      <c r="C62">
        <v>0.2424</v>
      </c>
      <c r="D62">
        <v>0.3</v>
      </c>
      <c r="E62">
        <v>0.25369999999999998</v>
      </c>
      <c r="F62">
        <v>14</v>
      </c>
      <c r="G62">
        <v>58</v>
      </c>
      <c r="H62">
        <v>72</v>
      </c>
      <c r="I62">
        <v>61</v>
      </c>
      <c r="J62" s="1">
        <v>40546</v>
      </c>
      <c r="K62">
        <v>1</v>
      </c>
      <c r="L62">
        <v>0</v>
      </c>
      <c r="M62">
        <v>1</v>
      </c>
      <c r="N62">
        <v>15</v>
      </c>
      <c r="O62" t="b">
        <v>0</v>
      </c>
      <c r="P62">
        <v>1</v>
      </c>
      <c r="Q62">
        <v>1</v>
      </c>
      <c r="R62">
        <v>0.26</v>
      </c>
    </row>
    <row r="63" spans="1:18" x14ac:dyDescent="0.25">
      <c r="A63">
        <v>61</v>
      </c>
      <c r="B63">
        <v>62</v>
      </c>
      <c r="C63">
        <v>0.2424</v>
      </c>
      <c r="D63">
        <v>0.3</v>
      </c>
      <c r="E63">
        <v>0.25369999999999998</v>
      </c>
      <c r="F63">
        <v>9</v>
      </c>
      <c r="G63">
        <v>67</v>
      </c>
      <c r="H63">
        <v>76</v>
      </c>
      <c r="I63">
        <v>62</v>
      </c>
      <c r="J63" s="1">
        <v>40546</v>
      </c>
      <c r="K63">
        <v>1</v>
      </c>
      <c r="L63">
        <v>0</v>
      </c>
      <c r="M63">
        <v>1</v>
      </c>
      <c r="N63">
        <v>16</v>
      </c>
      <c r="O63" t="b">
        <v>0</v>
      </c>
      <c r="P63">
        <v>1</v>
      </c>
      <c r="Q63">
        <v>1</v>
      </c>
      <c r="R63">
        <v>0.26</v>
      </c>
    </row>
    <row r="64" spans="1:18" x14ac:dyDescent="0.25">
      <c r="A64">
        <v>62</v>
      </c>
      <c r="B64">
        <v>63</v>
      </c>
      <c r="C64">
        <v>0.2273</v>
      </c>
      <c r="D64">
        <v>0.3</v>
      </c>
      <c r="E64">
        <v>0.22389999999999999</v>
      </c>
      <c r="F64">
        <v>11</v>
      </c>
      <c r="G64">
        <v>146</v>
      </c>
      <c r="H64">
        <v>157</v>
      </c>
      <c r="I64">
        <v>63</v>
      </c>
      <c r="J64" s="1">
        <v>40546</v>
      </c>
      <c r="K64">
        <v>1</v>
      </c>
      <c r="L64">
        <v>0</v>
      </c>
      <c r="M64">
        <v>1</v>
      </c>
      <c r="N64">
        <v>17</v>
      </c>
      <c r="O64" t="b">
        <v>0</v>
      </c>
      <c r="P64">
        <v>1</v>
      </c>
      <c r="Q64">
        <v>1</v>
      </c>
      <c r="R64">
        <v>0.24</v>
      </c>
    </row>
    <row r="65" spans="1:18" x14ac:dyDescent="0.25">
      <c r="A65">
        <v>63</v>
      </c>
      <c r="B65">
        <v>64</v>
      </c>
      <c r="C65">
        <v>0.2576</v>
      </c>
      <c r="D65">
        <v>0.32</v>
      </c>
      <c r="E65">
        <v>0.1045</v>
      </c>
      <c r="F65">
        <v>9</v>
      </c>
      <c r="G65">
        <v>148</v>
      </c>
      <c r="H65">
        <v>157</v>
      </c>
      <c r="I65">
        <v>64</v>
      </c>
      <c r="J65" s="1">
        <v>40546</v>
      </c>
      <c r="K65">
        <v>1</v>
      </c>
      <c r="L65">
        <v>0</v>
      </c>
      <c r="M65">
        <v>1</v>
      </c>
      <c r="N65">
        <v>18</v>
      </c>
      <c r="O65" t="b">
        <v>0</v>
      </c>
      <c r="P65">
        <v>1</v>
      </c>
      <c r="Q65">
        <v>1</v>
      </c>
      <c r="R65">
        <v>0.24</v>
      </c>
    </row>
    <row r="66" spans="1:18" x14ac:dyDescent="0.25">
      <c r="A66">
        <v>64</v>
      </c>
      <c r="B66">
        <v>65</v>
      </c>
      <c r="C66">
        <v>0.2576</v>
      </c>
      <c r="D66">
        <v>0.47</v>
      </c>
      <c r="E66">
        <v>0</v>
      </c>
      <c r="F66">
        <v>8</v>
      </c>
      <c r="G66">
        <v>102</v>
      </c>
      <c r="H66">
        <v>110</v>
      </c>
      <c r="I66">
        <v>65</v>
      </c>
      <c r="J66" s="1">
        <v>40546</v>
      </c>
      <c r="K66">
        <v>1</v>
      </c>
      <c r="L66">
        <v>0</v>
      </c>
      <c r="M66">
        <v>1</v>
      </c>
      <c r="N66">
        <v>19</v>
      </c>
      <c r="O66" t="b">
        <v>0</v>
      </c>
      <c r="P66">
        <v>1</v>
      </c>
      <c r="Q66">
        <v>1</v>
      </c>
      <c r="R66">
        <v>0.2</v>
      </c>
    </row>
    <row r="67" spans="1:18" x14ac:dyDescent="0.25">
      <c r="A67">
        <v>65</v>
      </c>
      <c r="B67">
        <v>66</v>
      </c>
      <c r="D67">
        <v>0.47</v>
      </c>
      <c r="E67">
        <v>0.1045</v>
      </c>
      <c r="F67">
        <v>3</v>
      </c>
      <c r="G67">
        <v>49</v>
      </c>
      <c r="H67">
        <v>52</v>
      </c>
      <c r="I67">
        <v>66</v>
      </c>
      <c r="J67" s="1">
        <v>40546</v>
      </c>
      <c r="K67">
        <v>1</v>
      </c>
      <c r="L67">
        <v>0</v>
      </c>
      <c r="M67">
        <v>1</v>
      </c>
      <c r="N67">
        <v>20</v>
      </c>
      <c r="O67" t="b">
        <v>0</v>
      </c>
      <c r="P67">
        <v>1</v>
      </c>
      <c r="Q67">
        <v>1</v>
      </c>
      <c r="R67">
        <v>0.2</v>
      </c>
    </row>
    <row r="68" spans="1:18" x14ac:dyDescent="0.25">
      <c r="A68">
        <v>66</v>
      </c>
      <c r="B68">
        <v>67</v>
      </c>
      <c r="C68">
        <v>0.19700000000000001</v>
      </c>
      <c r="D68">
        <v>0.64</v>
      </c>
      <c r="E68">
        <v>0.1343</v>
      </c>
      <c r="F68">
        <v>3</v>
      </c>
      <c r="G68">
        <v>49</v>
      </c>
      <c r="H68">
        <v>52</v>
      </c>
      <c r="I68">
        <v>67</v>
      </c>
      <c r="J68" s="1">
        <v>40546</v>
      </c>
      <c r="K68">
        <v>1</v>
      </c>
      <c r="L68">
        <v>0</v>
      </c>
      <c r="M68">
        <v>1</v>
      </c>
      <c r="N68">
        <v>21</v>
      </c>
      <c r="O68" t="b">
        <v>0</v>
      </c>
      <c r="P68">
        <v>1</v>
      </c>
      <c r="Q68">
        <v>1</v>
      </c>
      <c r="R68">
        <v>0.18</v>
      </c>
    </row>
    <row r="69" spans="1:18" x14ac:dyDescent="0.25">
      <c r="A69">
        <v>67</v>
      </c>
      <c r="B69">
        <v>68</v>
      </c>
      <c r="C69">
        <v>0.1515</v>
      </c>
      <c r="D69">
        <v>0.69</v>
      </c>
      <c r="E69">
        <v>0.1343</v>
      </c>
      <c r="F69">
        <v>0</v>
      </c>
      <c r="G69">
        <v>20</v>
      </c>
      <c r="H69">
        <v>20</v>
      </c>
      <c r="I69">
        <v>68</v>
      </c>
      <c r="J69" s="1">
        <v>40546</v>
      </c>
      <c r="K69">
        <v>1</v>
      </c>
      <c r="L69">
        <v>0</v>
      </c>
      <c r="M69">
        <v>1</v>
      </c>
      <c r="N69">
        <v>22</v>
      </c>
      <c r="O69" t="b">
        <v>0</v>
      </c>
      <c r="P69">
        <v>1</v>
      </c>
      <c r="Q69">
        <v>1</v>
      </c>
      <c r="R69">
        <v>0.14000000000000001</v>
      </c>
    </row>
    <row r="70" spans="1:18" x14ac:dyDescent="0.25">
      <c r="A70">
        <v>68</v>
      </c>
      <c r="B70">
        <v>69</v>
      </c>
      <c r="C70">
        <v>0.21210000000000001</v>
      </c>
      <c r="D70">
        <v>0.55000000000000004</v>
      </c>
      <c r="E70">
        <v>0.1045</v>
      </c>
      <c r="F70">
        <v>1</v>
      </c>
      <c r="G70">
        <v>11</v>
      </c>
      <c r="H70">
        <v>12</v>
      </c>
      <c r="I70">
        <v>69</v>
      </c>
      <c r="J70" s="1">
        <v>40546</v>
      </c>
      <c r="K70">
        <v>1</v>
      </c>
      <c r="L70">
        <v>0</v>
      </c>
      <c r="M70">
        <v>1</v>
      </c>
      <c r="N70">
        <v>23</v>
      </c>
      <c r="O70" t="b">
        <v>0</v>
      </c>
      <c r="P70">
        <v>1</v>
      </c>
      <c r="Q70">
        <v>1</v>
      </c>
      <c r="R70">
        <v>0.18</v>
      </c>
    </row>
    <row r="71" spans="1:18" x14ac:dyDescent="0.25">
      <c r="A71">
        <v>69</v>
      </c>
      <c r="B71">
        <v>70</v>
      </c>
      <c r="D71">
        <v>0.55000000000000004</v>
      </c>
      <c r="E71">
        <v>0.1045</v>
      </c>
      <c r="F71">
        <v>0</v>
      </c>
      <c r="G71">
        <v>5</v>
      </c>
      <c r="H71">
        <v>5</v>
      </c>
      <c r="I71">
        <v>70</v>
      </c>
      <c r="J71" s="1">
        <v>40547</v>
      </c>
      <c r="K71">
        <v>1</v>
      </c>
      <c r="L71">
        <v>0</v>
      </c>
      <c r="M71">
        <v>1</v>
      </c>
      <c r="N71">
        <v>0</v>
      </c>
      <c r="O71" t="b">
        <v>0</v>
      </c>
      <c r="P71">
        <v>2</v>
      </c>
      <c r="Q71">
        <v>1</v>
      </c>
      <c r="R71">
        <v>0.16</v>
      </c>
    </row>
    <row r="72" spans="1:18" x14ac:dyDescent="0.25">
      <c r="A72">
        <v>70</v>
      </c>
      <c r="B72">
        <v>71</v>
      </c>
      <c r="C72">
        <v>0.18179999999999999</v>
      </c>
      <c r="D72">
        <v>0.59</v>
      </c>
      <c r="E72">
        <v>0.1045</v>
      </c>
      <c r="F72">
        <v>0</v>
      </c>
      <c r="G72">
        <v>2</v>
      </c>
      <c r="H72">
        <v>2</v>
      </c>
      <c r="I72">
        <v>71</v>
      </c>
      <c r="J72" s="1">
        <v>40547</v>
      </c>
      <c r="K72">
        <v>1</v>
      </c>
      <c r="L72">
        <v>0</v>
      </c>
      <c r="M72">
        <v>1</v>
      </c>
      <c r="N72">
        <v>1</v>
      </c>
      <c r="O72" t="b">
        <v>0</v>
      </c>
      <c r="P72">
        <v>2</v>
      </c>
      <c r="Q72">
        <v>1</v>
      </c>
      <c r="R72">
        <v>0.16</v>
      </c>
    </row>
    <row r="73" spans="1:18" x14ac:dyDescent="0.25">
      <c r="A73">
        <v>71</v>
      </c>
      <c r="B73">
        <v>72</v>
      </c>
      <c r="C73">
        <v>0.1515</v>
      </c>
      <c r="D73">
        <v>0.63</v>
      </c>
      <c r="E73">
        <v>0.1343</v>
      </c>
      <c r="F73">
        <v>0</v>
      </c>
      <c r="G73">
        <v>1</v>
      </c>
      <c r="H73">
        <v>1</v>
      </c>
      <c r="I73">
        <v>72</v>
      </c>
      <c r="J73" s="1">
        <v>40547</v>
      </c>
      <c r="K73">
        <v>1</v>
      </c>
      <c r="L73">
        <v>0</v>
      </c>
      <c r="M73">
        <v>1</v>
      </c>
      <c r="N73">
        <v>2</v>
      </c>
      <c r="O73" t="b">
        <v>0</v>
      </c>
      <c r="P73">
        <v>2</v>
      </c>
      <c r="Q73">
        <v>1</v>
      </c>
      <c r="R73">
        <v>0.14000000000000001</v>
      </c>
    </row>
    <row r="74" spans="1:18" x14ac:dyDescent="0.25">
      <c r="A74">
        <v>72</v>
      </c>
      <c r="B74">
        <v>73</v>
      </c>
      <c r="C74">
        <v>0.18179999999999999</v>
      </c>
      <c r="D74">
        <v>0.63</v>
      </c>
      <c r="E74">
        <v>8.9599999999999999E-2</v>
      </c>
      <c r="F74">
        <v>0</v>
      </c>
      <c r="G74">
        <v>2</v>
      </c>
      <c r="H74">
        <v>2</v>
      </c>
      <c r="I74">
        <v>73</v>
      </c>
      <c r="J74" s="1">
        <v>40547</v>
      </c>
      <c r="K74">
        <v>1</v>
      </c>
      <c r="L74">
        <v>0</v>
      </c>
      <c r="M74">
        <v>1</v>
      </c>
      <c r="N74">
        <v>4</v>
      </c>
      <c r="O74" t="b">
        <v>0</v>
      </c>
      <c r="P74">
        <v>2</v>
      </c>
      <c r="Q74">
        <v>1</v>
      </c>
      <c r="R74">
        <v>0.14000000000000001</v>
      </c>
    </row>
    <row r="75" spans="1:18" x14ac:dyDescent="0.25">
      <c r="A75">
        <v>73</v>
      </c>
      <c r="B75">
        <v>74</v>
      </c>
      <c r="C75">
        <v>0.1515</v>
      </c>
      <c r="D75">
        <v>0.68</v>
      </c>
      <c r="E75">
        <v>0.1045</v>
      </c>
      <c r="F75">
        <v>0</v>
      </c>
      <c r="G75">
        <v>4</v>
      </c>
      <c r="H75">
        <v>4</v>
      </c>
      <c r="I75">
        <v>74</v>
      </c>
      <c r="J75" s="1">
        <v>40547</v>
      </c>
      <c r="K75">
        <v>1</v>
      </c>
      <c r="L75">
        <v>0</v>
      </c>
      <c r="M75">
        <v>1</v>
      </c>
      <c r="N75">
        <v>5</v>
      </c>
      <c r="O75" t="b">
        <v>0</v>
      </c>
      <c r="P75">
        <v>2</v>
      </c>
      <c r="Q75">
        <v>1</v>
      </c>
      <c r="R75">
        <v>0.12</v>
      </c>
    </row>
    <row r="76" spans="1:18" x14ac:dyDescent="0.25">
      <c r="A76">
        <v>74</v>
      </c>
      <c r="B76">
        <v>75</v>
      </c>
      <c r="C76">
        <v>0.1515</v>
      </c>
      <c r="D76">
        <v>0.74</v>
      </c>
      <c r="E76">
        <v>0.1045</v>
      </c>
      <c r="F76">
        <v>0</v>
      </c>
      <c r="G76">
        <v>36</v>
      </c>
      <c r="H76">
        <v>36</v>
      </c>
      <c r="I76">
        <v>75</v>
      </c>
      <c r="J76" s="1">
        <v>40547</v>
      </c>
      <c r="K76">
        <v>1</v>
      </c>
      <c r="L76">
        <v>0</v>
      </c>
      <c r="M76">
        <v>1</v>
      </c>
      <c r="N76">
        <v>6</v>
      </c>
      <c r="O76" t="b">
        <v>0</v>
      </c>
      <c r="P76">
        <v>2</v>
      </c>
      <c r="Q76">
        <v>1</v>
      </c>
      <c r="R76">
        <v>0.12</v>
      </c>
    </row>
    <row r="77" spans="1:18" x14ac:dyDescent="0.25">
      <c r="A77">
        <v>75</v>
      </c>
      <c r="B77">
        <v>76</v>
      </c>
      <c r="C77">
        <v>0.1515</v>
      </c>
      <c r="D77">
        <v>0.74</v>
      </c>
      <c r="E77">
        <v>0.1343</v>
      </c>
      <c r="F77">
        <v>2</v>
      </c>
      <c r="G77">
        <v>92</v>
      </c>
      <c r="H77">
        <v>94</v>
      </c>
      <c r="I77">
        <v>76</v>
      </c>
      <c r="J77" s="1">
        <v>40547</v>
      </c>
      <c r="K77">
        <v>1</v>
      </c>
      <c r="L77">
        <v>0</v>
      </c>
      <c r="M77">
        <v>1</v>
      </c>
      <c r="N77">
        <v>7</v>
      </c>
      <c r="O77" t="b">
        <v>0</v>
      </c>
      <c r="P77">
        <v>2</v>
      </c>
      <c r="Q77">
        <v>1</v>
      </c>
      <c r="R77">
        <v>0.12</v>
      </c>
    </row>
    <row r="78" spans="1:18" x14ac:dyDescent="0.25">
      <c r="A78">
        <v>76</v>
      </c>
      <c r="B78">
        <v>77</v>
      </c>
      <c r="C78">
        <v>0.1515</v>
      </c>
      <c r="D78">
        <v>0.69</v>
      </c>
      <c r="E78">
        <v>0.16420000000000001</v>
      </c>
      <c r="F78">
        <v>2</v>
      </c>
      <c r="G78">
        <v>177</v>
      </c>
      <c r="H78">
        <v>179</v>
      </c>
      <c r="I78">
        <v>77</v>
      </c>
      <c r="J78" s="1">
        <v>40547</v>
      </c>
      <c r="K78">
        <v>1</v>
      </c>
      <c r="L78">
        <v>0</v>
      </c>
      <c r="M78">
        <v>1</v>
      </c>
      <c r="N78">
        <v>8</v>
      </c>
      <c r="O78" t="b">
        <v>0</v>
      </c>
      <c r="P78">
        <v>2</v>
      </c>
      <c r="Q78">
        <v>1</v>
      </c>
      <c r="R78">
        <v>0.14000000000000001</v>
      </c>
    </row>
    <row r="79" spans="1:18" x14ac:dyDescent="0.25">
      <c r="A79">
        <v>77</v>
      </c>
      <c r="B79">
        <v>78</v>
      </c>
      <c r="C79">
        <v>0.1515</v>
      </c>
      <c r="D79">
        <v>0.64</v>
      </c>
      <c r="E79">
        <v>0.22389999999999999</v>
      </c>
      <c r="F79">
        <v>2</v>
      </c>
      <c r="G79">
        <v>98</v>
      </c>
      <c r="H79">
        <v>100</v>
      </c>
      <c r="I79">
        <v>78</v>
      </c>
      <c r="J79" s="1">
        <v>40547</v>
      </c>
      <c r="K79">
        <v>1</v>
      </c>
      <c r="L79">
        <v>0</v>
      </c>
      <c r="M79">
        <v>1</v>
      </c>
      <c r="N79">
        <v>9</v>
      </c>
      <c r="O79" t="b">
        <v>0</v>
      </c>
      <c r="P79">
        <v>2</v>
      </c>
      <c r="Q79">
        <v>1</v>
      </c>
      <c r="R79">
        <v>0.16</v>
      </c>
    </row>
    <row r="80" spans="1:18" x14ac:dyDescent="0.25">
      <c r="A80">
        <v>78</v>
      </c>
      <c r="B80">
        <v>79</v>
      </c>
      <c r="C80">
        <v>0.13639999999999999</v>
      </c>
      <c r="D80">
        <v>0.69</v>
      </c>
      <c r="E80">
        <v>0.32840000000000003</v>
      </c>
      <c r="F80">
        <v>5</v>
      </c>
      <c r="G80">
        <v>37</v>
      </c>
      <c r="H80">
        <v>42</v>
      </c>
      <c r="I80">
        <v>79</v>
      </c>
      <c r="J80" s="1">
        <v>40547</v>
      </c>
      <c r="K80">
        <v>1</v>
      </c>
      <c r="L80">
        <v>0</v>
      </c>
      <c r="M80">
        <v>1</v>
      </c>
      <c r="N80">
        <v>10</v>
      </c>
      <c r="O80" t="b">
        <v>0</v>
      </c>
      <c r="P80">
        <v>2</v>
      </c>
      <c r="Q80">
        <v>2</v>
      </c>
      <c r="R80">
        <v>0.16</v>
      </c>
    </row>
    <row r="81" spans="1:18" x14ac:dyDescent="0.25">
      <c r="A81">
        <v>79</v>
      </c>
      <c r="B81">
        <v>80</v>
      </c>
      <c r="C81">
        <v>0.21210000000000001</v>
      </c>
      <c r="D81">
        <v>0.51</v>
      </c>
      <c r="E81">
        <v>0.29849999999999999</v>
      </c>
      <c r="F81">
        <v>7</v>
      </c>
      <c r="G81">
        <v>50</v>
      </c>
      <c r="H81">
        <v>57</v>
      </c>
      <c r="I81">
        <v>80</v>
      </c>
      <c r="J81" s="1">
        <v>40547</v>
      </c>
      <c r="K81">
        <v>1</v>
      </c>
      <c r="L81">
        <v>0</v>
      </c>
      <c r="M81">
        <v>1</v>
      </c>
      <c r="N81">
        <v>11</v>
      </c>
      <c r="O81" t="b">
        <v>0</v>
      </c>
      <c r="P81">
        <v>2</v>
      </c>
      <c r="Q81">
        <v>1</v>
      </c>
      <c r="R81">
        <v>0.22</v>
      </c>
    </row>
    <row r="82" spans="1:18" x14ac:dyDescent="0.25">
      <c r="A82">
        <v>80</v>
      </c>
      <c r="B82">
        <v>81</v>
      </c>
      <c r="C82">
        <v>0.2273</v>
      </c>
      <c r="D82">
        <v>0.51</v>
      </c>
      <c r="E82">
        <v>0.16420000000000001</v>
      </c>
      <c r="F82">
        <v>12</v>
      </c>
      <c r="G82">
        <v>66</v>
      </c>
      <c r="H82">
        <v>78</v>
      </c>
      <c r="I82">
        <v>81</v>
      </c>
      <c r="J82" s="1">
        <v>40547</v>
      </c>
      <c r="K82">
        <v>1</v>
      </c>
      <c r="L82">
        <v>0</v>
      </c>
      <c r="M82">
        <v>1</v>
      </c>
      <c r="N82">
        <v>12</v>
      </c>
      <c r="O82" t="b">
        <v>0</v>
      </c>
      <c r="P82">
        <v>2</v>
      </c>
      <c r="Q82">
        <v>1</v>
      </c>
      <c r="R82">
        <v>0.22</v>
      </c>
    </row>
    <row r="83" spans="1:18" x14ac:dyDescent="0.25">
      <c r="A83">
        <v>81</v>
      </c>
      <c r="B83">
        <v>82</v>
      </c>
      <c r="C83">
        <v>0.2273</v>
      </c>
      <c r="D83">
        <v>0.56000000000000005</v>
      </c>
      <c r="E83">
        <v>0.19400000000000001</v>
      </c>
      <c r="F83">
        <v>18</v>
      </c>
      <c r="G83">
        <v>79</v>
      </c>
      <c r="H83">
        <v>97</v>
      </c>
      <c r="I83">
        <v>82</v>
      </c>
      <c r="J83" s="1">
        <v>40547</v>
      </c>
      <c r="K83">
        <v>1</v>
      </c>
      <c r="L83">
        <v>0</v>
      </c>
      <c r="M83">
        <v>1</v>
      </c>
      <c r="N83">
        <v>13</v>
      </c>
      <c r="O83" t="b">
        <v>0</v>
      </c>
      <c r="P83">
        <v>2</v>
      </c>
      <c r="Q83">
        <v>1</v>
      </c>
      <c r="R83">
        <v>0.24</v>
      </c>
    </row>
    <row r="84" spans="1:18" x14ac:dyDescent="0.25">
      <c r="A84">
        <v>82</v>
      </c>
      <c r="B84">
        <v>83</v>
      </c>
      <c r="C84">
        <v>0.2576</v>
      </c>
      <c r="D84">
        <v>0.52</v>
      </c>
      <c r="E84">
        <v>0.22389999999999999</v>
      </c>
      <c r="F84">
        <v>9</v>
      </c>
      <c r="G84">
        <v>54</v>
      </c>
      <c r="H84">
        <v>63</v>
      </c>
      <c r="I84">
        <v>83</v>
      </c>
      <c r="J84" s="1">
        <v>40547</v>
      </c>
      <c r="K84">
        <v>1</v>
      </c>
      <c r="L84">
        <v>0</v>
      </c>
      <c r="M84">
        <v>1</v>
      </c>
      <c r="N84">
        <v>14</v>
      </c>
      <c r="O84" t="b">
        <v>0</v>
      </c>
      <c r="P84">
        <v>2</v>
      </c>
      <c r="Q84">
        <v>1</v>
      </c>
      <c r="R84">
        <v>0.26</v>
      </c>
    </row>
    <row r="85" spans="1:18" x14ac:dyDescent="0.25">
      <c r="A85">
        <v>83</v>
      </c>
      <c r="B85">
        <v>84</v>
      </c>
      <c r="C85">
        <v>0.2727</v>
      </c>
      <c r="D85">
        <v>0.52</v>
      </c>
      <c r="E85">
        <v>0.25369999999999998</v>
      </c>
      <c r="F85">
        <v>17</v>
      </c>
      <c r="G85">
        <v>48</v>
      </c>
      <c r="H85">
        <v>65</v>
      </c>
      <c r="I85">
        <v>84</v>
      </c>
      <c r="J85" s="1">
        <v>40547</v>
      </c>
      <c r="K85">
        <v>1</v>
      </c>
      <c r="L85">
        <v>0</v>
      </c>
      <c r="M85">
        <v>1</v>
      </c>
      <c r="N85">
        <v>15</v>
      </c>
      <c r="O85" t="b">
        <v>0</v>
      </c>
      <c r="P85">
        <v>2</v>
      </c>
      <c r="Q85">
        <v>1</v>
      </c>
      <c r="R85">
        <v>0.28000000000000003</v>
      </c>
    </row>
    <row r="86" spans="1:18" x14ac:dyDescent="0.25">
      <c r="A86">
        <v>84</v>
      </c>
      <c r="B86">
        <v>85</v>
      </c>
      <c r="C86">
        <v>0.28789999999999999</v>
      </c>
      <c r="D86">
        <v>0.49</v>
      </c>
      <c r="E86">
        <v>0.25369999999999998</v>
      </c>
      <c r="F86">
        <v>15</v>
      </c>
      <c r="G86">
        <v>68</v>
      </c>
      <c r="H86">
        <v>83</v>
      </c>
      <c r="I86">
        <v>85</v>
      </c>
      <c r="J86" s="1">
        <v>40547</v>
      </c>
      <c r="K86">
        <v>1</v>
      </c>
      <c r="L86">
        <v>0</v>
      </c>
      <c r="M86">
        <v>1</v>
      </c>
      <c r="N86">
        <v>16</v>
      </c>
      <c r="O86" t="b">
        <v>0</v>
      </c>
      <c r="P86">
        <v>2</v>
      </c>
      <c r="Q86">
        <v>1</v>
      </c>
      <c r="R86">
        <v>0.3</v>
      </c>
    </row>
    <row r="87" spans="1:18" x14ac:dyDescent="0.25">
      <c r="A87">
        <v>85</v>
      </c>
      <c r="B87">
        <v>86</v>
      </c>
      <c r="C87">
        <v>0.2727</v>
      </c>
      <c r="D87">
        <v>0.48</v>
      </c>
      <c r="E87">
        <v>0.22389999999999999</v>
      </c>
      <c r="F87">
        <v>10</v>
      </c>
      <c r="G87">
        <v>202</v>
      </c>
      <c r="H87">
        <v>212</v>
      </c>
      <c r="I87">
        <v>86</v>
      </c>
      <c r="J87" s="1">
        <v>40547</v>
      </c>
      <c r="K87">
        <v>1</v>
      </c>
      <c r="L87">
        <v>0</v>
      </c>
      <c r="M87">
        <v>1</v>
      </c>
      <c r="N87">
        <v>17</v>
      </c>
      <c r="O87" t="b">
        <v>0</v>
      </c>
      <c r="P87">
        <v>2</v>
      </c>
      <c r="Q87">
        <v>1</v>
      </c>
      <c r="R87">
        <v>0.28000000000000003</v>
      </c>
    </row>
    <row r="88" spans="1:18" x14ac:dyDescent="0.25">
      <c r="A88">
        <v>86</v>
      </c>
      <c r="B88">
        <v>87</v>
      </c>
      <c r="C88">
        <v>0.2576</v>
      </c>
      <c r="D88">
        <v>0.48</v>
      </c>
      <c r="E88">
        <v>0.19400000000000001</v>
      </c>
      <c r="F88">
        <v>3</v>
      </c>
      <c r="G88">
        <v>179</v>
      </c>
      <c r="H88">
        <v>182</v>
      </c>
      <c r="I88">
        <v>87</v>
      </c>
      <c r="J88" s="1">
        <v>40547</v>
      </c>
      <c r="K88">
        <v>1</v>
      </c>
      <c r="L88">
        <v>0</v>
      </c>
      <c r="M88">
        <v>1</v>
      </c>
      <c r="N88">
        <v>18</v>
      </c>
      <c r="O88" t="b">
        <v>0</v>
      </c>
      <c r="P88">
        <v>2</v>
      </c>
      <c r="Q88">
        <v>1</v>
      </c>
      <c r="R88">
        <v>0.26</v>
      </c>
    </row>
    <row r="89" spans="1:18" x14ac:dyDescent="0.25">
      <c r="A89">
        <v>87</v>
      </c>
      <c r="B89">
        <v>88</v>
      </c>
      <c r="C89">
        <v>0.2576</v>
      </c>
      <c r="D89">
        <v>0.48</v>
      </c>
      <c r="E89">
        <v>0.1045</v>
      </c>
      <c r="F89">
        <v>2</v>
      </c>
      <c r="G89">
        <v>110</v>
      </c>
      <c r="H89">
        <v>112</v>
      </c>
      <c r="I89">
        <v>88</v>
      </c>
      <c r="J89" s="1">
        <v>40547</v>
      </c>
      <c r="K89">
        <v>1</v>
      </c>
      <c r="L89">
        <v>0</v>
      </c>
      <c r="M89">
        <v>1</v>
      </c>
      <c r="N89">
        <v>19</v>
      </c>
      <c r="O89" t="b">
        <v>0</v>
      </c>
      <c r="P89">
        <v>2</v>
      </c>
      <c r="Q89">
        <v>1</v>
      </c>
      <c r="R89">
        <v>0.24</v>
      </c>
    </row>
    <row r="90" spans="1:18" x14ac:dyDescent="0.25">
      <c r="A90">
        <v>88</v>
      </c>
      <c r="B90">
        <v>89</v>
      </c>
      <c r="C90">
        <v>0.2576</v>
      </c>
      <c r="D90">
        <v>0.48</v>
      </c>
      <c r="E90">
        <v>0.1045</v>
      </c>
      <c r="F90">
        <v>1</v>
      </c>
      <c r="G90">
        <v>53</v>
      </c>
      <c r="H90">
        <v>54</v>
      </c>
      <c r="I90">
        <v>89</v>
      </c>
      <c r="J90" s="1">
        <v>40547</v>
      </c>
      <c r="K90">
        <v>1</v>
      </c>
      <c r="L90">
        <v>0</v>
      </c>
      <c r="M90">
        <v>1</v>
      </c>
      <c r="N90">
        <v>20</v>
      </c>
      <c r="O90" t="b">
        <v>0</v>
      </c>
      <c r="P90">
        <v>2</v>
      </c>
      <c r="Q90">
        <v>1</v>
      </c>
      <c r="R90">
        <v>0.24</v>
      </c>
    </row>
    <row r="91" spans="1:18" x14ac:dyDescent="0.25">
      <c r="A91">
        <v>89</v>
      </c>
      <c r="B91">
        <v>90</v>
      </c>
      <c r="C91">
        <v>0.2727</v>
      </c>
      <c r="D91">
        <v>0.64</v>
      </c>
      <c r="E91">
        <v>0</v>
      </c>
      <c r="F91">
        <v>0</v>
      </c>
      <c r="G91">
        <v>48</v>
      </c>
      <c r="H91">
        <v>48</v>
      </c>
      <c r="I91">
        <v>90</v>
      </c>
      <c r="J91" s="1">
        <v>40547</v>
      </c>
      <c r="K91">
        <v>1</v>
      </c>
      <c r="L91">
        <v>0</v>
      </c>
      <c r="M91">
        <v>1</v>
      </c>
      <c r="N91">
        <v>21</v>
      </c>
      <c r="O91" t="b">
        <v>0</v>
      </c>
      <c r="P91">
        <v>2</v>
      </c>
      <c r="Q91">
        <v>1</v>
      </c>
      <c r="R91">
        <v>0.22</v>
      </c>
    </row>
    <row r="92" spans="1:18" x14ac:dyDescent="0.25">
      <c r="A92">
        <v>90</v>
      </c>
      <c r="B92">
        <v>91</v>
      </c>
      <c r="C92">
        <v>0.2576</v>
      </c>
      <c r="D92">
        <v>0.64</v>
      </c>
      <c r="E92">
        <v>8.9599999999999999E-2</v>
      </c>
      <c r="F92">
        <v>1</v>
      </c>
      <c r="G92">
        <v>34</v>
      </c>
      <c r="H92">
        <v>35</v>
      </c>
      <c r="I92">
        <v>91</v>
      </c>
      <c r="J92" s="1">
        <v>40547</v>
      </c>
      <c r="K92">
        <v>1</v>
      </c>
      <c r="L92">
        <v>0</v>
      </c>
      <c r="M92">
        <v>1</v>
      </c>
      <c r="N92">
        <v>22</v>
      </c>
      <c r="O92" t="b">
        <v>0</v>
      </c>
      <c r="P92">
        <v>2</v>
      </c>
      <c r="Q92">
        <v>1</v>
      </c>
      <c r="R92">
        <v>0.22</v>
      </c>
    </row>
    <row r="93" spans="1:18" x14ac:dyDescent="0.25">
      <c r="A93">
        <v>91</v>
      </c>
      <c r="B93">
        <v>92</v>
      </c>
      <c r="C93">
        <v>0.2273</v>
      </c>
      <c r="D93">
        <v>0.69</v>
      </c>
      <c r="E93">
        <v>8.9599999999999999E-2</v>
      </c>
      <c r="F93">
        <v>2</v>
      </c>
      <c r="G93">
        <v>9</v>
      </c>
      <c r="H93">
        <v>11</v>
      </c>
      <c r="I93">
        <v>92</v>
      </c>
      <c r="J93" s="1">
        <v>40547</v>
      </c>
      <c r="K93">
        <v>1</v>
      </c>
      <c r="L93">
        <v>0</v>
      </c>
      <c r="M93">
        <v>1</v>
      </c>
      <c r="N93">
        <v>23</v>
      </c>
      <c r="O93" t="b">
        <v>0</v>
      </c>
      <c r="P93">
        <v>2</v>
      </c>
      <c r="Q93">
        <v>1</v>
      </c>
      <c r="R93">
        <v>0.2</v>
      </c>
    </row>
    <row r="94" spans="1:18" x14ac:dyDescent="0.25">
      <c r="A94">
        <v>92</v>
      </c>
      <c r="B94">
        <v>93</v>
      </c>
      <c r="C94">
        <v>0.2576</v>
      </c>
      <c r="D94">
        <v>0.64</v>
      </c>
      <c r="E94">
        <v>0</v>
      </c>
      <c r="F94">
        <v>0</v>
      </c>
      <c r="G94">
        <v>6</v>
      </c>
      <c r="H94">
        <v>6</v>
      </c>
      <c r="I94">
        <v>93</v>
      </c>
      <c r="J94" s="1">
        <v>40548</v>
      </c>
      <c r="K94">
        <v>1</v>
      </c>
      <c r="L94">
        <v>0</v>
      </c>
      <c r="M94">
        <v>1</v>
      </c>
      <c r="N94">
        <v>0</v>
      </c>
      <c r="O94" t="b">
        <v>0</v>
      </c>
      <c r="P94">
        <v>3</v>
      </c>
      <c r="Q94">
        <v>1</v>
      </c>
      <c r="R94">
        <v>0.2</v>
      </c>
    </row>
    <row r="95" spans="1:18" x14ac:dyDescent="0.25">
      <c r="A95">
        <v>93</v>
      </c>
      <c r="B95">
        <v>94</v>
      </c>
      <c r="C95">
        <v>0.19700000000000001</v>
      </c>
      <c r="D95">
        <v>0.74</v>
      </c>
      <c r="E95">
        <v>8.9599999999999999E-2</v>
      </c>
      <c r="F95">
        <v>0</v>
      </c>
      <c r="G95">
        <v>6</v>
      </c>
      <c r="H95">
        <v>6</v>
      </c>
      <c r="I95">
        <v>94</v>
      </c>
      <c r="J95" s="1">
        <v>40548</v>
      </c>
      <c r="K95">
        <v>1</v>
      </c>
      <c r="L95">
        <v>0</v>
      </c>
      <c r="M95">
        <v>1</v>
      </c>
      <c r="N95">
        <v>1</v>
      </c>
      <c r="O95" t="b">
        <v>0</v>
      </c>
      <c r="P95">
        <v>3</v>
      </c>
      <c r="Q95">
        <v>1</v>
      </c>
      <c r="R95">
        <v>0.16</v>
      </c>
    </row>
    <row r="96" spans="1:18" x14ac:dyDescent="0.25">
      <c r="A96">
        <v>94</v>
      </c>
      <c r="B96">
        <v>95</v>
      </c>
      <c r="C96">
        <v>0.19700000000000001</v>
      </c>
      <c r="D96">
        <v>0.74</v>
      </c>
      <c r="E96">
        <v>8.9599999999999999E-2</v>
      </c>
      <c r="F96">
        <v>0</v>
      </c>
      <c r="G96">
        <v>2</v>
      </c>
      <c r="H96">
        <v>2</v>
      </c>
      <c r="I96">
        <v>95</v>
      </c>
      <c r="J96" s="1">
        <v>40548</v>
      </c>
      <c r="K96">
        <v>1</v>
      </c>
      <c r="L96">
        <v>0</v>
      </c>
      <c r="M96">
        <v>1</v>
      </c>
      <c r="N96">
        <v>2</v>
      </c>
      <c r="O96" t="b">
        <v>0</v>
      </c>
      <c r="P96">
        <v>3</v>
      </c>
      <c r="Q96">
        <v>1</v>
      </c>
      <c r="R96">
        <v>0.16</v>
      </c>
    </row>
    <row r="97" spans="1:18" x14ac:dyDescent="0.25">
      <c r="A97">
        <v>95</v>
      </c>
      <c r="B97">
        <v>96</v>
      </c>
      <c r="C97">
        <v>0.2273</v>
      </c>
      <c r="D97">
        <v>0.48</v>
      </c>
      <c r="E97">
        <v>0.22389999999999999</v>
      </c>
      <c r="F97">
        <v>0</v>
      </c>
      <c r="G97">
        <v>2</v>
      </c>
      <c r="H97">
        <v>2</v>
      </c>
      <c r="I97">
        <v>96</v>
      </c>
      <c r="J97" s="1">
        <v>40548</v>
      </c>
      <c r="K97">
        <v>1</v>
      </c>
      <c r="L97">
        <v>0</v>
      </c>
      <c r="M97">
        <v>1</v>
      </c>
      <c r="N97">
        <v>4</v>
      </c>
      <c r="O97" t="b">
        <v>0</v>
      </c>
      <c r="P97">
        <v>3</v>
      </c>
      <c r="Q97">
        <v>1</v>
      </c>
      <c r="R97">
        <v>0.24</v>
      </c>
    </row>
    <row r="98" spans="1:18" x14ac:dyDescent="0.25">
      <c r="A98">
        <v>96</v>
      </c>
      <c r="B98">
        <v>97</v>
      </c>
      <c r="C98">
        <v>0.2273</v>
      </c>
      <c r="D98">
        <v>0.47</v>
      </c>
      <c r="E98">
        <v>0.16420000000000001</v>
      </c>
      <c r="F98">
        <v>0</v>
      </c>
      <c r="G98">
        <v>3</v>
      </c>
      <c r="H98">
        <v>3</v>
      </c>
      <c r="I98">
        <v>97</v>
      </c>
      <c r="J98" s="1">
        <v>40548</v>
      </c>
      <c r="K98">
        <v>1</v>
      </c>
      <c r="L98">
        <v>0</v>
      </c>
      <c r="M98">
        <v>1</v>
      </c>
      <c r="N98">
        <v>5</v>
      </c>
      <c r="O98" t="b">
        <v>0</v>
      </c>
      <c r="P98">
        <v>3</v>
      </c>
      <c r="Q98">
        <v>1</v>
      </c>
      <c r="R98">
        <v>0.22</v>
      </c>
    </row>
    <row r="99" spans="1:18" x14ac:dyDescent="0.25">
      <c r="A99">
        <v>97</v>
      </c>
      <c r="B99">
        <v>98</v>
      </c>
      <c r="C99">
        <v>0.19700000000000001</v>
      </c>
      <c r="D99">
        <v>0.47</v>
      </c>
      <c r="E99">
        <v>0.22389999999999999</v>
      </c>
      <c r="F99">
        <v>0</v>
      </c>
      <c r="G99">
        <v>33</v>
      </c>
      <c r="H99">
        <v>33</v>
      </c>
      <c r="I99">
        <v>98</v>
      </c>
      <c r="J99" s="1">
        <v>40548</v>
      </c>
      <c r="K99">
        <v>1</v>
      </c>
      <c r="L99">
        <v>0</v>
      </c>
      <c r="M99">
        <v>1</v>
      </c>
      <c r="N99">
        <v>6</v>
      </c>
      <c r="O99" t="b">
        <v>0</v>
      </c>
      <c r="P99">
        <v>3</v>
      </c>
      <c r="Q99">
        <v>1</v>
      </c>
      <c r="R99">
        <v>0.2</v>
      </c>
    </row>
    <row r="100" spans="1:18" x14ac:dyDescent="0.25">
      <c r="A100">
        <v>98</v>
      </c>
      <c r="B100">
        <v>99</v>
      </c>
      <c r="C100">
        <v>0.18179999999999999</v>
      </c>
      <c r="D100">
        <v>0.43</v>
      </c>
      <c r="E100">
        <v>0.19400000000000001</v>
      </c>
      <c r="F100">
        <v>1</v>
      </c>
      <c r="G100">
        <v>87</v>
      </c>
      <c r="H100">
        <v>88</v>
      </c>
      <c r="I100">
        <v>99</v>
      </c>
      <c r="J100" s="1">
        <v>40548</v>
      </c>
      <c r="K100">
        <v>1</v>
      </c>
      <c r="L100">
        <v>0</v>
      </c>
      <c r="M100">
        <v>1</v>
      </c>
      <c r="N100">
        <v>7</v>
      </c>
      <c r="O100" t="b">
        <v>0</v>
      </c>
      <c r="P100">
        <v>3</v>
      </c>
      <c r="Q100">
        <v>1</v>
      </c>
      <c r="R100">
        <v>0.18</v>
      </c>
    </row>
    <row r="101" spans="1:18" x14ac:dyDescent="0.25">
      <c r="A101">
        <v>99</v>
      </c>
      <c r="B101">
        <v>100</v>
      </c>
      <c r="C101">
        <v>0.18179999999999999</v>
      </c>
      <c r="D101">
        <v>0.4</v>
      </c>
      <c r="E101">
        <v>0.29849999999999999</v>
      </c>
      <c r="F101">
        <v>3</v>
      </c>
      <c r="G101">
        <v>192</v>
      </c>
      <c r="H101">
        <v>195</v>
      </c>
      <c r="I101">
        <v>100</v>
      </c>
      <c r="J101" s="1">
        <v>40548</v>
      </c>
      <c r="K101">
        <v>1</v>
      </c>
      <c r="L101">
        <v>0</v>
      </c>
      <c r="M101">
        <v>1</v>
      </c>
      <c r="N101">
        <v>8</v>
      </c>
      <c r="O101" t="b">
        <v>0</v>
      </c>
      <c r="P101">
        <v>3</v>
      </c>
      <c r="Q101">
        <v>1</v>
      </c>
      <c r="R101">
        <v>0.2</v>
      </c>
    </row>
    <row r="102" spans="1:18" x14ac:dyDescent="0.25">
      <c r="A102">
        <v>100</v>
      </c>
      <c r="B102">
        <v>101</v>
      </c>
      <c r="C102">
        <v>0.19700000000000001</v>
      </c>
      <c r="D102">
        <v>0.37</v>
      </c>
      <c r="E102">
        <v>0.32840000000000003</v>
      </c>
      <c r="F102">
        <v>6</v>
      </c>
      <c r="G102">
        <v>109</v>
      </c>
      <c r="H102">
        <v>115</v>
      </c>
      <c r="I102">
        <v>101</v>
      </c>
      <c r="J102" s="1">
        <v>40548</v>
      </c>
      <c r="K102">
        <v>1</v>
      </c>
      <c r="L102">
        <v>0</v>
      </c>
      <c r="M102">
        <v>1</v>
      </c>
      <c r="N102">
        <v>9</v>
      </c>
      <c r="O102" t="b">
        <v>0</v>
      </c>
      <c r="P102">
        <v>3</v>
      </c>
      <c r="Q102">
        <v>1</v>
      </c>
      <c r="R102">
        <v>0.22</v>
      </c>
    </row>
    <row r="103" spans="1:18" x14ac:dyDescent="0.25">
      <c r="A103">
        <v>101</v>
      </c>
      <c r="B103">
        <v>102</v>
      </c>
      <c r="C103">
        <v>0.19700000000000001</v>
      </c>
      <c r="D103">
        <v>0.37</v>
      </c>
      <c r="E103">
        <v>0.32840000000000003</v>
      </c>
      <c r="F103">
        <v>4</v>
      </c>
      <c r="G103">
        <v>53</v>
      </c>
      <c r="H103">
        <v>57</v>
      </c>
      <c r="I103">
        <v>102</v>
      </c>
      <c r="J103" s="1">
        <v>40548</v>
      </c>
      <c r="K103">
        <v>1</v>
      </c>
      <c r="L103">
        <v>0</v>
      </c>
      <c r="M103">
        <v>1</v>
      </c>
      <c r="N103">
        <v>10</v>
      </c>
      <c r="O103" t="b">
        <v>0</v>
      </c>
      <c r="P103">
        <v>3</v>
      </c>
      <c r="Q103">
        <v>1</v>
      </c>
      <c r="R103">
        <v>0.22</v>
      </c>
    </row>
    <row r="104" spans="1:18" x14ac:dyDescent="0.25">
      <c r="A104">
        <v>102</v>
      </c>
      <c r="B104">
        <v>103</v>
      </c>
      <c r="C104">
        <v>0.2273</v>
      </c>
      <c r="D104">
        <v>0.33</v>
      </c>
      <c r="E104">
        <v>0.32840000000000003</v>
      </c>
      <c r="F104">
        <v>12</v>
      </c>
      <c r="G104">
        <v>34</v>
      </c>
      <c r="H104">
        <v>46</v>
      </c>
      <c r="I104">
        <v>103</v>
      </c>
      <c r="J104" s="1">
        <v>40548</v>
      </c>
      <c r="K104">
        <v>1</v>
      </c>
      <c r="L104">
        <v>0</v>
      </c>
      <c r="M104">
        <v>1</v>
      </c>
      <c r="N104">
        <v>11</v>
      </c>
      <c r="O104" t="b">
        <v>0</v>
      </c>
      <c r="P104">
        <v>3</v>
      </c>
      <c r="Q104">
        <v>1</v>
      </c>
      <c r="R104">
        <v>0.26</v>
      </c>
    </row>
    <row r="105" spans="1:18" x14ac:dyDescent="0.25">
      <c r="A105">
        <v>103</v>
      </c>
      <c r="B105">
        <v>104</v>
      </c>
      <c r="C105">
        <v>0.2273</v>
      </c>
      <c r="D105">
        <v>0.33</v>
      </c>
      <c r="E105">
        <v>0.32840000000000003</v>
      </c>
      <c r="F105">
        <v>5</v>
      </c>
      <c r="G105">
        <v>74</v>
      </c>
      <c r="H105">
        <v>79</v>
      </c>
      <c r="I105">
        <v>104</v>
      </c>
      <c r="J105" s="1">
        <v>40548</v>
      </c>
      <c r="K105">
        <v>1</v>
      </c>
      <c r="L105">
        <v>0</v>
      </c>
      <c r="M105">
        <v>1</v>
      </c>
      <c r="N105">
        <v>12</v>
      </c>
      <c r="O105" t="b">
        <v>0</v>
      </c>
      <c r="P105">
        <v>3</v>
      </c>
      <c r="Q105">
        <v>1</v>
      </c>
      <c r="R105">
        <v>0.26</v>
      </c>
    </row>
    <row r="106" spans="1:18" x14ac:dyDescent="0.25">
      <c r="A106">
        <v>104</v>
      </c>
      <c r="B106">
        <v>105</v>
      </c>
      <c r="C106">
        <v>0.2576</v>
      </c>
      <c r="D106">
        <v>0.3</v>
      </c>
      <c r="E106">
        <v>0.29849999999999999</v>
      </c>
      <c r="F106">
        <v>6</v>
      </c>
      <c r="G106">
        <v>65</v>
      </c>
      <c r="H106">
        <v>71</v>
      </c>
      <c r="I106">
        <v>105</v>
      </c>
      <c r="J106" s="1">
        <v>40548</v>
      </c>
      <c r="K106">
        <v>1</v>
      </c>
      <c r="L106">
        <v>0</v>
      </c>
      <c r="M106">
        <v>1</v>
      </c>
      <c r="N106">
        <v>13</v>
      </c>
      <c r="O106" t="b">
        <v>0</v>
      </c>
      <c r="P106">
        <v>3</v>
      </c>
      <c r="Q106">
        <v>1</v>
      </c>
      <c r="R106">
        <v>0.28000000000000003</v>
      </c>
    </row>
    <row r="107" spans="1:18" x14ac:dyDescent="0.25">
      <c r="A107">
        <v>105</v>
      </c>
      <c r="B107">
        <v>106</v>
      </c>
      <c r="C107">
        <v>0.28789999999999999</v>
      </c>
      <c r="D107">
        <v>0.28000000000000003</v>
      </c>
      <c r="E107">
        <v>0.19400000000000001</v>
      </c>
      <c r="F107">
        <v>10</v>
      </c>
      <c r="G107">
        <v>52</v>
      </c>
      <c r="H107">
        <v>62</v>
      </c>
      <c r="I107">
        <v>106</v>
      </c>
      <c r="J107" s="1">
        <v>40548</v>
      </c>
      <c r="K107">
        <v>1</v>
      </c>
      <c r="L107">
        <v>0</v>
      </c>
      <c r="M107">
        <v>1</v>
      </c>
      <c r="N107">
        <v>14</v>
      </c>
      <c r="O107" t="b">
        <v>0</v>
      </c>
      <c r="P107">
        <v>3</v>
      </c>
      <c r="Q107">
        <v>1</v>
      </c>
      <c r="R107">
        <v>0.3</v>
      </c>
    </row>
    <row r="108" spans="1:18" x14ac:dyDescent="0.25">
      <c r="A108">
        <v>106</v>
      </c>
      <c r="B108">
        <v>107</v>
      </c>
      <c r="C108">
        <v>0.28789999999999999</v>
      </c>
      <c r="D108">
        <v>0.28000000000000003</v>
      </c>
      <c r="E108">
        <v>0.19400000000000001</v>
      </c>
      <c r="F108">
        <v>7</v>
      </c>
      <c r="G108">
        <v>55</v>
      </c>
      <c r="H108">
        <v>62</v>
      </c>
      <c r="I108">
        <v>107</v>
      </c>
      <c r="J108" s="1">
        <v>40548</v>
      </c>
      <c r="K108">
        <v>1</v>
      </c>
      <c r="L108">
        <v>0</v>
      </c>
      <c r="M108">
        <v>1</v>
      </c>
      <c r="N108">
        <v>15</v>
      </c>
      <c r="O108" t="b">
        <v>0</v>
      </c>
      <c r="P108">
        <v>3</v>
      </c>
      <c r="Q108">
        <v>1</v>
      </c>
      <c r="R108">
        <v>0.3</v>
      </c>
    </row>
    <row r="109" spans="1:18" x14ac:dyDescent="0.25">
      <c r="A109">
        <v>107</v>
      </c>
      <c r="B109">
        <v>108</v>
      </c>
      <c r="C109">
        <v>0.31819999999999998</v>
      </c>
      <c r="D109">
        <v>0.28000000000000003</v>
      </c>
      <c r="E109">
        <v>8.9599999999999999E-2</v>
      </c>
      <c r="F109">
        <v>4</v>
      </c>
      <c r="G109">
        <v>85</v>
      </c>
      <c r="H109">
        <v>89</v>
      </c>
      <c r="I109">
        <v>108</v>
      </c>
      <c r="J109" s="1">
        <v>40548</v>
      </c>
      <c r="K109">
        <v>1</v>
      </c>
      <c r="L109">
        <v>0</v>
      </c>
      <c r="M109">
        <v>1</v>
      </c>
      <c r="N109">
        <v>16</v>
      </c>
      <c r="O109" t="b">
        <v>0</v>
      </c>
      <c r="P109">
        <v>3</v>
      </c>
      <c r="Q109">
        <v>1</v>
      </c>
      <c r="R109">
        <v>0.3</v>
      </c>
    </row>
    <row r="110" spans="1:18" x14ac:dyDescent="0.25">
      <c r="A110">
        <v>108</v>
      </c>
      <c r="B110">
        <v>109</v>
      </c>
      <c r="C110">
        <v>0.2273</v>
      </c>
      <c r="D110">
        <v>0.38</v>
      </c>
      <c r="E110">
        <v>0.19400000000000001</v>
      </c>
      <c r="F110">
        <v>4</v>
      </c>
      <c r="G110">
        <v>186</v>
      </c>
      <c r="H110">
        <v>190</v>
      </c>
      <c r="I110">
        <v>109</v>
      </c>
      <c r="J110" s="1">
        <v>40548</v>
      </c>
      <c r="K110">
        <v>1</v>
      </c>
      <c r="L110">
        <v>0</v>
      </c>
      <c r="M110">
        <v>1</v>
      </c>
      <c r="N110">
        <v>17</v>
      </c>
      <c r="O110" t="b">
        <v>0</v>
      </c>
      <c r="P110">
        <v>3</v>
      </c>
      <c r="Q110">
        <v>1</v>
      </c>
      <c r="R110">
        <v>0.24</v>
      </c>
    </row>
    <row r="111" spans="1:18" x14ac:dyDescent="0.25">
      <c r="A111">
        <v>109</v>
      </c>
      <c r="B111">
        <v>110</v>
      </c>
      <c r="C111">
        <v>0.2424</v>
      </c>
      <c r="D111">
        <v>0.38</v>
      </c>
      <c r="E111">
        <v>0.1343</v>
      </c>
      <c r="F111">
        <v>3</v>
      </c>
      <c r="G111">
        <v>166</v>
      </c>
      <c r="H111">
        <v>169</v>
      </c>
      <c r="I111">
        <v>110</v>
      </c>
      <c r="J111" s="1">
        <v>40548</v>
      </c>
      <c r="K111">
        <v>1</v>
      </c>
      <c r="L111">
        <v>0</v>
      </c>
      <c r="M111">
        <v>1</v>
      </c>
      <c r="N111">
        <v>18</v>
      </c>
      <c r="O111" t="b">
        <v>0</v>
      </c>
      <c r="P111">
        <v>3</v>
      </c>
      <c r="Q111">
        <v>1</v>
      </c>
      <c r="R111">
        <v>0.24</v>
      </c>
    </row>
    <row r="112" spans="1:18" x14ac:dyDescent="0.25">
      <c r="A112">
        <v>110</v>
      </c>
      <c r="B112">
        <v>111</v>
      </c>
      <c r="C112">
        <v>0.2576</v>
      </c>
      <c r="D112">
        <v>0.38</v>
      </c>
      <c r="E112">
        <v>0.1045</v>
      </c>
      <c r="F112">
        <v>5</v>
      </c>
      <c r="G112">
        <v>127</v>
      </c>
      <c r="H112">
        <v>132</v>
      </c>
      <c r="I112">
        <v>111</v>
      </c>
      <c r="J112" s="1">
        <v>40548</v>
      </c>
      <c r="K112">
        <v>1</v>
      </c>
      <c r="L112">
        <v>0</v>
      </c>
      <c r="M112">
        <v>1</v>
      </c>
      <c r="N112">
        <v>19</v>
      </c>
      <c r="O112" t="b">
        <v>0</v>
      </c>
      <c r="P112">
        <v>3</v>
      </c>
      <c r="Q112">
        <v>1</v>
      </c>
      <c r="R112">
        <v>0.24</v>
      </c>
    </row>
    <row r="113" spans="1:18" x14ac:dyDescent="0.25">
      <c r="A113">
        <v>111</v>
      </c>
      <c r="B113">
        <v>112</v>
      </c>
      <c r="C113">
        <v>0.2273</v>
      </c>
      <c r="D113">
        <v>0.47</v>
      </c>
      <c r="E113">
        <v>0.16420000000000001</v>
      </c>
      <c r="F113">
        <v>7</v>
      </c>
      <c r="G113">
        <v>82</v>
      </c>
      <c r="H113">
        <v>89</v>
      </c>
      <c r="I113">
        <v>112</v>
      </c>
      <c r="J113" s="1">
        <v>40548</v>
      </c>
      <c r="K113">
        <v>1</v>
      </c>
      <c r="L113">
        <v>0</v>
      </c>
      <c r="M113">
        <v>1</v>
      </c>
      <c r="N113">
        <v>20</v>
      </c>
      <c r="O113" t="b">
        <v>0</v>
      </c>
      <c r="P113">
        <v>3</v>
      </c>
      <c r="Q113">
        <v>1</v>
      </c>
      <c r="R113">
        <v>0.22</v>
      </c>
    </row>
    <row r="114" spans="1:18" x14ac:dyDescent="0.25">
      <c r="A114">
        <v>112</v>
      </c>
      <c r="B114">
        <v>113</v>
      </c>
      <c r="C114">
        <v>0.19700000000000001</v>
      </c>
      <c r="D114">
        <v>0.51</v>
      </c>
      <c r="E114">
        <v>0.19400000000000001</v>
      </c>
      <c r="F114">
        <v>3</v>
      </c>
      <c r="G114">
        <v>40</v>
      </c>
      <c r="H114">
        <v>43</v>
      </c>
      <c r="I114">
        <v>113</v>
      </c>
      <c r="J114" s="1">
        <v>40548</v>
      </c>
      <c r="K114">
        <v>1</v>
      </c>
      <c r="L114">
        <v>0</v>
      </c>
      <c r="M114">
        <v>1</v>
      </c>
      <c r="N114">
        <v>21</v>
      </c>
      <c r="O114" t="b">
        <v>0</v>
      </c>
      <c r="P114">
        <v>3</v>
      </c>
      <c r="Q114">
        <v>1</v>
      </c>
      <c r="R114">
        <v>0.2</v>
      </c>
    </row>
    <row r="115" spans="1:18" x14ac:dyDescent="0.25">
      <c r="A115">
        <v>113</v>
      </c>
      <c r="B115">
        <v>114</v>
      </c>
      <c r="C115">
        <v>0.19700000000000001</v>
      </c>
      <c r="D115">
        <v>0.55000000000000004</v>
      </c>
      <c r="E115">
        <v>0.1343</v>
      </c>
      <c r="F115">
        <v>1</v>
      </c>
      <c r="G115">
        <v>41</v>
      </c>
      <c r="H115">
        <v>42</v>
      </c>
      <c r="I115">
        <v>114</v>
      </c>
      <c r="J115" s="1">
        <v>40548</v>
      </c>
      <c r="K115">
        <v>1</v>
      </c>
      <c r="L115">
        <v>0</v>
      </c>
      <c r="M115">
        <v>1</v>
      </c>
      <c r="N115">
        <v>22</v>
      </c>
      <c r="O115" t="b">
        <v>0</v>
      </c>
      <c r="P115">
        <v>3</v>
      </c>
      <c r="Q115">
        <v>1</v>
      </c>
      <c r="R115">
        <v>0.18</v>
      </c>
    </row>
    <row r="116" spans="1:18" x14ac:dyDescent="0.25">
      <c r="A116">
        <v>114</v>
      </c>
      <c r="B116">
        <v>115</v>
      </c>
      <c r="C116">
        <v>0.2576</v>
      </c>
      <c r="D116">
        <v>0.47</v>
      </c>
      <c r="E116">
        <v>0</v>
      </c>
      <c r="F116">
        <v>1</v>
      </c>
      <c r="G116">
        <v>18</v>
      </c>
      <c r="H116">
        <v>19</v>
      </c>
      <c r="I116">
        <v>115</v>
      </c>
      <c r="J116" s="1">
        <v>40548</v>
      </c>
      <c r="K116">
        <v>1</v>
      </c>
      <c r="L116">
        <v>0</v>
      </c>
      <c r="M116">
        <v>1</v>
      </c>
      <c r="N116">
        <v>23</v>
      </c>
      <c r="O116" t="b">
        <v>0</v>
      </c>
      <c r="P116">
        <v>3</v>
      </c>
      <c r="Q116">
        <v>1</v>
      </c>
      <c r="R116">
        <v>0.2</v>
      </c>
    </row>
    <row r="117" spans="1:18" x14ac:dyDescent="0.25">
      <c r="A117">
        <v>115</v>
      </c>
      <c r="B117">
        <v>116</v>
      </c>
      <c r="C117">
        <v>0.2424</v>
      </c>
      <c r="D117">
        <v>0.55000000000000004</v>
      </c>
      <c r="E117">
        <v>0</v>
      </c>
      <c r="F117">
        <v>0</v>
      </c>
      <c r="G117">
        <v>11</v>
      </c>
      <c r="H117">
        <v>11</v>
      </c>
      <c r="I117">
        <v>116</v>
      </c>
      <c r="J117" s="1">
        <v>40549</v>
      </c>
      <c r="K117">
        <v>1</v>
      </c>
      <c r="L117">
        <v>0</v>
      </c>
      <c r="M117">
        <v>1</v>
      </c>
      <c r="N117">
        <v>0</v>
      </c>
      <c r="O117" t="b">
        <v>0</v>
      </c>
      <c r="P117">
        <v>4</v>
      </c>
      <c r="Q117">
        <v>1</v>
      </c>
      <c r="R117">
        <v>0.18</v>
      </c>
    </row>
    <row r="118" spans="1:18" x14ac:dyDescent="0.25">
      <c r="A118">
        <v>116</v>
      </c>
      <c r="B118">
        <v>117</v>
      </c>
      <c r="C118">
        <v>0.2273</v>
      </c>
      <c r="D118">
        <v>0.64</v>
      </c>
      <c r="E118">
        <v>0</v>
      </c>
      <c r="F118">
        <v>0</v>
      </c>
      <c r="G118">
        <v>4</v>
      </c>
      <c r="H118">
        <v>4</v>
      </c>
      <c r="I118">
        <v>117</v>
      </c>
      <c r="J118" s="1">
        <v>40549</v>
      </c>
      <c r="K118">
        <v>1</v>
      </c>
      <c r="L118">
        <v>0</v>
      </c>
      <c r="M118">
        <v>1</v>
      </c>
      <c r="N118">
        <v>1</v>
      </c>
      <c r="O118" t="b">
        <v>0</v>
      </c>
      <c r="P118">
        <v>4</v>
      </c>
      <c r="Q118">
        <v>1</v>
      </c>
      <c r="R118">
        <v>0.16</v>
      </c>
    </row>
    <row r="119" spans="1:18" x14ac:dyDescent="0.25">
      <c r="A119">
        <v>117</v>
      </c>
      <c r="B119">
        <v>118</v>
      </c>
      <c r="C119">
        <v>0.2273</v>
      </c>
      <c r="D119">
        <v>0.64</v>
      </c>
      <c r="E119">
        <v>0</v>
      </c>
      <c r="F119">
        <v>0</v>
      </c>
      <c r="G119">
        <v>2</v>
      </c>
      <c r="H119">
        <v>2</v>
      </c>
      <c r="I119">
        <v>118</v>
      </c>
      <c r="J119" s="1">
        <v>40549</v>
      </c>
      <c r="K119">
        <v>1</v>
      </c>
      <c r="L119">
        <v>0</v>
      </c>
      <c r="M119">
        <v>1</v>
      </c>
      <c r="N119">
        <v>2</v>
      </c>
      <c r="O119" t="b">
        <v>0</v>
      </c>
      <c r="P119">
        <v>4</v>
      </c>
      <c r="Q119">
        <v>1</v>
      </c>
      <c r="R119">
        <v>0.16</v>
      </c>
    </row>
    <row r="120" spans="1:18" x14ac:dyDescent="0.25">
      <c r="A120">
        <v>118</v>
      </c>
      <c r="B120">
        <v>119</v>
      </c>
      <c r="C120">
        <v>0.19700000000000001</v>
      </c>
      <c r="D120">
        <v>0.64</v>
      </c>
      <c r="E120">
        <v>8.9599999999999999E-2</v>
      </c>
      <c r="F120">
        <v>0</v>
      </c>
      <c r="G120">
        <v>1</v>
      </c>
      <c r="H120">
        <v>1</v>
      </c>
      <c r="I120">
        <v>119</v>
      </c>
      <c r="J120" s="1">
        <v>40549</v>
      </c>
      <c r="K120">
        <v>1</v>
      </c>
      <c r="L120">
        <v>0</v>
      </c>
      <c r="M120">
        <v>1</v>
      </c>
      <c r="N120">
        <v>4</v>
      </c>
      <c r="O120" t="b">
        <v>0</v>
      </c>
      <c r="P120">
        <v>4</v>
      </c>
      <c r="Q120">
        <v>2</v>
      </c>
      <c r="R120">
        <v>0.16</v>
      </c>
    </row>
    <row r="121" spans="1:18" x14ac:dyDescent="0.25">
      <c r="A121">
        <v>119</v>
      </c>
      <c r="B121">
        <v>120</v>
      </c>
      <c r="C121">
        <v>0.18179999999999999</v>
      </c>
      <c r="D121">
        <v>0.69</v>
      </c>
      <c r="E121">
        <v>8.9599999999999999E-2</v>
      </c>
      <c r="F121">
        <v>0</v>
      </c>
      <c r="G121">
        <v>4</v>
      </c>
      <c r="H121">
        <v>4</v>
      </c>
      <c r="I121">
        <v>120</v>
      </c>
      <c r="J121" s="1">
        <v>40549</v>
      </c>
      <c r="K121">
        <v>1</v>
      </c>
      <c r="L121">
        <v>0</v>
      </c>
      <c r="M121">
        <v>1</v>
      </c>
      <c r="N121">
        <v>5</v>
      </c>
      <c r="O121" t="b">
        <v>0</v>
      </c>
      <c r="P121">
        <v>4</v>
      </c>
      <c r="Q121">
        <v>2</v>
      </c>
      <c r="R121">
        <v>0.14000000000000001</v>
      </c>
    </row>
    <row r="122" spans="1:18" x14ac:dyDescent="0.25">
      <c r="A122">
        <v>120</v>
      </c>
      <c r="B122">
        <v>121</v>
      </c>
      <c r="C122">
        <v>0.16669999999999999</v>
      </c>
      <c r="D122">
        <v>0.63</v>
      </c>
      <c r="E122">
        <v>0.1045</v>
      </c>
      <c r="F122">
        <v>0</v>
      </c>
      <c r="G122">
        <v>36</v>
      </c>
      <c r="H122">
        <v>36</v>
      </c>
      <c r="I122">
        <v>121</v>
      </c>
      <c r="J122" s="1">
        <v>40549</v>
      </c>
      <c r="K122">
        <v>1</v>
      </c>
      <c r="L122">
        <v>0</v>
      </c>
      <c r="M122">
        <v>1</v>
      </c>
      <c r="N122">
        <v>6</v>
      </c>
      <c r="O122" t="b">
        <v>0</v>
      </c>
      <c r="P122">
        <v>4</v>
      </c>
      <c r="Q122">
        <v>2</v>
      </c>
      <c r="R122">
        <v>0.14000000000000001</v>
      </c>
    </row>
    <row r="123" spans="1:18" x14ac:dyDescent="0.25">
      <c r="A123">
        <v>121</v>
      </c>
      <c r="B123">
        <v>122</v>
      </c>
      <c r="C123">
        <v>0.2273</v>
      </c>
      <c r="D123">
        <v>0.59</v>
      </c>
      <c r="E123">
        <v>0</v>
      </c>
      <c r="F123">
        <v>0</v>
      </c>
      <c r="G123">
        <v>95</v>
      </c>
      <c r="H123">
        <v>95</v>
      </c>
      <c r="I123">
        <v>122</v>
      </c>
      <c r="J123" s="1">
        <v>40549</v>
      </c>
      <c r="K123">
        <v>1</v>
      </c>
      <c r="L123">
        <v>0</v>
      </c>
      <c r="M123">
        <v>1</v>
      </c>
      <c r="N123">
        <v>7</v>
      </c>
      <c r="O123" t="b">
        <v>0</v>
      </c>
      <c r="P123">
        <v>4</v>
      </c>
      <c r="Q123">
        <v>2</v>
      </c>
      <c r="R123">
        <v>0.16</v>
      </c>
    </row>
    <row r="124" spans="1:18" x14ac:dyDescent="0.25">
      <c r="A124">
        <v>122</v>
      </c>
      <c r="B124">
        <v>123</v>
      </c>
      <c r="C124">
        <v>0.2273</v>
      </c>
      <c r="D124">
        <v>0.59</v>
      </c>
      <c r="E124">
        <v>0</v>
      </c>
      <c r="F124">
        <v>3</v>
      </c>
      <c r="G124">
        <v>216</v>
      </c>
      <c r="H124">
        <v>219</v>
      </c>
      <c r="I124">
        <v>123</v>
      </c>
      <c r="J124" s="1">
        <v>40549</v>
      </c>
      <c r="K124">
        <v>1</v>
      </c>
      <c r="L124">
        <v>0</v>
      </c>
      <c r="M124">
        <v>1</v>
      </c>
      <c r="N124">
        <v>8</v>
      </c>
      <c r="O124" t="b">
        <v>0</v>
      </c>
      <c r="P124">
        <v>4</v>
      </c>
      <c r="Q124">
        <v>1</v>
      </c>
      <c r="R124">
        <v>0.16</v>
      </c>
    </row>
    <row r="125" spans="1:18" x14ac:dyDescent="0.25">
      <c r="A125">
        <v>123</v>
      </c>
      <c r="B125">
        <v>124</v>
      </c>
      <c r="C125">
        <v>0.2424</v>
      </c>
      <c r="D125">
        <v>0.51</v>
      </c>
      <c r="E125">
        <v>0</v>
      </c>
      <c r="F125">
        <v>6</v>
      </c>
      <c r="G125">
        <v>116</v>
      </c>
      <c r="H125">
        <v>122</v>
      </c>
      <c r="I125">
        <v>124</v>
      </c>
      <c r="J125" s="1">
        <v>40549</v>
      </c>
      <c r="K125">
        <v>1</v>
      </c>
      <c r="L125">
        <v>0</v>
      </c>
      <c r="M125">
        <v>1</v>
      </c>
      <c r="N125">
        <v>9</v>
      </c>
      <c r="O125" t="b">
        <v>0</v>
      </c>
      <c r="P125">
        <v>4</v>
      </c>
      <c r="Q125">
        <v>2</v>
      </c>
      <c r="R125">
        <v>0.18</v>
      </c>
    </row>
    <row r="126" spans="1:18" x14ac:dyDescent="0.25">
      <c r="A126">
        <v>124</v>
      </c>
      <c r="B126">
        <v>125</v>
      </c>
      <c r="C126">
        <v>0.2576</v>
      </c>
      <c r="D126">
        <v>0.47</v>
      </c>
      <c r="E126">
        <v>0</v>
      </c>
      <c r="F126">
        <v>3</v>
      </c>
      <c r="G126">
        <v>42</v>
      </c>
      <c r="H126">
        <v>45</v>
      </c>
      <c r="I126">
        <v>125</v>
      </c>
      <c r="J126" s="1">
        <v>40549</v>
      </c>
      <c r="K126">
        <v>1</v>
      </c>
      <c r="L126">
        <v>0</v>
      </c>
      <c r="M126">
        <v>1</v>
      </c>
      <c r="N126">
        <v>10</v>
      </c>
      <c r="O126" t="b">
        <v>0</v>
      </c>
      <c r="P126">
        <v>4</v>
      </c>
      <c r="Q126">
        <v>1</v>
      </c>
      <c r="R126">
        <v>0.2</v>
      </c>
    </row>
    <row r="127" spans="1:18" x14ac:dyDescent="0.25">
      <c r="A127">
        <v>125</v>
      </c>
      <c r="B127">
        <v>126</v>
      </c>
      <c r="C127">
        <v>0.2576</v>
      </c>
      <c r="D127">
        <v>0.44</v>
      </c>
      <c r="E127">
        <v>8.9599999999999999E-2</v>
      </c>
      <c r="F127">
        <v>2</v>
      </c>
      <c r="G127">
        <v>57</v>
      </c>
      <c r="H127">
        <v>59</v>
      </c>
      <c r="I127">
        <v>126</v>
      </c>
      <c r="J127" s="1">
        <v>40549</v>
      </c>
      <c r="K127">
        <v>1</v>
      </c>
      <c r="L127">
        <v>0</v>
      </c>
      <c r="M127">
        <v>1</v>
      </c>
      <c r="N127">
        <v>11</v>
      </c>
      <c r="O127" t="b">
        <v>0</v>
      </c>
      <c r="P127">
        <v>4</v>
      </c>
      <c r="Q127">
        <v>1</v>
      </c>
      <c r="R127">
        <v>0.22</v>
      </c>
    </row>
    <row r="128" spans="1:18" x14ac:dyDescent="0.25">
      <c r="A128">
        <v>126</v>
      </c>
      <c r="B128">
        <v>127</v>
      </c>
      <c r="C128">
        <v>0.28789999999999999</v>
      </c>
      <c r="D128">
        <v>0.35</v>
      </c>
      <c r="E128">
        <v>0</v>
      </c>
      <c r="F128">
        <v>6</v>
      </c>
      <c r="G128">
        <v>78</v>
      </c>
      <c r="H128">
        <v>84</v>
      </c>
      <c r="I128">
        <v>127</v>
      </c>
      <c r="J128" s="1">
        <v>40549</v>
      </c>
      <c r="K128">
        <v>1</v>
      </c>
      <c r="L128">
        <v>0</v>
      </c>
      <c r="M128">
        <v>1</v>
      </c>
      <c r="N128">
        <v>12</v>
      </c>
      <c r="O128" t="b">
        <v>0</v>
      </c>
      <c r="P128">
        <v>4</v>
      </c>
      <c r="Q128">
        <v>1</v>
      </c>
      <c r="R128">
        <v>0.26</v>
      </c>
    </row>
    <row r="129" spans="1:18" x14ac:dyDescent="0.25">
      <c r="A129">
        <v>127</v>
      </c>
      <c r="B129">
        <v>128</v>
      </c>
      <c r="C129">
        <v>0.2727</v>
      </c>
      <c r="D129">
        <v>0.35</v>
      </c>
      <c r="E129">
        <v>0.1045</v>
      </c>
      <c r="F129">
        <v>12</v>
      </c>
      <c r="G129">
        <v>55</v>
      </c>
      <c r="H129">
        <v>67</v>
      </c>
      <c r="I129">
        <v>128</v>
      </c>
      <c r="J129" s="1">
        <v>40549</v>
      </c>
      <c r="K129">
        <v>1</v>
      </c>
      <c r="L129">
        <v>0</v>
      </c>
      <c r="M129">
        <v>1</v>
      </c>
      <c r="N129">
        <v>13</v>
      </c>
      <c r="O129" t="b">
        <v>0</v>
      </c>
      <c r="P129">
        <v>4</v>
      </c>
      <c r="Q129">
        <v>1</v>
      </c>
      <c r="R129">
        <v>0.26</v>
      </c>
    </row>
    <row r="130" spans="1:18" x14ac:dyDescent="0.25">
      <c r="A130">
        <v>128</v>
      </c>
      <c r="B130">
        <v>129</v>
      </c>
      <c r="C130">
        <v>0.2727</v>
      </c>
      <c r="D130">
        <v>0.36</v>
      </c>
      <c r="E130">
        <v>0.16420000000000001</v>
      </c>
      <c r="F130">
        <v>11</v>
      </c>
      <c r="G130">
        <v>59</v>
      </c>
      <c r="H130">
        <v>70</v>
      </c>
      <c r="I130">
        <v>129</v>
      </c>
      <c r="J130" s="1">
        <v>40549</v>
      </c>
      <c r="K130">
        <v>1</v>
      </c>
      <c r="L130">
        <v>0</v>
      </c>
      <c r="M130">
        <v>1</v>
      </c>
      <c r="N130">
        <v>14</v>
      </c>
      <c r="O130" t="b">
        <v>0</v>
      </c>
      <c r="P130">
        <v>4</v>
      </c>
      <c r="Q130">
        <v>1</v>
      </c>
      <c r="R130">
        <v>0.28000000000000003</v>
      </c>
    </row>
    <row r="131" spans="1:18" x14ac:dyDescent="0.25">
      <c r="A131">
        <v>129</v>
      </c>
      <c r="B131">
        <v>130</v>
      </c>
      <c r="C131">
        <v>0.2727</v>
      </c>
      <c r="D131">
        <v>0.36</v>
      </c>
      <c r="E131">
        <v>0</v>
      </c>
      <c r="F131">
        <v>8</v>
      </c>
      <c r="G131">
        <v>54</v>
      </c>
      <c r="H131">
        <v>62</v>
      </c>
      <c r="I131">
        <v>130</v>
      </c>
      <c r="J131" s="1">
        <v>40549</v>
      </c>
      <c r="K131">
        <v>1</v>
      </c>
      <c r="L131">
        <v>0</v>
      </c>
      <c r="M131">
        <v>1</v>
      </c>
      <c r="N131">
        <v>15</v>
      </c>
      <c r="O131" t="b">
        <v>0</v>
      </c>
      <c r="P131">
        <v>4</v>
      </c>
      <c r="Q131">
        <v>1</v>
      </c>
      <c r="R131">
        <v>0.28000000000000003</v>
      </c>
    </row>
    <row r="132" spans="1:18" x14ac:dyDescent="0.25">
      <c r="A132">
        <v>130</v>
      </c>
      <c r="B132">
        <v>131</v>
      </c>
      <c r="C132">
        <v>0.2576</v>
      </c>
      <c r="D132">
        <v>0.38</v>
      </c>
      <c r="E132">
        <v>0.16420000000000001</v>
      </c>
      <c r="F132">
        <v>12</v>
      </c>
      <c r="G132">
        <v>74</v>
      </c>
      <c r="H132">
        <v>86</v>
      </c>
      <c r="I132">
        <v>131</v>
      </c>
      <c r="J132" s="1">
        <v>40549</v>
      </c>
      <c r="K132">
        <v>1</v>
      </c>
      <c r="L132">
        <v>0</v>
      </c>
      <c r="M132">
        <v>1</v>
      </c>
      <c r="N132">
        <v>16</v>
      </c>
      <c r="O132" t="b">
        <v>0</v>
      </c>
      <c r="P132">
        <v>4</v>
      </c>
      <c r="Q132">
        <v>1</v>
      </c>
      <c r="R132">
        <v>0.26</v>
      </c>
    </row>
    <row r="133" spans="1:18" x14ac:dyDescent="0.25">
      <c r="A133">
        <v>131</v>
      </c>
      <c r="B133">
        <v>132</v>
      </c>
      <c r="C133">
        <v>0.2273</v>
      </c>
      <c r="D133">
        <v>0.51</v>
      </c>
      <c r="E133">
        <v>0.16420000000000001</v>
      </c>
      <c r="F133">
        <v>9</v>
      </c>
      <c r="G133">
        <v>163</v>
      </c>
      <c r="H133">
        <v>172</v>
      </c>
      <c r="I133">
        <v>132</v>
      </c>
      <c r="J133" s="1">
        <v>40549</v>
      </c>
      <c r="K133">
        <v>1</v>
      </c>
      <c r="L133">
        <v>0</v>
      </c>
      <c r="M133">
        <v>1</v>
      </c>
      <c r="N133">
        <v>17</v>
      </c>
      <c r="O133" t="b">
        <v>0</v>
      </c>
      <c r="P133">
        <v>4</v>
      </c>
      <c r="Q133">
        <v>1</v>
      </c>
      <c r="R133">
        <v>0.22</v>
      </c>
    </row>
    <row r="134" spans="1:18" x14ac:dyDescent="0.25">
      <c r="A134">
        <v>132</v>
      </c>
      <c r="B134">
        <v>133</v>
      </c>
      <c r="C134">
        <v>0.2273</v>
      </c>
      <c r="D134">
        <v>0.51</v>
      </c>
      <c r="E134">
        <v>0.1343</v>
      </c>
      <c r="F134">
        <v>5</v>
      </c>
      <c r="G134">
        <v>158</v>
      </c>
      <c r="H134">
        <v>163</v>
      </c>
      <c r="I134">
        <v>133</v>
      </c>
      <c r="J134" s="1">
        <v>40549</v>
      </c>
      <c r="K134">
        <v>1</v>
      </c>
      <c r="L134">
        <v>0</v>
      </c>
      <c r="M134">
        <v>1</v>
      </c>
      <c r="N134">
        <v>18</v>
      </c>
      <c r="O134" t="b">
        <v>0</v>
      </c>
      <c r="P134">
        <v>4</v>
      </c>
      <c r="Q134">
        <v>1</v>
      </c>
      <c r="R134">
        <v>0.22</v>
      </c>
    </row>
    <row r="135" spans="1:18" x14ac:dyDescent="0.25">
      <c r="A135">
        <v>133</v>
      </c>
      <c r="B135">
        <v>134</v>
      </c>
      <c r="C135">
        <v>0.2576</v>
      </c>
      <c r="D135">
        <v>0.55000000000000004</v>
      </c>
      <c r="E135">
        <v>8.9599999999999999E-2</v>
      </c>
      <c r="F135">
        <v>3</v>
      </c>
      <c r="G135">
        <v>109</v>
      </c>
      <c r="H135">
        <v>112</v>
      </c>
      <c r="I135">
        <v>134</v>
      </c>
      <c r="J135" s="1">
        <v>40549</v>
      </c>
      <c r="K135">
        <v>1</v>
      </c>
      <c r="L135">
        <v>0</v>
      </c>
      <c r="M135">
        <v>1</v>
      </c>
      <c r="N135">
        <v>19</v>
      </c>
      <c r="O135" t="b">
        <v>0</v>
      </c>
      <c r="P135">
        <v>4</v>
      </c>
      <c r="Q135">
        <v>1</v>
      </c>
      <c r="R135">
        <v>0.22</v>
      </c>
    </row>
    <row r="136" spans="1:18" x14ac:dyDescent="0.25">
      <c r="A136">
        <v>134</v>
      </c>
      <c r="B136">
        <v>135</v>
      </c>
      <c r="C136">
        <v>0.21210000000000001</v>
      </c>
      <c r="D136">
        <v>0.51</v>
      </c>
      <c r="E136">
        <v>0.16420000000000001</v>
      </c>
      <c r="F136">
        <v>3</v>
      </c>
      <c r="G136">
        <v>66</v>
      </c>
      <c r="H136">
        <v>69</v>
      </c>
      <c r="I136">
        <v>135</v>
      </c>
      <c r="J136" s="1">
        <v>40549</v>
      </c>
      <c r="K136">
        <v>1</v>
      </c>
      <c r="L136">
        <v>0</v>
      </c>
      <c r="M136">
        <v>1</v>
      </c>
      <c r="N136">
        <v>20</v>
      </c>
      <c r="O136" t="b">
        <v>0</v>
      </c>
      <c r="P136">
        <v>4</v>
      </c>
      <c r="Q136">
        <v>1</v>
      </c>
      <c r="R136">
        <v>0.2</v>
      </c>
    </row>
    <row r="137" spans="1:18" x14ac:dyDescent="0.25">
      <c r="A137">
        <v>135</v>
      </c>
      <c r="B137">
        <v>136</v>
      </c>
      <c r="C137">
        <v>0.21210000000000001</v>
      </c>
      <c r="D137">
        <v>0.55000000000000004</v>
      </c>
      <c r="E137">
        <v>0.22389999999999999</v>
      </c>
      <c r="F137">
        <v>0</v>
      </c>
      <c r="G137">
        <v>48</v>
      </c>
      <c r="H137">
        <v>48</v>
      </c>
      <c r="I137">
        <v>136</v>
      </c>
      <c r="J137" s="1">
        <v>40549</v>
      </c>
      <c r="K137">
        <v>1</v>
      </c>
      <c r="L137">
        <v>0</v>
      </c>
      <c r="M137">
        <v>1</v>
      </c>
      <c r="N137">
        <v>21</v>
      </c>
      <c r="O137" t="b">
        <v>0</v>
      </c>
      <c r="P137">
        <v>4</v>
      </c>
      <c r="Q137">
        <v>2</v>
      </c>
      <c r="R137">
        <v>0.22</v>
      </c>
    </row>
    <row r="138" spans="1:18" x14ac:dyDescent="0.25">
      <c r="A138">
        <v>136</v>
      </c>
      <c r="B138">
        <v>137</v>
      </c>
      <c r="C138">
        <v>0.21210000000000001</v>
      </c>
      <c r="D138">
        <v>0.51</v>
      </c>
      <c r="E138">
        <v>0.28360000000000002</v>
      </c>
      <c r="F138">
        <v>1</v>
      </c>
      <c r="G138">
        <v>51</v>
      </c>
      <c r="H138">
        <v>52</v>
      </c>
      <c r="I138">
        <v>137</v>
      </c>
      <c r="J138" s="1">
        <v>40549</v>
      </c>
      <c r="K138">
        <v>1</v>
      </c>
      <c r="L138">
        <v>0</v>
      </c>
      <c r="M138">
        <v>1</v>
      </c>
      <c r="N138">
        <v>22</v>
      </c>
      <c r="O138" t="b">
        <v>0</v>
      </c>
      <c r="P138">
        <v>4</v>
      </c>
      <c r="Q138">
        <v>2</v>
      </c>
      <c r="R138">
        <v>0.22</v>
      </c>
    </row>
    <row r="139" spans="1:18" x14ac:dyDescent="0.25">
      <c r="A139">
        <v>137</v>
      </c>
      <c r="B139">
        <v>138</v>
      </c>
      <c r="C139">
        <v>0.19700000000000001</v>
      </c>
      <c r="D139">
        <v>0.59</v>
      </c>
      <c r="E139">
        <v>0.19400000000000001</v>
      </c>
      <c r="F139">
        <v>4</v>
      </c>
      <c r="G139">
        <v>19</v>
      </c>
      <c r="H139">
        <v>23</v>
      </c>
      <c r="I139">
        <v>138</v>
      </c>
      <c r="J139" s="1">
        <v>40549</v>
      </c>
      <c r="K139">
        <v>1</v>
      </c>
      <c r="L139">
        <v>0</v>
      </c>
      <c r="M139">
        <v>1</v>
      </c>
      <c r="N139">
        <v>23</v>
      </c>
      <c r="O139" t="b">
        <v>0</v>
      </c>
      <c r="P139">
        <v>4</v>
      </c>
      <c r="Q139">
        <v>2</v>
      </c>
      <c r="R139">
        <v>0.2</v>
      </c>
    </row>
    <row r="140" spans="1:18" x14ac:dyDescent="0.25">
      <c r="A140">
        <v>138</v>
      </c>
      <c r="B140">
        <v>139</v>
      </c>
      <c r="C140">
        <v>0.19700000000000001</v>
      </c>
      <c r="D140">
        <v>0.64</v>
      </c>
      <c r="E140">
        <v>0.19400000000000001</v>
      </c>
      <c r="F140">
        <v>4</v>
      </c>
      <c r="G140">
        <v>13</v>
      </c>
      <c r="H140">
        <v>17</v>
      </c>
      <c r="I140">
        <v>139</v>
      </c>
      <c r="J140" s="1">
        <v>40550</v>
      </c>
      <c r="K140">
        <v>1</v>
      </c>
      <c r="L140">
        <v>0</v>
      </c>
      <c r="M140">
        <v>1</v>
      </c>
      <c r="N140">
        <v>0</v>
      </c>
      <c r="O140" t="b">
        <v>0</v>
      </c>
      <c r="P140">
        <v>5</v>
      </c>
      <c r="Q140">
        <v>2</v>
      </c>
      <c r="R140">
        <v>0.2</v>
      </c>
    </row>
    <row r="141" spans="1:18" x14ac:dyDescent="0.25">
      <c r="A141">
        <v>139</v>
      </c>
      <c r="B141">
        <v>140</v>
      </c>
      <c r="C141">
        <v>0.19700000000000001</v>
      </c>
      <c r="D141">
        <v>0.69</v>
      </c>
      <c r="E141">
        <v>0.22389999999999999</v>
      </c>
      <c r="F141">
        <v>2</v>
      </c>
      <c r="G141">
        <v>5</v>
      </c>
      <c r="H141">
        <v>7</v>
      </c>
      <c r="I141">
        <v>140</v>
      </c>
      <c r="J141" s="1">
        <v>40550</v>
      </c>
      <c r="K141">
        <v>1</v>
      </c>
      <c r="L141">
        <v>0</v>
      </c>
      <c r="M141">
        <v>1</v>
      </c>
      <c r="N141">
        <v>1</v>
      </c>
      <c r="O141" t="b">
        <v>0</v>
      </c>
      <c r="P141">
        <v>5</v>
      </c>
      <c r="Q141">
        <v>2</v>
      </c>
      <c r="R141">
        <v>0.2</v>
      </c>
    </row>
    <row r="142" spans="1:18" x14ac:dyDescent="0.25">
      <c r="A142">
        <v>140</v>
      </c>
      <c r="B142">
        <v>141</v>
      </c>
      <c r="C142">
        <v>0.19700000000000001</v>
      </c>
      <c r="D142">
        <v>0.69</v>
      </c>
      <c r="E142">
        <v>0.22389999999999999</v>
      </c>
      <c r="F142">
        <v>0</v>
      </c>
      <c r="G142">
        <v>1</v>
      </c>
      <c r="H142">
        <v>1</v>
      </c>
      <c r="I142">
        <v>141</v>
      </c>
      <c r="J142" s="1">
        <v>40550</v>
      </c>
      <c r="K142">
        <v>1</v>
      </c>
      <c r="L142">
        <v>0</v>
      </c>
      <c r="M142">
        <v>1</v>
      </c>
      <c r="N142">
        <v>2</v>
      </c>
      <c r="O142" t="b">
        <v>0</v>
      </c>
      <c r="P142">
        <v>5</v>
      </c>
      <c r="Q142">
        <v>2</v>
      </c>
      <c r="R142">
        <v>0.2</v>
      </c>
    </row>
    <row r="143" spans="1:18" x14ac:dyDescent="0.25">
      <c r="A143">
        <v>141</v>
      </c>
      <c r="B143">
        <v>142</v>
      </c>
      <c r="C143">
        <v>0.21210000000000001</v>
      </c>
      <c r="D143">
        <v>0.69</v>
      </c>
      <c r="E143">
        <v>0.1343</v>
      </c>
      <c r="F143">
        <v>0</v>
      </c>
      <c r="G143">
        <v>1</v>
      </c>
      <c r="H143">
        <v>1</v>
      </c>
      <c r="I143">
        <v>142</v>
      </c>
      <c r="J143" s="1">
        <v>40550</v>
      </c>
      <c r="K143">
        <v>1</v>
      </c>
      <c r="L143">
        <v>0</v>
      </c>
      <c r="M143">
        <v>1</v>
      </c>
      <c r="N143">
        <v>4</v>
      </c>
      <c r="O143" t="b">
        <v>0</v>
      </c>
      <c r="P143">
        <v>5</v>
      </c>
      <c r="Q143">
        <v>2</v>
      </c>
      <c r="R143">
        <v>0.2</v>
      </c>
    </row>
    <row r="144" spans="1:18" x14ac:dyDescent="0.25">
      <c r="A144">
        <v>142</v>
      </c>
      <c r="B144">
        <v>143</v>
      </c>
      <c r="C144">
        <v>0.2727</v>
      </c>
      <c r="D144">
        <v>0.55000000000000004</v>
      </c>
      <c r="E144">
        <v>0</v>
      </c>
      <c r="F144">
        <v>0</v>
      </c>
      <c r="G144">
        <v>5</v>
      </c>
      <c r="H144">
        <v>5</v>
      </c>
      <c r="I144">
        <v>143</v>
      </c>
      <c r="J144" s="1">
        <v>40550</v>
      </c>
      <c r="K144">
        <v>1</v>
      </c>
      <c r="L144">
        <v>0</v>
      </c>
      <c r="M144">
        <v>1</v>
      </c>
      <c r="N144">
        <v>5</v>
      </c>
      <c r="O144" t="b">
        <v>0</v>
      </c>
      <c r="P144">
        <v>5</v>
      </c>
      <c r="Q144">
        <v>3</v>
      </c>
      <c r="R144">
        <v>0.22</v>
      </c>
    </row>
    <row r="145" spans="1:18" x14ac:dyDescent="0.25">
      <c r="A145">
        <v>143</v>
      </c>
      <c r="B145">
        <v>144</v>
      </c>
      <c r="C145">
        <v>0.2576</v>
      </c>
      <c r="D145">
        <v>0.69</v>
      </c>
      <c r="E145">
        <v>0</v>
      </c>
      <c r="F145">
        <v>8</v>
      </c>
      <c r="G145">
        <v>26</v>
      </c>
      <c r="H145">
        <v>34</v>
      </c>
      <c r="I145">
        <v>144</v>
      </c>
      <c r="J145" s="1">
        <v>40550</v>
      </c>
      <c r="K145">
        <v>1</v>
      </c>
      <c r="L145">
        <v>0</v>
      </c>
      <c r="M145">
        <v>1</v>
      </c>
      <c r="N145">
        <v>6</v>
      </c>
      <c r="O145" t="b">
        <v>0</v>
      </c>
      <c r="P145">
        <v>5</v>
      </c>
      <c r="Q145">
        <v>2</v>
      </c>
      <c r="R145">
        <v>0.2</v>
      </c>
    </row>
    <row r="146" spans="1:18" x14ac:dyDescent="0.25">
      <c r="A146">
        <v>144</v>
      </c>
      <c r="B146">
        <v>145</v>
      </c>
      <c r="C146">
        <v>0.21210000000000001</v>
      </c>
      <c r="D146">
        <v>0.69</v>
      </c>
      <c r="E146">
        <v>0.1343</v>
      </c>
      <c r="F146">
        <v>8</v>
      </c>
      <c r="G146">
        <v>76</v>
      </c>
      <c r="H146">
        <v>84</v>
      </c>
      <c r="I146">
        <v>145</v>
      </c>
      <c r="J146" s="1">
        <v>40550</v>
      </c>
      <c r="K146">
        <v>1</v>
      </c>
      <c r="L146">
        <v>0</v>
      </c>
      <c r="M146">
        <v>1</v>
      </c>
      <c r="N146">
        <v>7</v>
      </c>
      <c r="O146" t="b">
        <v>0</v>
      </c>
      <c r="P146">
        <v>5</v>
      </c>
      <c r="Q146">
        <v>1</v>
      </c>
      <c r="R146">
        <v>0.2</v>
      </c>
    </row>
    <row r="147" spans="1:18" x14ac:dyDescent="0.25">
      <c r="A147">
        <v>145</v>
      </c>
      <c r="B147">
        <v>146</v>
      </c>
      <c r="C147">
        <v>0.19700000000000001</v>
      </c>
      <c r="D147">
        <v>0.51</v>
      </c>
      <c r="E147">
        <v>0.25369999999999998</v>
      </c>
      <c r="F147">
        <v>20</v>
      </c>
      <c r="G147">
        <v>190</v>
      </c>
      <c r="H147">
        <v>210</v>
      </c>
      <c r="I147">
        <v>146</v>
      </c>
      <c r="J147" s="1">
        <v>40550</v>
      </c>
      <c r="K147">
        <v>1</v>
      </c>
      <c r="L147">
        <v>0</v>
      </c>
      <c r="M147">
        <v>1</v>
      </c>
      <c r="N147">
        <v>8</v>
      </c>
      <c r="O147" t="b">
        <v>0</v>
      </c>
      <c r="P147">
        <v>5</v>
      </c>
      <c r="Q147">
        <v>1</v>
      </c>
      <c r="R147">
        <v>0.2</v>
      </c>
    </row>
    <row r="148" spans="1:18" x14ac:dyDescent="0.25">
      <c r="A148">
        <v>146</v>
      </c>
      <c r="B148">
        <v>147</v>
      </c>
      <c r="C148">
        <v>0.18179999999999999</v>
      </c>
      <c r="D148">
        <v>0.47</v>
      </c>
      <c r="E148">
        <v>0.29849999999999999</v>
      </c>
      <c r="F148">
        <v>9</v>
      </c>
      <c r="G148">
        <v>125</v>
      </c>
      <c r="H148">
        <v>134</v>
      </c>
      <c r="I148">
        <v>147</v>
      </c>
      <c r="J148" s="1">
        <v>40550</v>
      </c>
      <c r="K148">
        <v>1</v>
      </c>
      <c r="L148">
        <v>0</v>
      </c>
      <c r="M148">
        <v>1</v>
      </c>
      <c r="N148">
        <v>9</v>
      </c>
      <c r="O148" t="b">
        <v>0</v>
      </c>
      <c r="P148">
        <v>5</v>
      </c>
      <c r="Q148">
        <v>1</v>
      </c>
      <c r="R148">
        <v>0.2</v>
      </c>
    </row>
    <row r="149" spans="1:18" x14ac:dyDescent="0.25">
      <c r="A149">
        <v>147</v>
      </c>
      <c r="B149">
        <v>148</v>
      </c>
      <c r="C149">
        <v>0.19700000000000001</v>
      </c>
      <c r="D149">
        <v>0.37</v>
      </c>
      <c r="E149">
        <v>0.32840000000000003</v>
      </c>
      <c r="F149">
        <v>16</v>
      </c>
      <c r="G149">
        <v>47</v>
      </c>
      <c r="H149">
        <v>63</v>
      </c>
      <c r="I149">
        <v>148</v>
      </c>
      <c r="J149" s="1">
        <v>40550</v>
      </c>
      <c r="K149">
        <v>1</v>
      </c>
      <c r="L149">
        <v>0</v>
      </c>
      <c r="M149">
        <v>1</v>
      </c>
      <c r="N149">
        <v>10</v>
      </c>
      <c r="O149" t="b">
        <v>0</v>
      </c>
      <c r="P149">
        <v>5</v>
      </c>
      <c r="Q149">
        <v>1</v>
      </c>
      <c r="R149">
        <v>0.22</v>
      </c>
    </row>
    <row r="150" spans="1:18" x14ac:dyDescent="0.25">
      <c r="A150">
        <v>148</v>
      </c>
      <c r="B150">
        <v>149</v>
      </c>
      <c r="C150">
        <v>0.19700000000000001</v>
      </c>
      <c r="D150">
        <v>0.4</v>
      </c>
      <c r="E150">
        <v>0.22389999999999999</v>
      </c>
      <c r="F150">
        <v>19</v>
      </c>
      <c r="G150">
        <v>48</v>
      </c>
      <c r="H150">
        <v>67</v>
      </c>
      <c r="I150">
        <v>149</v>
      </c>
      <c r="J150" s="1">
        <v>40550</v>
      </c>
      <c r="K150">
        <v>1</v>
      </c>
      <c r="L150">
        <v>0</v>
      </c>
      <c r="M150">
        <v>1</v>
      </c>
      <c r="N150">
        <v>11</v>
      </c>
      <c r="O150" t="b">
        <v>0</v>
      </c>
      <c r="P150">
        <v>5</v>
      </c>
      <c r="Q150">
        <v>2</v>
      </c>
      <c r="R150">
        <v>0.2</v>
      </c>
    </row>
    <row r="151" spans="1:18" x14ac:dyDescent="0.25">
      <c r="A151">
        <v>149</v>
      </c>
      <c r="B151">
        <v>150</v>
      </c>
      <c r="C151">
        <v>0.19700000000000001</v>
      </c>
      <c r="D151">
        <v>0.37</v>
      </c>
      <c r="E151">
        <v>0.25369999999999998</v>
      </c>
      <c r="F151">
        <v>9</v>
      </c>
      <c r="G151">
        <v>50</v>
      </c>
      <c r="H151">
        <v>59</v>
      </c>
      <c r="I151">
        <v>150</v>
      </c>
      <c r="J151" s="1">
        <v>40550</v>
      </c>
      <c r="K151">
        <v>1</v>
      </c>
      <c r="L151">
        <v>0</v>
      </c>
      <c r="M151">
        <v>1</v>
      </c>
      <c r="N151">
        <v>12</v>
      </c>
      <c r="O151" t="b">
        <v>0</v>
      </c>
      <c r="P151">
        <v>5</v>
      </c>
      <c r="Q151">
        <v>2</v>
      </c>
      <c r="R151">
        <v>0.2</v>
      </c>
    </row>
    <row r="152" spans="1:18" x14ac:dyDescent="0.25">
      <c r="A152">
        <v>150</v>
      </c>
      <c r="B152">
        <v>151</v>
      </c>
      <c r="C152">
        <v>0.18179999999999999</v>
      </c>
      <c r="D152">
        <v>0.37</v>
      </c>
      <c r="E152">
        <v>0.28360000000000002</v>
      </c>
      <c r="F152">
        <v>9</v>
      </c>
      <c r="G152">
        <v>64</v>
      </c>
      <c r="H152">
        <v>73</v>
      </c>
      <c r="I152">
        <v>151</v>
      </c>
      <c r="J152" s="1">
        <v>40550</v>
      </c>
      <c r="K152">
        <v>1</v>
      </c>
      <c r="L152">
        <v>0</v>
      </c>
      <c r="M152">
        <v>1</v>
      </c>
      <c r="N152">
        <v>13</v>
      </c>
      <c r="O152" t="b">
        <v>0</v>
      </c>
      <c r="P152">
        <v>5</v>
      </c>
      <c r="Q152">
        <v>2</v>
      </c>
      <c r="R152">
        <v>0.2</v>
      </c>
    </row>
    <row r="153" spans="1:18" x14ac:dyDescent="0.25">
      <c r="A153">
        <v>151</v>
      </c>
      <c r="B153">
        <v>152</v>
      </c>
      <c r="C153">
        <v>0.19700000000000001</v>
      </c>
      <c r="D153">
        <v>0.4</v>
      </c>
      <c r="E153">
        <v>0.25369999999999998</v>
      </c>
      <c r="F153">
        <v>7</v>
      </c>
      <c r="G153">
        <v>43</v>
      </c>
      <c r="H153">
        <v>50</v>
      </c>
      <c r="I153">
        <v>152</v>
      </c>
      <c r="J153" s="1">
        <v>40550</v>
      </c>
      <c r="K153">
        <v>1</v>
      </c>
      <c r="L153">
        <v>0</v>
      </c>
      <c r="M153">
        <v>1</v>
      </c>
      <c r="N153">
        <v>14</v>
      </c>
      <c r="O153" t="b">
        <v>0</v>
      </c>
      <c r="P153">
        <v>5</v>
      </c>
      <c r="Q153">
        <v>2</v>
      </c>
      <c r="R153">
        <v>0.2</v>
      </c>
    </row>
    <row r="154" spans="1:18" x14ac:dyDescent="0.25">
      <c r="A154">
        <v>152</v>
      </c>
      <c r="B154">
        <v>153</v>
      </c>
      <c r="C154">
        <v>0.21210000000000001</v>
      </c>
      <c r="D154">
        <v>0.37</v>
      </c>
      <c r="E154">
        <v>0.16420000000000001</v>
      </c>
      <c r="F154">
        <v>9</v>
      </c>
      <c r="G154">
        <v>63</v>
      </c>
      <c r="H154">
        <v>72</v>
      </c>
      <c r="I154">
        <v>153</v>
      </c>
      <c r="J154" s="1">
        <v>40550</v>
      </c>
      <c r="K154">
        <v>1</v>
      </c>
      <c r="L154">
        <v>0</v>
      </c>
      <c r="M154">
        <v>1</v>
      </c>
      <c r="N154">
        <v>15</v>
      </c>
      <c r="O154" t="b">
        <v>0</v>
      </c>
      <c r="P154">
        <v>5</v>
      </c>
      <c r="Q154">
        <v>2</v>
      </c>
      <c r="R154">
        <v>0.2</v>
      </c>
    </row>
    <row r="155" spans="1:18" x14ac:dyDescent="0.25">
      <c r="A155">
        <v>153</v>
      </c>
      <c r="B155">
        <v>154</v>
      </c>
      <c r="C155">
        <v>0.21210000000000001</v>
      </c>
      <c r="D155">
        <v>0.37</v>
      </c>
      <c r="E155">
        <v>0.16420000000000001</v>
      </c>
      <c r="F155">
        <v>5</v>
      </c>
      <c r="G155">
        <v>82</v>
      </c>
      <c r="H155">
        <v>87</v>
      </c>
      <c r="I155">
        <v>154</v>
      </c>
      <c r="J155" s="1">
        <v>40550</v>
      </c>
      <c r="K155">
        <v>1</v>
      </c>
      <c r="L155">
        <v>0</v>
      </c>
      <c r="M155">
        <v>1</v>
      </c>
      <c r="N155">
        <v>16</v>
      </c>
      <c r="O155" t="b">
        <v>0</v>
      </c>
      <c r="P155">
        <v>5</v>
      </c>
      <c r="Q155">
        <v>2</v>
      </c>
      <c r="R155">
        <v>0.2</v>
      </c>
    </row>
    <row r="156" spans="1:18" x14ac:dyDescent="0.25">
      <c r="A156">
        <v>154</v>
      </c>
      <c r="B156">
        <v>155</v>
      </c>
      <c r="C156">
        <v>0.2576</v>
      </c>
      <c r="D156">
        <v>0.37</v>
      </c>
      <c r="E156">
        <v>0</v>
      </c>
      <c r="F156">
        <v>9</v>
      </c>
      <c r="G156">
        <v>178</v>
      </c>
      <c r="H156">
        <v>187</v>
      </c>
      <c r="I156">
        <v>155</v>
      </c>
      <c r="J156" s="1">
        <v>40550</v>
      </c>
      <c r="K156">
        <v>1</v>
      </c>
      <c r="L156">
        <v>0</v>
      </c>
      <c r="M156">
        <v>1</v>
      </c>
      <c r="N156">
        <v>17</v>
      </c>
      <c r="O156" t="b">
        <v>0</v>
      </c>
      <c r="P156">
        <v>5</v>
      </c>
      <c r="Q156">
        <v>2</v>
      </c>
      <c r="R156">
        <v>0.2</v>
      </c>
    </row>
    <row r="157" spans="1:18" x14ac:dyDescent="0.25">
      <c r="A157">
        <v>155</v>
      </c>
      <c r="B157">
        <v>156</v>
      </c>
      <c r="C157">
        <v>0.2273</v>
      </c>
      <c r="D157">
        <v>0.4</v>
      </c>
      <c r="E157">
        <v>8.9599999999999999E-2</v>
      </c>
      <c r="F157">
        <v>7</v>
      </c>
      <c r="G157">
        <v>116</v>
      </c>
      <c r="H157">
        <v>123</v>
      </c>
      <c r="I157">
        <v>156</v>
      </c>
      <c r="J157" s="1">
        <v>40550</v>
      </c>
      <c r="K157">
        <v>1</v>
      </c>
      <c r="L157">
        <v>0</v>
      </c>
      <c r="M157">
        <v>1</v>
      </c>
      <c r="N157">
        <v>18</v>
      </c>
      <c r="O157" t="b">
        <v>0</v>
      </c>
      <c r="P157">
        <v>5</v>
      </c>
      <c r="Q157">
        <v>1</v>
      </c>
      <c r="R157">
        <v>0.2</v>
      </c>
    </row>
    <row r="158" spans="1:18" x14ac:dyDescent="0.25">
      <c r="A158">
        <v>156</v>
      </c>
      <c r="B158">
        <v>157</v>
      </c>
      <c r="C158">
        <v>0.19700000000000001</v>
      </c>
      <c r="D158">
        <v>0.55000000000000004</v>
      </c>
      <c r="E158">
        <v>8.9599999999999999E-2</v>
      </c>
      <c r="F158">
        <v>3</v>
      </c>
      <c r="G158">
        <v>92</v>
      </c>
      <c r="H158">
        <v>95</v>
      </c>
      <c r="I158">
        <v>157</v>
      </c>
      <c r="J158" s="1">
        <v>40550</v>
      </c>
      <c r="K158">
        <v>1</v>
      </c>
      <c r="L158">
        <v>0</v>
      </c>
      <c r="M158">
        <v>1</v>
      </c>
      <c r="N158">
        <v>19</v>
      </c>
      <c r="O158" t="b">
        <v>0</v>
      </c>
      <c r="P158">
        <v>5</v>
      </c>
      <c r="Q158">
        <v>1</v>
      </c>
      <c r="R158">
        <v>0.16</v>
      </c>
    </row>
    <row r="159" spans="1:18" x14ac:dyDescent="0.25">
      <c r="A159">
        <v>157</v>
      </c>
      <c r="B159">
        <v>158</v>
      </c>
      <c r="C159">
        <v>0.21210000000000001</v>
      </c>
      <c r="D159">
        <v>0.47</v>
      </c>
      <c r="E159">
        <v>0.1045</v>
      </c>
      <c r="F159">
        <v>1</v>
      </c>
      <c r="G159">
        <v>50</v>
      </c>
      <c r="H159">
        <v>51</v>
      </c>
      <c r="I159">
        <v>158</v>
      </c>
      <c r="J159" s="1">
        <v>40550</v>
      </c>
      <c r="K159">
        <v>1</v>
      </c>
      <c r="L159">
        <v>0</v>
      </c>
      <c r="M159">
        <v>1</v>
      </c>
      <c r="N159">
        <v>20</v>
      </c>
      <c r="O159" t="b">
        <v>0</v>
      </c>
      <c r="P159">
        <v>5</v>
      </c>
      <c r="Q159">
        <v>1</v>
      </c>
      <c r="R159">
        <v>0.18</v>
      </c>
    </row>
    <row r="160" spans="1:18" x14ac:dyDescent="0.25">
      <c r="A160">
        <v>158</v>
      </c>
      <c r="B160">
        <v>159</v>
      </c>
      <c r="C160">
        <v>0.19700000000000001</v>
      </c>
      <c r="D160">
        <v>0.47</v>
      </c>
      <c r="E160">
        <v>0.1343</v>
      </c>
      <c r="F160">
        <v>0</v>
      </c>
      <c r="G160">
        <v>39</v>
      </c>
      <c r="H160">
        <v>39</v>
      </c>
      <c r="I160">
        <v>159</v>
      </c>
      <c r="J160" s="1">
        <v>40550</v>
      </c>
      <c r="K160">
        <v>1</v>
      </c>
      <c r="L160">
        <v>0</v>
      </c>
      <c r="M160">
        <v>1</v>
      </c>
      <c r="N160">
        <v>21</v>
      </c>
      <c r="O160" t="b">
        <v>0</v>
      </c>
      <c r="P160">
        <v>5</v>
      </c>
      <c r="Q160">
        <v>1</v>
      </c>
      <c r="R160">
        <v>0.18</v>
      </c>
    </row>
    <row r="161" spans="1:18" x14ac:dyDescent="0.25">
      <c r="A161">
        <v>159</v>
      </c>
      <c r="B161">
        <v>160</v>
      </c>
      <c r="C161">
        <v>0.19700000000000001</v>
      </c>
      <c r="D161">
        <v>0.43</v>
      </c>
      <c r="E161">
        <v>0.16420000000000001</v>
      </c>
      <c r="F161">
        <v>2</v>
      </c>
      <c r="G161">
        <v>34</v>
      </c>
      <c r="H161">
        <v>36</v>
      </c>
      <c r="I161">
        <v>160</v>
      </c>
      <c r="J161" s="1">
        <v>40550</v>
      </c>
      <c r="K161">
        <v>1</v>
      </c>
      <c r="L161">
        <v>0</v>
      </c>
      <c r="M161">
        <v>1</v>
      </c>
      <c r="N161">
        <v>22</v>
      </c>
      <c r="O161" t="b">
        <v>0</v>
      </c>
      <c r="P161">
        <v>5</v>
      </c>
      <c r="Q161">
        <v>2</v>
      </c>
      <c r="R161">
        <v>0.18</v>
      </c>
    </row>
    <row r="162" spans="1:18" x14ac:dyDescent="0.25">
      <c r="A162">
        <v>160</v>
      </c>
      <c r="B162">
        <v>161</v>
      </c>
      <c r="C162">
        <v>0.19700000000000001</v>
      </c>
      <c r="D162">
        <v>0.51</v>
      </c>
      <c r="E162">
        <v>0.16420000000000001</v>
      </c>
      <c r="F162">
        <v>1</v>
      </c>
      <c r="G162">
        <v>14</v>
      </c>
      <c r="H162">
        <v>15</v>
      </c>
      <c r="I162">
        <v>161</v>
      </c>
      <c r="J162" s="1">
        <v>40550</v>
      </c>
      <c r="K162">
        <v>1</v>
      </c>
      <c r="L162">
        <v>0</v>
      </c>
      <c r="M162">
        <v>1</v>
      </c>
      <c r="N162">
        <v>23</v>
      </c>
      <c r="O162" t="b">
        <v>0</v>
      </c>
      <c r="P162">
        <v>5</v>
      </c>
      <c r="Q162">
        <v>2</v>
      </c>
      <c r="R162">
        <v>0.18</v>
      </c>
    </row>
    <row r="163" spans="1:18" x14ac:dyDescent="0.25">
      <c r="A163">
        <v>161</v>
      </c>
      <c r="B163">
        <v>162</v>
      </c>
      <c r="C163">
        <v>0.19700000000000001</v>
      </c>
      <c r="D163">
        <v>0.51</v>
      </c>
      <c r="E163">
        <v>0.16420000000000001</v>
      </c>
      <c r="F163">
        <v>1</v>
      </c>
      <c r="G163">
        <v>24</v>
      </c>
      <c r="H163">
        <v>25</v>
      </c>
      <c r="I163">
        <v>162</v>
      </c>
      <c r="J163" s="1">
        <v>40551</v>
      </c>
      <c r="K163">
        <v>1</v>
      </c>
      <c r="L163">
        <v>0</v>
      </c>
      <c r="M163">
        <v>1</v>
      </c>
      <c r="N163">
        <v>0</v>
      </c>
      <c r="O163" t="b">
        <v>0</v>
      </c>
      <c r="P163">
        <v>6</v>
      </c>
      <c r="Q163">
        <v>2</v>
      </c>
      <c r="R163">
        <v>0.18</v>
      </c>
    </row>
    <row r="164" spans="1:18" x14ac:dyDescent="0.25">
      <c r="A164">
        <v>162</v>
      </c>
      <c r="B164">
        <v>163</v>
      </c>
      <c r="C164">
        <v>0.21210000000000001</v>
      </c>
      <c r="D164">
        <v>0.55000000000000004</v>
      </c>
      <c r="E164">
        <v>8.9599999999999999E-2</v>
      </c>
      <c r="F164">
        <v>1</v>
      </c>
      <c r="G164">
        <v>15</v>
      </c>
      <c r="H164">
        <v>16</v>
      </c>
      <c r="I164">
        <v>163</v>
      </c>
      <c r="J164" s="1">
        <v>40551</v>
      </c>
      <c r="K164">
        <v>1</v>
      </c>
      <c r="L164">
        <v>0</v>
      </c>
      <c r="M164">
        <v>1</v>
      </c>
      <c r="N164">
        <v>1</v>
      </c>
      <c r="O164" t="b">
        <v>0</v>
      </c>
      <c r="P164">
        <v>6</v>
      </c>
      <c r="Q164">
        <v>2</v>
      </c>
      <c r="R164">
        <v>0.18</v>
      </c>
    </row>
    <row r="165" spans="1:18" x14ac:dyDescent="0.25">
      <c r="A165">
        <v>163</v>
      </c>
      <c r="B165">
        <v>164</v>
      </c>
      <c r="C165">
        <v>0.2424</v>
      </c>
      <c r="D165">
        <v>0.55000000000000004</v>
      </c>
      <c r="E165">
        <v>0</v>
      </c>
      <c r="F165">
        <v>3</v>
      </c>
      <c r="G165">
        <v>13</v>
      </c>
      <c r="H165">
        <v>16</v>
      </c>
      <c r="I165">
        <v>164</v>
      </c>
      <c r="J165" s="1">
        <v>40551</v>
      </c>
      <c r="K165">
        <v>1</v>
      </c>
      <c r="L165">
        <v>0</v>
      </c>
      <c r="M165">
        <v>1</v>
      </c>
      <c r="N165">
        <v>2</v>
      </c>
      <c r="O165" t="b">
        <v>0</v>
      </c>
      <c r="P165">
        <v>6</v>
      </c>
      <c r="Q165">
        <v>2</v>
      </c>
      <c r="R165">
        <v>0.18</v>
      </c>
    </row>
    <row r="166" spans="1:18" x14ac:dyDescent="0.25">
      <c r="A166">
        <v>164</v>
      </c>
      <c r="B166">
        <v>165</v>
      </c>
      <c r="C166">
        <v>0.19700000000000001</v>
      </c>
      <c r="D166">
        <v>0.55000000000000004</v>
      </c>
      <c r="E166">
        <v>0.16420000000000001</v>
      </c>
      <c r="F166">
        <v>0</v>
      </c>
      <c r="G166">
        <v>7</v>
      </c>
      <c r="H166">
        <v>7</v>
      </c>
      <c r="I166">
        <v>165</v>
      </c>
      <c r="J166" s="1">
        <v>40551</v>
      </c>
      <c r="K166">
        <v>1</v>
      </c>
      <c r="L166">
        <v>0</v>
      </c>
      <c r="M166">
        <v>1</v>
      </c>
      <c r="N166">
        <v>3</v>
      </c>
      <c r="O166" t="b">
        <v>0</v>
      </c>
      <c r="P166">
        <v>6</v>
      </c>
      <c r="Q166">
        <v>3</v>
      </c>
      <c r="R166">
        <v>0.18</v>
      </c>
    </row>
    <row r="167" spans="1:18" x14ac:dyDescent="0.25">
      <c r="A167">
        <v>165</v>
      </c>
      <c r="B167">
        <v>166</v>
      </c>
      <c r="C167">
        <v>0.19700000000000001</v>
      </c>
      <c r="D167">
        <v>0.55000000000000004</v>
      </c>
      <c r="E167">
        <v>0.16420000000000001</v>
      </c>
      <c r="F167">
        <v>0</v>
      </c>
      <c r="G167">
        <v>1</v>
      </c>
      <c r="H167">
        <v>1</v>
      </c>
      <c r="I167">
        <v>166</v>
      </c>
      <c r="J167" s="1">
        <v>40551</v>
      </c>
      <c r="K167">
        <v>1</v>
      </c>
      <c r="L167">
        <v>0</v>
      </c>
      <c r="M167">
        <v>1</v>
      </c>
      <c r="N167">
        <v>4</v>
      </c>
      <c r="O167" t="b">
        <v>0</v>
      </c>
      <c r="P167">
        <v>6</v>
      </c>
      <c r="Q167">
        <v>3</v>
      </c>
      <c r="R167">
        <v>0.18</v>
      </c>
    </row>
    <row r="168" spans="1:18" x14ac:dyDescent="0.25">
      <c r="A168">
        <v>166</v>
      </c>
      <c r="B168">
        <v>167</v>
      </c>
      <c r="C168">
        <v>0.16669999999999999</v>
      </c>
      <c r="D168">
        <v>0.74</v>
      </c>
      <c r="E168">
        <v>0.16420000000000001</v>
      </c>
      <c r="F168">
        <v>0</v>
      </c>
      <c r="G168">
        <v>5</v>
      </c>
      <c r="H168">
        <v>5</v>
      </c>
      <c r="I168">
        <v>167</v>
      </c>
      <c r="J168" s="1">
        <v>40551</v>
      </c>
      <c r="K168">
        <v>1</v>
      </c>
      <c r="L168">
        <v>0</v>
      </c>
      <c r="M168">
        <v>1</v>
      </c>
      <c r="N168">
        <v>5</v>
      </c>
      <c r="O168" t="b">
        <v>0</v>
      </c>
      <c r="P168">
        <v>6</v>
      </c>
      <c r="Q168">
        <v>2</v>
      </c>
      <c r="R168">
        <v>0.16</v>
      </c>
    </row>
    <row r="169" spans="1:18" x14ac:dyDescent="0.25">
      <c r="A169">
        <v>167</v>
      </c>
      <c r="B169">
        <v>168</v>
      </c>
      <c r="C169">
        <v>0.16669999999999999</v>
      </c>
      <c r="D169">
        <v>0.74</v>
      </c>
      <c r="E169">
        <v>0.16420000000000001</v>
      </c>
      <c r="F169">
        <v>0</v>
      </c>
      <c r="G169">
        <v>2</v>
      </c>
      <c r="H169">
        <v>2</v>
      </c>
      <c r="I169">
        <v>168</v>
      </c>
      <c r="J169" s="1">
        <v>40551</v>
      </c>
      <c r="K169">
        <v>1</v>
      </c>
      <c r="L169">
        <v>0</v>
      </c>
      <c r="M169">
        <v>1</v>
      </c>
      <c r="N169">
        <v>6</v>
      </c>
      <c r="O169" t="b">
        <v>0</v>
      </c>
      <c r="P169">
        <v>6</v>
      </c>
      <c r="Q169">
        <v>2</v>
      </c>
      <c r="R169">
        <v>0.16</v>
      </c>
    </row>
    <row r="170" spans="1:18" x14ac:dyDescent="0.25">
      <c r="A170">
        <v>168</v>
      </c>
      <c r="B170">
        <v>169</v>
      </c>
      <c r="C170">
        <v>0.18179999999999999</v>
      </c>
      <c r="D170">
        <v>0.74</v>
      </c>
      <c r="E170">
        <v>0.1045</v>
      </c>
      <c r="F170">
        <v>1</v>
      </c>
      <c r="G170">
        <v>8</v>
      </c>
      <c r="H170">
        <v>9</v>
      </c>
      <c r="I170">
        <v>169</v>
      </c>
      <c r="J170" s="1">
        <v>40551</v>
      </c>
      <c r="K170">
        <v>1</v>
      </c>
      <c r="L170">
        <v>0</v>
      </c>
      <c r="M170">
        <v>1</v>
      </c>
      <c r="N170">
        <v>7</v>
      </c>
      <c r="O170" t="b">
        <v>0</v>
      </c>
      <c r="P170">
        <v>6</v>
      </c>
      <c r="Q170">
        <v>2</v>
      </c>
      <c r="R170">
        <v>0.16</v>
      </c>
    </row>
    <row r="171" spans="1:18" x14ac:dyDescent="0.25">
      <c r="A171">
        <v>169</v>
      </c>
      <c r="B171">
        <v>170</v>
      </c>
      <c r="C171">
        <v>0.18179999999999999</v>
      </c>
      <c r="D171">
        <v>0.93</v>
      </c>
      <c r="E171">
        <v>0.1045</v>
      </c>
      <c r="F171">
        <v>0</v>
      </c>
      <c r="G171">
        <v>15</v>
      </c>
      <c r="H171">
        <v>15</v>
      </c>
      <c r="I171">
        <v>170</v>
      </c>
      <c r="J171" s="1">
        <v>40551</v>
      </c>
      <c r="K171">
        <v>1</v>
      </c>
      <c r="L171">
        <v>0</v>
      </c>
      <c r="M171">
        <v>1</v>
      </c>
      <c r="N171">
        <v>8</v>
      </c>
      <c r="O171" t="b">
        <v>0</v>
      </c>
      <c r="P171">
        <v>6</v>
      </c>
      <c r="Q171">
        <v>3</v>
      </c>
      <c r="R171">
        <v>0.16</v>
      </c>
    </row>
    <row r="172" spans="1:18" x14ac:dyDescent="0.25">
      <c r="A172">
        <v>170</v>
      </c>
      <c r="B172">
        <v>171</v>
      </c>
      <c r="C172">
        <v>0.18179999999999999</v>
      </c>
      <c r="D172">
        <v>0.93</v>
      </c>
      <c r="E172">
        <v>0.1045</v>
      </c>
      <c r="F172">
        <v>0</v>
      </c>
      <c r="G172">
        <v>20</v>
      </c>
      <c r="H172">
        <v>20</v>
      </c>
      <c r="I172">
        <v>171</v>
      </c>
      <c r="J172" s="1">
        <v>40551</v>
      </c>
      <c r="K172">
        <v>1</v>
      </c>
      <c r="L172">
        <v>0</v>
      </c>
      <c r="M172">
        <v>1</v>
      </c>
      <c r="N172">
        <v>9</v>
      </c>
      <c r="O172" t="b">
        <v>0</v>
      </c>
      <c r="P172">
        <v>6</v>
      </c>
      <c r="Q172">
        <v>3</v>
      </c>
      <c r="R172">
        <v>0.16</v>
      </c>
    </row>
    <row r="173" spans="1:18" x14ac:dyDescent="0.25">
      <c r="A173">
        <v>171</v>
      </c>
      <c r="B173">
        <v>172</v>
      </c>
      <c r="C173">
        <v>0.19700000000000001</v>
      </c>
      <c r="D173">
        <v>0.8</v>
      </c>
      <c r="E173">
        <v>0.16420000000000001</v>
      </c>
      <c r="F173">
        <v>5</v>
      </c>
      <c r="G173">
        <v>56</v>
      </c>
      <c r="H173">
        <v>61</v>
      </c>
      <c r="I173">
        <v>172</v>
      </c>
      <c r="J173" s="1">
        <v>40551</v>
      </c>
      <c r="K173">
        <v>1</v>
      </c>
      <c r="L173">
        <v>0</v>
      </c>
      <c r="M173">
        <v>1</v>
      </c>
      <c r="N173">
        <v>10</v>
      </c>
      <c r="O173" t="b">
        <v>0</v>
      </c>
      <c r="P173">
        <v>6</v>
      </c>
      <c r="Q173">
        <v>2</v>
      </c>
      <c r="R173">
        <v>0.18</v>
      </c>
    </row>
    <row r="174" spans="1:18" x14ac:dyDescent="0.25">
      <c r="A174">
        <v>172</v>
      </c>
      <c r="B174">
        <v>173</v>
      </c>
      <c r="C174">
        <v>0.18179999999999999</v>
      </c>
      <c r="D174">
        <v>0.69</v>
      </c>
      <c r="E174">
        <v>0.3881</v>
      </c>
      <c r="F174">
        <v>2</v>
      </c>
      <c r="G174">
        <v>60</v>
      </c>
      <c r="H174">
        <v>62</v>
      </c>
      <c r="I174">
        <v>173</v>
      </c>
      <c r="J174" s="1">
        <v>40551</v>
      </c>
      <c r="K174">
        <v>1</v>
      </c>
      <c r="L174">
        <v>0</v>
      </c>
      <c r="M174">
        <v>1</v>
      </c>
      <c r="N174">
        <v>11</v>
      </c>
      <c r="O174" t="b">
        <v>0</v>
      </c>
      <c r="P174">
        <v>6</v>
      </c>
      <c r="Q174">
        <v>2</v>
      </c>
      <c r="R174">
        <v>0.2</v>
      </c>
    </row>
    <row r="175" spans="1:18" x14ac:dyDescent="0.25">
      <c r="A175">
        <v>173</v>
      </c>
      <c r="B175">
        <v>174</v>
      </c>
      <c r="C175">
        <v>0.18179999999999999</v>
      </c>
      <c r="D175">
        <v>0.59</v>
      </c>
      <c r="E175">
        <v>0.35820000000000002</v>
      </c>
      <c r="F175">
        <v>8</v>
      </c>
      <c r="G175">
        <v>90</v>
      </c>
      <c r="H175">
        <v>98</v>
      </c>
      <c r="I175">
        <v>174</v>
      </c>
      <c r="J175" s="1">
        <v>40551</v>
      </c>
      <c r="K175">
        <v>1</v>
      </c>
      <c r="L175">
        <v>0</v>
      </c>
      <c r="M175">
        <v>1</v>
      </c>
      <c r="N175">
        <v>12</v>
      </c>
      <c r="O175" t="b">
        <v>0</v>
      </c>
      <c r="P175">
        <v>6</v>
      </c>
      <c r="Q175">
        <v>2</v>
      </c>
      <c r="R175">
        <v>0.2</v>
      </c>
    </row>
    <row r="176" spans="1:18" x14ac:dyDescent="0.25">
      <c r="A176">
        <v>174</v>
      </c>
      <c r="B176">
        <v>175</v>
      </c>
      <c r="C176">
        <v>0.18179999999999999</v>
      </c>
      <c r="D176">
        <v>0.44</v>
      </c>
      <c r="E176">
        <v>0.32840000000000003</v>
      </c>
      <c r="F176">
        <v>7</v>
      </c>
      <c r="G176">
        <v>95</v>
      </c>
      <c r="H176">
        <v>102</v>
      </c>
      <c r="I176">
        <v>175</v>
      </c>
      <c r="J176" s="1">
        <v>40551</v>
      </c>
      <c r="K176">
        <v>1</v>
      </c>
      <c r="L176">
        <v>0</v>
      </c>
      <c r="M176">
        <v>1</v>
      </c>
      <c r="N176">
        <v>13</v>
      </c>
      <c r="O176" t="b">
        <v>0</v>
      </c>
      <c r="P176">
        <v>6</v>
      </c>
      <c r="Q176">
        <v>1</v>
      </c>
      <c r="R176">
        <v>0.2</v>
      </c>
    </row>
    <row r="177" spans="1:18" x14ac:dyDescent="0.25">
      <c r="A177">
        <v>175</v>
      </c>
      <c r="B177">
        <v>176</v>
      </c>
      <c r="C177">
        <v>0.16669999999999999</v>
      </c>
      <c r="D177">
        <v>0.32</v>
      </c>
      <c r="E177">
        <v>0.49249999999999999</v>
      </c>
      <c r="F177">
        <v>12</v>
      </c>
      <c r="G177">
        <v>83</v>
      </c>
      <c r="H177">
        <v>95</v>
      </c>
      <c r="I177">
        <v>176</v>
      </c>
      <c r="J177" s="1">
        <v>40551</v>
      </c>
      <c r="K177">
        <v>1</v>
      </c>
      <c r="L177">
        <v>0</v>
      </c>
      <c r="M177">
        <v>1</v>
      </c>
      <c r="N177">
        <v>14</v>
      </c>
      <c r="O177" t="b">
        <v>0</v>
      </c>
      <c r="P177">
        <v>6</v>
      </c>
      <c r="Q177">
        <v>1</v>
      </c>
      <c r="R177">
        <v>0.2</v>
      </c>
    </row>
    <row r="178" spans="1:18" x14ac:dyDescent="0.25">
      <c r="A178">
        <v>176</v>
      </c>
      <c r="B178">
        <v>177</v>
      </c>
      <c r="C178">
        <v>0.16669999999999999</v>
      </c>
      <c r="D178">
        <v>0.32</v>
      </c>
      <c r="E178">
        <v>0.44779999999999998</v>
      </c>
      <c r="F178">
        <v>5</v>
      </c>
      <c r="G178">
        <v>69</v>
      </c>
      <c r="H178">
        <v>74</v>
      </c>
      <c r="I178">
        <v>177</v>
      </c>
      <c r="J178" s="1">
        <v>40551</v>
      </c>
      <c r="K178">
        <v>1</v>
      </c>
      <c r="L178">
        <v>0</v>
      </c>
      <c r="M178">
        <v>1</v>
      </c>
      <c r="N178">
        <v>15</v>
      </c>
      <c r="O178" t="b">
        <v>0</v>
      </c>
      <c r="P178">
        <v>6</v>
      </c>
      <c r="Q178">
        <v>1</v>
      </c>
      <c r="R178">
        <v>0.2</v>
      </c>
    </row>
    <row r="179" spans="1:18" x14ac:dyDescent="0.25">
      <c r="A179">
        <v>177</v>
      </c>
      <c r="B179">
        <v>178</v>
      </c>
      <c r="C179">
        <v>0.13639999999999999</v>
      </c>
      <c r="D179">
        <v>0.28999999999999998</v>
      </c>
      <c r="E179">
        <v>0.44779999999999998</v>
      </c>
      <c r="F179">
        <v>8</v>
      </c>
      <c r="G179">
        <v>68</v>
      </c>
      <c r="H179">
        <v>76</v>
      </c>
      <c r="I179">
        <v>178</v>
      </c>
      <c r="J179" s="1">
        <v>40551</v>
      </c>
      <c r="K179">
        <v>1</v>
      </c>
      <c r="L179">
        <v>0</v>
      </c>
      <c r="M179">
        <v>1</v>
      </c>
      <c r="N179">
        <v>16</v>
      </c>
      <c r="O179" t="b">
        <v>0</v>
      </c>
      <c r="P179">
        <v>6</v>
      </c>
      <c r="Q179">
        <v>1</v>
      </c>
      <c r="R179">
        <v>0.18</v>
      </c>
    </row>
    <row r="180" spans="1:18" x14ac:dyDescent="0.25">
      <c r="A180">
        <v>178</v>
      </c>
      <c r="B180">
        <v>179</v>
      </c>
      <c r="C180">
        <v>0.1212</v>
      </c>
      <c r="D180">
        <v>0.37</v>
      </c>
      <c r="E180">
        <v>0.55220000000000002</v>
      </c>
      <c r="F180">
        <v>5</v>
      </c>
      <c r="G180">
        <v>64</v>
      </c>
      <c r="H180">
        <v>69</v>
      </c>
      <c r="I180">
        <v>179</v>
      </c>
      <c r="J180" s="1">
        <v>40551</v>
      </c>
      <c r="K180">
        <v>1</v>
      </c>
      <c r="L180">
        <v>0</v>
      </c>
      <c r="M180">
        <v>1</v>
      </c>
      <c r="N180">
        <v>17</v>
      </c>
      <c r="O180" t="b">
        <v>0</v>
      </c>
      <c r="P180">
        <v>6</v>
      </c>
      <c r="Q180">
        <v>1</v>
      </c>
      <c r="R180">
        <v>0.16</v>
      </c>
    </row>
    <row r="181" spans="1:18" x14ac:dyDescent="0.25">
      <c r="A181">
        <v>179</v>
      </c>
      <c r="B181">
        <v>180</v>
      </c>
      <c r="C181">
        <v>0.1212</v>
      </c>
      <c r="D181">
        <v>0.39</v>
      </c>
      <c r="E181">
        <v>0.29849999999999999</v>
      </c>
      <c r="F181">
        <v>3</v>
      </c>
      <c r="G181">
        <v>52</v>
      </c>
      <c r="H181">
        <v>55</v>
      </c>
      <c r="I181">
        <v>180</v>
      </c>
      <c r="J181" s="1">
        <v>40551</v>
      </c>
      <c r="K181">
        <v>1</v>
      </c>
      <c r="L181">
        <v>0</v>
      </c>
      <c r="M181">
        <v>1</v>
      </c>
      <c r="N181">
        <v>18</v>
      </c>
      <c r="O181" t="b">
        <v>0</v>
      </c>
      <c r="P181">
        <v>6</v>
      </c>
      <c r="Q181">
        <v>1</v>
      </c>
      <c r="R181">
        <v>0.14000000000000001</v>
      </c>
    </row>
    <row r="182" spans="1:18" x14ac:dyDescent="0.25">
      <c r="A182">
        <v>180</v>
      </c>
      <c r="B182">
        <v>181</v>
      </c>
      <c r="C182">
        <v>0.1212</v>
      </c>
      <c r="D182">
        <v>0.36</v>
      </c>
      <c r="E182">
        <v>0.25369999999999998</v>
      </c>
      <c r="F182">
        <v>4</v>
      </c>
      <c r="G182">
        <v>26</v>
      </c>
      <c r="H182">
        <v>30</v>
      </c>
      <c r="I182">
        <v>181</v>
      </c>
      <c r="J182" s="1">
        <v>40551</v>
      </c>
      <c r="K182">
        <v>1</v>
      </c>
      <c r="L182">
        <v>0</v>
      </c>
      <c r="M182">
        <v>1</v>
      </c>
      <c r="N182">
        <v>19</v>
      </c>
      <c r="O182" t="b">
        <v>0</v>
      </c>
      <c r="P182">
        <v>6</v>
      </c>
      <c r="Q182">
        <v>1</v>
      </c>
      <c r="R182">
        <v>0.14000000000000001</v>
      </c>
    </row>
    <row r="183" spans="1:18" x14ac:dyDescent="0.25">
      <c r="A183">
        <v>181</v>
      </c>
      <c r="B183">
        <v>182</v>
      </c>
      <c r="C183">
        <v>0.1212</v>
      </c>
      <c r="D183">
        <v>0.36</v>
      </c>
      <c r="E183">
        <v>0.25369999999999998</v>
      </c>
      <c r="F183">
        <v>0</v>
      </c>
      <c r="G183">
        <v>28</v>
      </c>
      <c r="H183">
        <v>28</v>
      </c>
      <c r="I183">
        <v>182</v>
      </c>
      <c r="J183" s="1">
        <v>40551</v>
      </c>
      <c r="K183">
        <v>1</v>
      </c>
      <c r="L183">
        <v>0</v>
      </c>
      <c r="M183">
        <v>1</v>
      </c>
      <c r="N183">
        <v>20</v>
      </c>
      <c r="O183" t="b">
        <v>0</v>
      </c>
      <c r="P183">
        <v>6</v>
      </c>
      <c r="Q183">
        <v>1</v>
      </c>
      <c r="R183">
        <v>0.12</v>
      </c>
    </row>
    <row r="184" spans="1:18" x14ac:dyDescent="0.25">
      <c r="A184">
        <v>182</v>
      </c>
      <c r="B184">
        <v>183</v>
      </c>
      <c r="C184">
        <v>0.1061</v>
      </c>
      <c r="D184">
        <v>0.39</v>
      </c>
      <c r="E184">
        <v>0.35820000000000002</v>
      </c>
      <c r="F184">
        <v>2</v>
      </c>
      <c r="G184">
        <v>35</v>
      </c>
      <c r="H184">
        <v>37</v>
      </c>
      <c r="I184">
        <v>183</v>
      </c>
      <c r="J184" s="1">
        <v>40551</v>
      </c>
      <c r="K184">
        <v>1</v>
      </c>
      <c r="L184">
        <v>0</v>
      </c>
      <c r="M184">
        <v>1</v>
      </c>
      <c r="N184">
        <v>21</v>
      </c>
      <c r="O184" t="b">
        <v>0</v>
      </c>
      <c r="P184">
        <v>6</v>
      </c>
      <c r="Q184">
        <v>1</v>
      </c>
      <c r="R184">
        <v>0.12</v>
      </c>
    </row>
    <row r="185" spans="1:18" x14ac:dyDescent="0.25">
      <c r="A185">
        <v>183</v>
      </c>
      <c r="B185">
        <v>184</v>
      </c>
      <c r="C185">
        <v>0.1061</v>
      </c>
      <c r="D185">
        <v>0.36</v>
      </c>
      <c r="E185">
        <v>0.3881</v>
      </c>
      <c r="F185">
        <v>1</v>
      </c>
      <c r="G185">
        <v>33</v>
      </c>
      <c r="H185">
        <v>34</v>
      </c>
      <c r="I185">
        <v>184</v>
      </c>
      <c r="J185" s="1">
        <v>40551</v>
      </c>
      <c r="K185">
        <v>1</v>
      </c>
      <c r="L185">
        <v>0</v>
      </c>
      <c r="M185">
        <v>1</v>
      </c>
      <c r="N185">
        <v>22</v>
      </c>
      <c r="O185" t="b">
        <v>0</v>
      </c>
      <c r="P185">
        <v>6</v>
      </c>
      <c r="Q185">
        <v>1</v>
      </c>
      <c r="R185">
        <v>0.12</v>
      </c>
    </row>
    <row r="186" spans="1:18" x14ac:dyDescent="0.25">
      <c r="A186">
        <v>184</v>
      </c>
      <c r="B186">
        <v>185</v>
      </c>
      <c r="C186">
        <v>6.0600000000000001E-2</v>
      </c>
      <c r="D186">
        <v>0.39</v>
      </c>
      <c r="E186">
        <v>0.44779999999999998</v>
      </c>
      <c r="F186">
        <v>0</v>
      </c>
      <c r="G186">
        <v>22</v>
      </c>
      <c r="H186">
        <v>22</v>
      </c>
      <c r="I186">
        <v>185</v>
      </c>
      <c r="J186" s="1">
        <v>40551</v>
      </c>
      <c r="K186">
        <v>1</v>
      </c>
      <c r="L186">
        <v>0</v>
      </c>
      <c r="M186">
        <v>1</v>
      </c>
      <c r="N186">
        <v>23</v>
      </c>
      <c r="O186" t="b">
        <v>0</v>
      </c>
      <c r="P186">
        <v>6</v>
      </c>
      <c r="Q186">
        <v>1</v>
      </c>
      <c r="R186">
        <v>0.1</v>
      </c>
    </row>
    <row r="187" spans="1:18" x14ac:dyDescent="0.25">
      <c r="A187">
        <v>185</v>
      </c>
      <c r="B187">
        <v>186</v>
      </c>
      <c r="C187">
        <v>7.5800000000000006E-2</v>
      </c>
      <c r="D187">
        <v>0.42</v>
      </c>
      <c r="E187">
        <v>0.3881</v>
      </c>
      <c r="F187">
        <v>1</v>
      </c>
      <c r="G187">
        <v>24</v>
      </c>
      <c r="H187">
        <v>25</v>
      </c>
      <c r="I187">
        <v>186</v>
      </c>
      <c r="J187" s="1">
        <v>40552</v>
      </c>
      <c r="K187">
        <v>1</v>
      </c>
      <c r="L187">
        <v>0</v>
      </c>
      <c r="M187">
        <v>1</v>
      </c>
      <c r="N187">
        <v>0</v>
      </c>
      <c r="O187" t="b">
        <v>0</v>
      </c>
      <c r="P187">
        <v>0</v>
      </c>
      <c r="Q187">
        <v>1</v>
      </c>
      <c r="R187">
        <v>0.1</v>
      </c>
    </row>
    <row r="188" spans="1:18" x14ac:dyDescent="0.25">
      <c r="A188">
        <v>186</v>
      </c>
      <c r="B188">
        <v>187</v>
      </c>
      <c r="C188">
        <v>6.0600000000000001E-2</v>
      </c>
      <c r="D188">
        <v>0.42</v>
      </c>
      <c r="E188">
        <v>0.4627</v>
      </c>
      <c r="F188">
        <v>0</v>
      </c>
      <c r="G188">
        <v>12</v>
      </c>
      <c r="H188">
        <v>12</v>
      </c>
      <c r="I188">
        <v>187</v>
      </c>
      <c r="J188" s="1">
        <v>40552</v>
      </c>
      <c r="K188">
        <v>1</v>
      </c>
      <c r="L188">
        <v>0</v>
      </c>
      <c r="M188">
        <v>1</v>
      </c>
      <c r="N188">
        <v>1</v>
      </c>
      <c r="O188" t="b">
        <v>0</v>
      </c>
      <c r="P188">
        <v>0</v>
      </c>
      <c r="Q188">
        <v>1</v>
      </c>
      <c r="R188">
        <v>0.1</v>
      </c>
    </row>
    <row r="189" spans="1:18" x14ac:dyDescent="0.25">
      <c r="A189">
        <v>187</v>
      </c>
      <c r="B189">
        <v>188</v>
      </c>
      <c r="C189">
        <v>6.0600000000000001E-2</v>
      </c>
      <c r="D189">
        <v>0.46</v>
      </c>
      <c r="E189">
        <v>0.4627</v>
      </c>
      <c r="F189">
        <v>0</v>
      </c>
      <c r="G189">
        <v>11</v>
      </c>
      <c r="H189">
        <v>11</v>
      </c>
      <c r="I189">
        <v>188</v>
      </c>
      <c r="J189" s="1">
        <v>40552</v>
      </c>
      <c r="K189">
        <v>1</v>
      </c>
      <c r="L189">
        <v>0</v>
      </c>
      <c r="M189">
        <v>1</v>
      </c>
      <c r="N189">
        <v>2</v>
      </c>
      <c r="O189" t="b">
        <v>0</v>
      </c>
      <c r="P189">
        <v>0</v>
      </c>
      <c r="Q189">
        <v>1</v>
      </c>
      <c r="R189">
        <v>0.1</v>
      </c>
    </row>
    <row r="190" spans="1:18" x14ac:dyDescent="0.25">
      <c r="A190">
        <v>188</v>
      </c>
      <c r="B190">
        <v>189</v>
      </c>
      <c r="C190">
        <v>7.5800000000000006E-2</v>
      </c>
      <c r="D190">
        <v>0.46</v>
      </c>
      <c r="E190">
        <v>0.41789999999999999</v>
      </c>
      <c r="F190">
        <v>0</v>
      </c>
      <c r="G190">
        <v>4</v>
      </c>
      <c r="H190">
        <v>4</v>
      </c>
      <c r="I190">
        <v>189</v>
      </c>
      <c r="J190" s="1">
        <v>40552</v>
      </c>
      <c r="K190">
        <v>1</v>
      </c>
      <c r="L190">
        <v>0</v>
      </c>
      <c r="M190">
        <v>1</v>
      </c>
      <c r="N190">
        <v>3</v>
      </c>
      <c r="O190" t="b">
        <v>0</v>
      </c>
      <c r="P190">
        <v>0</v>
      </c>
      <c r="Q190">
        <v>1</v>
      </c>
      <c r="R190">
        <v>0.1</v>
      </c>
    </row>
    <row r="191" spans="1:18" x14ac:dyDescent="0.25">
      <c r="A191">
        <v>189</v>
      </c>
      <c r="B191">
        <v>190</v>
      </c>
      <c r="C191">
        <v>9.0899999999999995E-2</v>
      </c>
      <c r="D191">
        <v>0.53</v>
      </c>
      <c r="E191">
        <v>0.19400000000000001</v>
      </c>
      <c r="F191">
        <v>0</v>
      </c>
      <c r="G191">
        <v>1</v>
      </c>
      <c r="H191">
        <v>1</v>
      </c>
      <c r="I191">
        <v>190</v>
      </c>
      <c r="J191" s="1">
        <v>40552</v>
      </c>
      <c r="K191">
        <v>1</v>
      </c>
      <c r="L191">
        <v>0</v>
      </c>
      <c r="M191">
        <v>1</v>
      </c>
      <c r="N191">
        <v>4</v>
      </c>
      <c r="O191" t="b">
        <v>0</v>
      </c>
      <c r="P191">
        <v>0</v>
      </c>
      <c r="Q191">
        <v>1</v>
      </c>
      <c r="R191">
        <v>0.08</v>
      </c>
    </row>
    <row r="192" spans="1:18" x14ac:dyDescent="0.25">
      <c r="A192">
        <v>190</v>
      </c>
      <c r="B192">
        <v>191</v>
      </c>
      <c r="C192">
        <v>9.0899999999999995E-2</v>
      </c>
      <c r="D192">
        <v>0.53</v>
      </c>
      <c r="E192">
        <v>0.19400000000000001</v>
      </c>
      <c r="F192">
        <v>0</v>
      </c>
      <c r="G192">
        <v>1</v>
      </c>
      <c r="H192">
        <v>1</v>
      </c>
      <c r="I192">
        <v>191</v>
      </c>
      <c r="J192" s="1">
        <v>40552</v>
      </c>
      <c r="K192">
        <v>1</v>
      </c>
      <c r="L192">
        <v>0</v>
      </c>
      <c r="M192">
        <v>1</v>
      </c>
      <c r="N192">
        <v>5</v>
      </c>
      <c r="O192" t="b">
        <v>0</v>
      </c>
      <c r="P192">
        <v>0</v>
      </c>
      <c r="Q192">
        <v>1</v>
      </c>
      <c r="R192">
        <v>0.08</v>
      </c>
    </row>
    <row r="193" spans="1:18" x14ac:dyDescent="0.25">
      <c r="A193">
        <v>191</v>
      </c>
      <c r="B193">
        <v>192</v>
      </c>
      <c r="C193">
        <v>9.0899999999999995E-2</v>
      </c>
      <c r="D193">
        <v>0.49</v>
      </c>
      <c r="E193">
        <v>0.28360000000000002</v>
      </c>
      <c r="F193">
        <v>0</v>
      </c>
      <c r="G193">
        <v>1</v>
      </c>
      <c r="H193">
        <v>1</v>
      </c>
      <c r="I193">
        <v>192</v>
      </c>
      <c r="J193" s="1">
        <v>40552</v>
      </c>
      <c r="K193">
        <v>1</v>
      </c>
      <c r="L193">
        <v>0</v>
      </c>
      <c r="M193">
        <v>1</v>
      </c>
      <c r="N193">
        <v>6</v>
      </c>
      <c r="O193" t="b">
        <v>0</v>
      </c>
      <c r="P193">
        <v>0</v>
      </c>
      <c r="Q193">
        <v>1</v>
      </c>
      <c r="R193">
        <v>0.1</v>
      </c>
    </row>
    <row r="194" spans="1:18" x14ac:dyDescent="0.25">
      <c r="A194">
        <v>192</v>
      </c>
      <c r="B194">
        <v>193</v>
      </c>
      <c r="C194">
        <v>9.0899999999999995E-2</v>
      </c>
      <c r="D194">
        <v>0.53</v>
      </c>
      <c r="E194">
        <v>0.19400000000000001</v>
      </c>
      <c r="F194">
        <v>1</v>
      </c>
      <c r="G194">
        <v>5</v>
      </c>
      <c r="H194">
        <v>6</v>
      </c>
      <c r="I194">
        <v>193</v>
      </c>
      <c r="J194" s="1">
        <v>40552</v>
      </c>
      <c r="K194">
        <v>1</v>
      </c>
      <c r="L194">
        <v>0</v>
      </c>
      <c r="M194">
        <v>1</v>
      </c>
      <c r="N194">
        <v>7</v>
      </c>
      <c r="O194" t="b">
        <v>0</v>
      </c>
      <c r="P194">
        <v>0</v>
      </c>
      <c r="Q194">
        <v>1</v>
      </c>
      <c r="R194">
        <v>0.08</v>
      </c>
    </row>
    <row r="195" spans="1:18" x14ac:dyDescent="0.25">
      <c r="A195">
        <v>193</v>
      </c>
      <c r="B195">
        <v>194</v>
      </c>
      <c r="C195">
        <v>9.0899999999999995E-2</v>
      </c>
      <c r="D195">
        <v>0.49</v>
      </c>
      <c r="E195">
        <v>0.28360000000000002</v>
      </c>
      <c r="F195">
        <v>0</v>
      </c>
      <c r="G195">
        <v>10</v>
      </c>
      <c r="H195">
        <v>10</v>
      </c>
      <c r="I195">
        <v>194</v>
      </c>
      <c r="J195" s="1">
        <v>40552</v>
      </c>
      <c r="K195">
        <v>1</v>
      </c>
      <c r="L195">
        <v>0</v>
      </c>
      <c r="M195">
        <v>1</v>
      </c>
      <c r="N195">
        <v>8</v>
      </c>
      <c r="O195" t="b">
        <v>0</v>
      </c>
      <c r="P195">
        <v>0</v>
      </c>
      <c r="Q195">
        <v>1</v>
      </c>
      <c r="R195">
        <v>0.1</v>
      </c>
    </row>
    <row r="196" spans="1:18" x14ac:dyDescent="0.25">
      <c r="A196">
        <v>194</v>
      </c>
      <c r="B196">
        <v>195</v>
      </c>
      <c r="C196">
        <v>7.5800000000000006E-2</v>
      </c>
      <c r="D196">
        <v>0.46</v>
      </c>
      <c r="E196">
        <v>0.52239999999999998</v>
      </c>
      <c r="F196">
        <v>0</v>
      </c>
      <c r="G196">
        <v>19</v>
      </c>
      <c r="H196">
        <v>19</v>
      </c>
      <c r="I196">
        <v>195</v>
      </c>
      <c r="J196" s="1">
        <v>40552</v>
      </c>
      <c r="K196">
        <v>1</v>
      </c>
      <c r="L196">
        <v>0</v>
      </c>
      <c r="M196">
        <v>1</v>
      </c>
      <c r="N196">
        <v>9</v>
      </c>
      <c r="O196" t="b">
        <v>0</v>
      </c>
      <c r="P196">
        <v>0</v>
      </c>
      <c r="Q196">
        <v>1</v>
      </c>
      <c r="R196">
        <v>0.12</v>
      </c>
    </row>
    <row r="197" spans="1:18" x14ac:dyDescent="0.25">
      <c r="A197">
        <v>195</v>
      </c>
      <c r="B197">
        <v>196</v>
      </c>
      <c r="C197">
        <v>0.1061</v>
      </c>
      <c r="D197">
        <v>0.43</v>
      </c>
      <c r="E197">
        <v>0.3881</v>
      </c>
      <c r="F197">
        <v>0</v>
      </c>
      <c r="G197">
        <v>49</v>
      </c>
      <c r="H197">
        <v>49</v>
      </c>
      <c r="I197">
        <v>196</v>
      </c>
      <c r="J197" s="1">
        <v>40552</v>
      </c>
      <c r="K197">
        <v>1</v>
      </c>
      <c r="L197">
        <v>0</v>
      </c>
      <c r="M197">
        <v>1</v>
      </c>
      <c r="N197">
        <v>10</v>
      </c>
      <c r="O197" t="b">
        <v>0</v>
      </c>
      <c r="P197">
        <v>0</v>
      </c>
      <c r="Q197">
        <v>1</v>
      </c>
      <c r="R197">
        <v>0.14000000000000001</v>
      </c>
    </row>
    <row r="198" spans="1:18" x14ac:dyDescent="0.25">
      <c r="A198">
        <v>196</v>
      </c>
      <c r="B198">
        <v>197</v>
      </c>
      <c r="C198">
        <v>0.1212</v>
      </c>
      <c r="D198">
        <v>0.4</v>
      </c>
      <c r="E198">
        <v>0.52239999999999998</v>
      </c>
      <c r="F198">
        <v>2</v>
      </c>
      <c r="G198">
        <v>47</v>
      </c>
      <c r="H198">
        <v>49</v>
      </c>
      <c r="I198">
        <v>197</v>
      </c>
      <c r="J198" s="1">
        <v>40552</v>
      </c>
      <c r="K198">
        <v>1</v>
      </c>
      <c r="L198">
        <v>0</v>
      </c>
      <c r="M198">
        <v>1</v>
      </c>
      <c r="N198">
        <v>11</v>
      </c>
      <c r="O198" t="b">
        <v>0</v>
      </c>
      <c r="P198">
        <v>0</v>
      </c>
      <c r="Q198">
        <v>1</v>
      </c>
      <c r="R198">
        <v>0.16</v>
      </c>
    </row>
    <row r="199" spans="1:18" x14ac:dyDescent="0.25">
      <c r="A199">
        <v>197</v>
      </c>
      <c r="B199">
        <v>198</v>
      </c>
      <c r="C199">
        <v>0.13639999999999999</v>
      </c>
      <c r="D199">
        <v>0.37</v>
      </c>
      <c r="E199">
        <v>0.44779999999999998</v>
      </c>
      <c r="F199">
        <v>4</v>
      </c>
      <c r="G199">
        <v>79</v>
      </c>
      <c r="H199">
        <v>83</v>
      </c>
      <c r="I199">
        <v>198</v>
      </c>
      <c r="J199" s="1">
        <v>40552</v>
      </c>
      <c r="K199">
        <v>1</v>
      </c>
      <c r="L199">
        <v>0</v>
      </c>
      <c r="M199">
        <v>1</v>
      </c>
      <c r="N199">
        <v>12</v>
      </c>
      <c r="O199" t="b">
        <v>0</v>
      </c>
      <c r="P199">
        <v>0</v>
      </c>
      <c r="Q199">
        <v>1</v>
      </c>
      <c r="R199">
        <v>0.18</v>
      </c>
    </row>
    <row r="200" spans="1:18" x14ac:dyDescent="0.25">
      <c r="A200">
        <v>198</v>
      </c>
      <c r="B200">
        <v>199</v>
      </c>
      <c r="C200">
        <v>0.16669999999999999</v>
      </c>
      <c r="D200">
        <v>0.34</v>
      </c>
      <c r="E200">
        <v>0.44779999999999998</v>
      </c>
      <c r="F200">
        <v>6</v>
      </c>
      <c r="G200">
        <v>69</v>
      </c>
      <c r="H200">
        <v>75</v>
      </c>
      <c r="I200">
        <v>199</v>
      </c>
      <c r="J200" s="1">
        <v>40552</v>
      </c>
      <c r="K200">
        <v>1</v>
      </c>
      <c r="L200">
        <v>0</v>
      </c>
      <c r="M200">
        <v>1</v>
      </c>
      <c r="N200">
        <v>13</v>
      </c>
      <c r="O200" t="b">
        <v>0</v>
      </c>
      <c r="P200">
        <v>0</v>
      </c>
      <c r="Q200">
        <v>1</v>
      </c>
      <c r="R200">
        <v>0.2</v>
      </c>
    </row>
    <row r="201" spans="1:18" x14ac:dyDescent="0.25">
      <c r="A201">
        <v>199</v>
      </c>
      <c r="B201">
        <v>200</v>
      </c>
      <c r="C201">
        <v>0.18179999999999999</v>
      </c>
      <c r="D201">
        <v>0.32</v>
      </c>
      <c r="E201">
        <v>0.4627</v>
      </c>
      <c r="F201">
        <v>8</v>
      </c>
      <c r="G201">
        <v>64</v>
      </c>
      <c r="H201">
        <v>72</v>
      </c>
      <c r="I201">
        <v>200</v>
      </c>
      <c r="J201" s="1">
        <v>40552</v>
      </c>
      <c r="K201">
        <v>1</v>
      </c>
      <c r="L201">
        <v>0</v>
      </c>
      <c r="M201">
        <v>1</v>
      </c>
      <c r="N201">
        <v>14</v>
      </c>
      <c r="O201" t="b">
        <v>0</v>
      </c>
      <c r="P201">
        <v>0</v>
      </c>
      <c r="Q201">
        <v>1</v>
      </c>
      <c r="R201">
        <v>0.22</v>
      </c>
    </row>
    <row r="202" spans="1:18" x14ac:dyDescent="0.25">
      <c r="A202">
        <v>200</v>
      </c>
      <c r="B202">
        <v>201</v>
      </c>
      <c r="C202">
        <v>0.19700000000000001</v>
      </c>
      <c r="D202">
        <v>0.35</v>
      </c>
      <c r="E202">
        <v>0.35820000000000002</v>
      </c>
      <c r="F202">
        <v>5</v>
      </c>
      <c r="G202">
        <v>77</v>
      </c>
      <c r="H202">
        <v>82</v>
      </c>
      <c r="I202">
        <v>201</v>
      </c>
      <c r="J202" s="1">
        <v>40552</v>
      </c>
      <c r="K202">
        <v>1</v>
      </c>
      <c r="L202">
        <v>0</v>
      </c>
      <c r="M202">
        <v>1</v>
      </c>
      <c r="N202">
        <v>15</v>
      </c>
      <c r="O202" t="b">
        <v>0</v>
      </c>
      <c r="P202">
        <v>0</v>
      </c>
      <c r="Q202">
        <v>1</v>
      </c>
      <c r="R202">
        <v>0.22</v>
      </c>
    </row>
    <row r="203" spans="1:18" x14ac:dyDescent="0.25">
      <c r="A203">
        <v>201</v>
      </c>
      <c r="B203">
        <v>202</v>
      </c>
      <c r="C203">
        <v>0.16669999999999999</v>
      </c>
      <c r="D203">
        <v>0.34</v>
      </c>
      <c r="E203">
        <v>0.44779999999999998</v>
      </c>
      <c r="F203">
        <v>13</v>
      </c>
      <c r="G203">
        <v>79</v>
      </c>
      <c r="H203">
        <v>92</v>
      </c>
      <c r="I203">
        <v>202</v>
      </c>
      <c r="J203" s="1">
        <v>40552</v>
      </c>
      <c r="K203">
        <v>1</v>
      </c>
      <c r="L203">
        <v>0</v>
      </c>
      <c r="M203">
        <v>1</v>
      </c>
      <c r="N203">
        <v>16</v>
      </c>
      <c r="O203" t="b">
        <v>0</v>
      </c>
      <c r="P203">
        <v>0</v>
      </c>
      <c r="Q203">
        <v>1</v>
      </c>
      <c r="R203">
        <v>0.2</v>
      </c>
    </row>
    <row r="204" spans="1:18" x14ac:dyDescent="0.25">
      <c r="A204">
        <v>202</v>
      </c>
      <c r="B204">
        <v>203</v>
      </c>
      <c r="C204">
        <v>0.1515</v>
      </c>
      <c r="D204">
        <v>0.37</v>
      </c>
      <c r="E204">
        <v>0.3881</v>
      </c>
      <c r="F204">
        <v>3</v>
      </c>
      <c r="G204">
        <v>59</v>
      </c>
      <c r="H204">
        <v>62</v>
      </c>
      <c r="I204">
        <v>203</v>
      </c>
      <c r="J204" s="1">
        <v>40552</v>
      </c>
      <c r="K204">
        <v>1</v>
      </c>
      <c r="L204">
        <v>0</v>
      </c>
      <c r="M204">
        <v>1</v>
      </c>
      <c r="N204">
        <v>17</v>
      </c>
      <c r="O204" t="b">
        <v>0</v>
      </c>
      <c r="P204">
        <v>0</v>
      </c>
      <c r="Q204">
        <v>1</v>
      </c>
      <c r="R204">
        <v>0.18</v>
      </c>
    </row>
    <row r="205" spans="1:18" x14ac:dyDescent="0.25">
      <c r="A205">
        <v>203</v>
      </c>
      <c r="B205">
        <v>204</v>
      </c>
      <c r="C205">
        <v>0.13639999999999999</v>
      </c>
      <c r="D205">
        <v>0.4</v>
      </c>
      <c r="E205">
        <v>0.32840000000000003</v>
      </c>
      <c r="F205">
        <v>4</v>
      </c>
      <c r="G205">
        <v>44</v>
      </c>
      <c r="H205">
        <v>48</v>
      </c>
      <c r="I205">
        <v>204</v>
      </c>
      <c r="J205" s="1">
        <v>40552</v>
      </c>
      <c r="K205">
        <v>1</v>
      </c>
      <c r="L205">
        <v>0</v>
      </c>
      <c r="M205">
        <v>1</v>
      </c>
      <c r="N205">
        <v>18</v>
      </c>
      <c r="O205" t="b">
        <v>0</v>
      </c>
      <c r="P205">
        <v>0</v>
      </c>
      <c r="Q205">
        <v>1</v>
      </c>
      <c r="R205">
        <v>0.16</v>
      </c>
    </row>
    <row r="206" spans="1:18" x14ac:dyDescent="0.25">
      <c r="A206">
        <v>204</v>
      </c>
      <c r="B206">
        <v>205</v>
      </c>
      <c r="C206">
        <v>0.13639999999999999</v>
      </c>
      <c r="D206">
        <v>0.43</v>
      </c>
      <c r="E206">
        <v>0.32840000000000003</v>
      </c>
      <c r="F206">
        <v>1</v>
      </c>
      <c r="G206">
        <v>40</v>
      </c>
      <c r="H206">
        <v>41</v>
      </c>
      <c r="I206">
        <v>205</v>
      </c>
      <c r="J206" s="1">
        <v>40552</v>
      </c>
      <c r="K206">
        <v>1</v>
      </c>
      <c r="L206">
        <v>0</v>
      </c>
      <c r="M206">
        <v>1</v>
      </c>
      <c r="N206">
        <v>19</v>
      </c>
      <c r="O206" t="b">
        <v>0</v>
      </c>
      <c r="P206">
        <v>0</v>
      </c>
      <c r="Q206">
        <v>1</v>
      </c>
      <c r="R206">
        <v>0.16</v>
      </c>
    </row>
    <row r="207" spans="1:18" x14ac:dyDescent="0.25">
      <c r="A207">
        <v>205</v>
      </c>
      <c r="B207">
        <v>206</v>
      </c>
      <c r="C207">
        <v>0.1212</v>
      </c>
      <c r="D207">
        <v>0.46</v>
      </c>
      <c r="E207">
        <v>0.25369999999999998</v>
      </c>
      <c r="F207">
        <v>0</v>
      </c>
      <c r="G207">
        <v>38</v>
      </c>
      <c r="H207">
        <v>38</v>
      </c>
      <c r="I207">
        <v>206</v>
      </c>
      <c r="J207" s="1">
        <v>40552</v>
      </c>
      <c r="K207">
        <v>1</v>
      </c>
      <c r="L207">
        <v>0</v>
      </c>
      <c r="M207">
        <v>1</v>
      </c>
      <c r="N207">
        <v>20</v>
      </c>
      <c r="O207" t="b">
        <v>0</v>
      </c>
      <c r="P207">
        <v>0</v>
      </c>
      <c r="Q207">
        <v>1</v>
      </c>
      <c r="R207">
        <v>0.14000000000000001</v>
      </c>
    </row>
    <row r="208" spans="1:18" x14ac:dyDescent="0.25">
      <c r="A208">
        <v>206</v>
      </c>
      <c r="B208">
        <v>207</v>
      </c>
      <c r="C208">
        <v>0.1061</v>
      </c>
      <c r="D208">
        <v>0.46</v>
      </c>
      <c r="E208">
        <v>0.41789999999999999</v>
      </c>
      <c r="F208">
        <v>1</v>
      </c>
      <c r="G208">
        <v>19</v>
      </c>
      <c r="H208">
        <v>20</v>
      </c>
      <c r="I208">
        <v>207</v>
      </c>
      <c r="J208" s="1">
        <v>40552</v>
      </c>
      <c r="K208">
        <v>1</v>
      </c>
      <c r="L208">
        <v>0</v>
      </c>
      <c r="M208">
        <v>1</v>
      </c>
      <c r="N208">
        <v>21</v>
      </c>
      <c r="O208" t="b">
        <v>0</v>
      </c>
      <c r="P208">
        <v>0</v>
      </c>
      <c r="Q208">
        <v>1</v>
      </c>
      <c r="R208">
        <v>0.14000000000000001</v>
      </c>
    </row>
    <row r="209" spans="1:18" x14ac:dyDescent="0.25">
      <c r="A209">
        <v>207</v>
      </c>
      <c r="B209">
        <v>208</v>
      </c>
      <c r="C209">
        <v>0.1212</v>
      </c>
      <c r="D209">
        <v>0.46</v>
      </c>
      <c r="E209">
        <v>0.29849999999999999</v>
      </c>
      <c r="F209">
        <v>5</v>
      </c>
      <c r="G209">
        <v>10</v>
      </c>
      <c r="H209">
        <v>15</v>
      </c>
      <c r="I209">
        <v>208</v>
      </c>
      <c r="J209" s="1">
        <v>40552</v>
      </c>
      <c r="K209">
        <v>1</v>
      </c>
      <c r="L209">
        <v>0</v>
      </c>
      <c r="M209">
        <v>1</v>
      </c>
      <c r="N209">
        <v>22</v>
      </c>
      <c r="O209" t="b">
        <v>0</v>
      </c>
      <c r="P209">
        <v>0</v>
      </c>
      <c r="Q209">
        <v>1</v>
      </c>
      <c r="R209">
        <v>0.14000000000000001</v>
      </c>
    </row>
    <row r="210" spans="1:18" x14ac:dyDescent="0.25">
      <c r="A210">
        <v>208</v>
      </c>
      <c r="B210">
        <v>209</v>
      </c>
      <c r="C210">
        <v>0.13639999999999999</v>
      </c>
      <c r="D210">
        <v>0.5</v>
      </c>
      <c r="E210">
        <v>0.19400000000000001</v>
      </c>
      <c r="F210">
        <v>0</v>
      </c>
      <c r="G210">
        <v>6</v>
      </c>
      <c r="H210">
        <v>6</v>
      </c>
      <c r="I210">
        <v>209</v>
      </c>
      <c r="J210" s="1">
        <v>40552</v>
      </c>
      <c r="K210">
        <v>1</v>
      </c>
      <c r="L210">
        <v>0</v>
      </c>
      <c r="M210">
        <v>1</v>
      </c>
      <c r="N210">
        <v>23</v>
      </c>
      <c r="O210" t="b">
        <v>0</v>
      </c>
      <c r="P210">
        <v>0</v>
      </c>
      <c r="Q210">
        <v>1</v>
      </c>
      <c r="R210">
        <v>0.12</v>
      </c>
    </row>
    <row r="211" spans="1:18" x14ac:dyDescent="0.25">
      <c r="A211">
        <v>209</v>
      </c>
      <c r="B211">
        <v>210</v>
      </c>
      <c r="C211">
        <v>0.1212</v>
      </c>
      <c r="D211">
        <v>0.5</v>
      </c>
      <c r="E211">
        <v>0.28360000000000002</v>
      </c>
      <c r="F211">
        <v>2</v>
      </c>
      <c r="G211">
        <v>3</v>
      </c>
      <c r="H211">
        <v>5</v>
      </c>
      <c r="I211">
        <v>210</v>
      </c>
      <c r="J211" s="1">
        <v>40553</v>
      </c>
      <c r="K211">
        <v>1</v>
      </c>
      <c r="L211">
        <v>0</v>
      </c>
      <c r="M211">
        <v>1</v>
      </c>
      <c r="N211">
        <v>0</v>
      </c>
      <c r="O211" t="b">
        <v>0</v>
      </c>
      <c r="P211">
        <v>1</v>
      </c>
      <c r="Q211">
        <v>1</v>
      </c>
      <c r="R211">
        <v>0.12</v>
      </c>
    </row>
    <row r="212" spans="1:18" x14ac:dyDescent="0.25">
      <c r="A212">
        <v>210</v>
      </c>
      <c r="B212">
        <v>211</v>
      </c>
      <c r="C212">
        <v>0.1212</v>
      </c>
      <c r="D212">
        <v>0.5</v>
      </c>
      <c r="E212">
        <v>0.28360000000000002</v>
      </c>
      <c r="F212">
        <v>1</v>
      </c>
      <c r="G212">
        <v>0</v>
      </c>
      <c r="H212">
        <v>1</v>
      </c>
      <c r="I212">
        <v>211</v>
      </c>
      <c r="J212" s="1">
        <v>40553</v>
      </c>
      <c r="K212">
        <v>1</v>
      </c>
      <c r="L212">
        <v>0</v>
      </c>
      <c r="M212">
        <v>1</v>
      </c>
      <c r="N212">
        <v>1</v>
      </c>
      <c r="O212" t="b">
        <v>0</v>
      </c>
      <c r="P212">
        <v>1</v>
      </c>
      <c r="Q212">
        <v>1</v>
      </c>
      <c r="R212">
        <v>0.12</v>
      </c>
    </row>
    <row r="213" spans="1:18" x14ac:dyDescent="0.25">
      <c r="A213">
        <v>211</v>
      </c>
      <c r="B213">
        <v>212</v>
      </c>
      <c r="C213">
        <v>0.1212</v>
      </c>
      <c r="D213">
        <v>0.5</v>
      </c>
      <c r="E213">
        <v>0.22389999999999999</v>
      </c>
      <c r="F213">
        <v>0</v>
      </c>
      <c r="G213">
        <v>3</v>
      </c>
      <c r="H213">
        <v>3</v>
      </c>
      <c r="I213">
        <v>212</v>
      </c>
      <c r="J213" s="1">
        <v>40553</v>
      </c>
      <c r="K213">
        <v>1</v>
      </c>
      <c r="L213">
        <v>0</v>
      </c>
      <c r="M213">
        <v>1</v>
      </c>
      <c r="N213">
        <v>2</v>
      </c>
      <c r="O213" t="b">
        <v>0</v>
      </c>
      <c r="P213">
        <v>1</v>
      </c>
      <c r="Q213">
        <v>1</v>
      </c>
      <c r="R213">
        <v>0.12</v>
      </c>
    </row>
    <row r="214" spans="1:18" x14ac:dyDescent="0.25">
      <c r="A214">
        <v>212</v>
      </c>
      <c r="B214">
        <v>213</v>
      </c>
      <c r="C214">
        <v>0.1212</v>
      </c>
      <c r="D214">
        <v>0.5</v>
      </c>
      <c r="E214">
        <v>0.22389999999999999</v>
      </c>
      <c r="F214">
        <v>0</v>
      </c>
      <c r="G214">
        <v>1</v>
      </c>
      <c r="H214">
        <v>1</v>
      </c>
      <c r="I214">
        <v>213</v>
      </c>
      <c r="J214" s="1">
        <v>40553</v>
      </c>
      <c r="K214">
        <v>1</v>
      </c>
      <c r="L214">
        <v>0</v>
      </c>
      <c r="M214">
        <v>1</v>
      </c>
      <c r="N214">
        <v>3</v>
      </c>
      <c r="O214" t="b">
        <v>0</v>
      </c>
      <c r="P214">
        <v>1</v>
      </c>
      <c r="Q214">
        <v>1</v>
      </c>
      <c r="R214">
        <v>0.12</v>
      </c>
    </row>
    <row r="215" spans="1:18" x14ac:dyDescent="0.25">
      <c r="A215">
        <v>213</v>
      </c>
      <c r="B215">
        <v>214</v>
      </c>
      <c r="C215">
        <v>0.1212</v>
      </c>
      <c r="D215">
        <v>0.54</v>
      </c>
      <c r="E215">
        <v>0.1343</v>
      </c>
      <c r="F215">
        <v>1</v>
      </c>
      <c r="G215">
        <v>2</v>
      </c>
      <c r="H215">
        <v>3</v>
      </c>
      <c r="I215">
        <v>214</v>
      </c>
      <c r="J215" s="1">
        <v>40553</v>
      </c>
      <c r="K215">
        <v>1</v>
      </c>
      <c r="L215">
        <v>0</v>
      </c>
      <c r="M215">
        <v>1</v>
      </c>
      <c r="N215">
        <v>4</v>
      </c>
      <c r="O215" t="b">
        <v>0</v>
      </c>
      <c r="P215">
        <v>1</v>
      </c>
      <c r="Q215">
        <v>1</v>
      </c>
      <c r="R215">
        <v>0.1</v>
      </c>
    </row>
    <row r="216" spans="1:18" x14ac:dyDescent="0.25">
      <c r="A216">
        <v>214</v>
      </c>
      <c r="B216">
        <v>215</v>
      </c>
      <c r="C216">
        <v>0.1061</v>
      </c>
      <c r="D216">
        <v>0.54</v>
      </c>
      <c r="E216">
        <v>0.25369999999999998</v>
      </c>
      <c r="F216">
        <v>0</v>
      </c>
      <c r="G216">
        <v>3</v>
      </c>
      <c r="H216">
        <v>3</v>
      </c>
      <c r="I216">
        <v>215</v>
      </c>
      <c r="J216" s="1">
        <v>40553</v>
      </c>
      <c r="K216">
        <v>1</v>
      </c>
      <c r="L216">
        <v>0</v>
      </c>
      <c r="M216">
        <v>1</v>
      </c>
      <c r="N216">
        <v>5</v>
      </c>
      <c r="O216" t="b">
        <v>0</v>
      </c>
      <c r="P216">
        <v>1</v>
      </c>
      <c r="Q216">
        <v>1</v>
      </c>
      <c r="R216">
        <v>0.1</v>
      </c>
    </row>
    <row r="217" spans="1:18" x14ac:dyDescent="0.25">
      <c r="A217">
        <v>215</v>
      </c>
      <c r="B217">
        <v>216</v>
      </c>
      <c r="C217">
        <v>0.1212</v>
      </c>
      <c r="D217">
        <v>0.5</v>
      </c>
      <c r="E217">
        <v>0.28360000000000002</v>
      </c>
      <c r="F217">
        <v>0</v>
      </c>
      <c r="G217">
        <v>31</v>
      </c>
      <c r="H217">
        <v>31</v>
      </c>
      <c r="I217">
        <v>216</v>
      </c>
      <c r="J217" s="1">
        <v>40553</v>
      </c>
      <c r="K217">
        <v>1</v>
      </c>
      <c r="L217">
        <v>0</v>
      </c>
      <c r="M217">
        <v>1</v>
      </c>
      <c r="N217">
        <v>6</v>
      </c>
      <c r="O217" t="b">
        <v>0</v>
      </c>
      <c r="P217">
        <v>1</v>
      </c>
      <c r="Q217">
        <v>1</v>
      </c>
      <c r="R217">
        <v>0.12</v>
      </c>
    </row>
    <row r="218" spans="1:18" x14ac:dyDescent="0.25">
      <c r="A218">
        <v>216</v>
      </c>
      <c r="B218">
        <v>217</v>
      </c>
      <c r="C218">
        <v>0.1212</v>
      </c>
      <c r="D218">
        <v>0.5</v>
      </c>
      <c r="E218">
        <v>0.22389999999999999</v>
      </c>
      <c r="F218">
        <v>2</v>
      </c>
      <c r="G218">
        <v>75</v>
      </c>
      <c r="H218">
        <v>77</v>
      </c>
      <c r="I218">
        <v>217</v>
      </c>
      <c r="J218" s="1">
        <v>40553</v>
      </c>
      <c r="K218">
        <v>1</v>
      </c>
      <c r="L218">
        <v>0</v>
      </c>
      <c r="M218">
        <v>1</v>
      </c>
      <c r="N218">
        <v>7</v>
      </c>
      <c r="O218" t="b">
        <v>0</v>
      </c>
      <c r="P218">
        <v>1</v>
      </c>
      <c r="Q218">
        <v>1</v>
      </c>
      <c r="R218">
        <v>0.12</v>
      </c>
    </row>
    <row r="219" spans="1:18" x14ac:dyDescent="0.25">
      <c r="A219">
        <v>217</v>
      </c>
      <c r="B219">
        <v>218</v>
      </c>
      <c r="C219">
        <v>0.1212</v>
      </c>
      <c r="D219">
        <v>0.5</v>
      </c>
      <c r="E219">
        <v>0.28360000000000002</v>
      </c>
      <c r="F219">
        <v>4</v>
      </c>
      <c r="G219">
        <v>184</v>
      </c>
      <c r="H219">
        <v>188</v>
      </c>
      <c r="I219">
        <v>218</v>
      </c>
      <c r="J219" s="1">
        <v>40553</v>
      </c>
      <c r="K219">
        <v>1</v>
      </c>
      <c r="L219">
        <v>0</v>
      </c>
      <c r="M219">
        <v>1</v>
      </c>
      <c r="N219">
        <v>8</v>
      </c>
      <c r="O219" t="b">
        <v>0</v>
      </c>
      <c r="P219">
        <v>1</v>
      </c>
      <c r="Q219">
        <v>2</v>
      </c>
      <c r="R219">
        <v>0.12</v>
      </c>
    </row>
    <row r="220" spans="1:18" x14ac:dyDescent="0.25">
      <c r="A220">
        <v>218</v>
      </c>
      <c r="B220">
        <v>219</v>
      </c>
      <c r="C220">
        <v>0.1212</v>
      </c>
      <c r="D220">
        <v>0.5</v>
      </c>
      <c r="E220">
        <v>0.25369999999999998</v>
      </c>
      <c r="F220">
        <v>2</v>
      </c>
      <c r="G220">
        <v>92</v>
      </c>
      <c r="H220">
        <v>94</v>
      </c>
      <c r="I220">
        <v>219</v>
      </c>
      <c r="J220" s="1">
        <v>40553</v>
      </c>
      <c r="K220">
        <v>1</v>
      </c>
      <c r="L220">
        <v>0</v>
      </c>
      <c r="M220">
        <v>1</v>
      </c>
      <c r="N220">
        <v>9</v>
      </c>
      <c r="O220" t="b">
        <v>0</v>
      </c>
      <c r="P220">
        <v>1</v>
      </c>
      <c r="Q220">
        <v>2</v>
      </c>
      <c r="R220">
        <v>0.14000000000000001</v>
      </c>
    </row>
    <row r="221" spans="1:18" x14ac:dyDescent="0.25">
      <c r="A221">
        <v>219</v>
      </c>
      <c r="B221">
        <v>220</v>
      </c>
      <c r="C221">
        <v>0.1212</v>
      </c>
      <c r="D221">
        <v>0.5</v>
      </c>
      <c r="E221">
        <v>0.29849999999999999</v>
      </c>
      <c r="F221">
        <v>0</v>
      </c>
      <c r="G221">
        <v>31</v>
      </c>
      <c r="H221">
        <v>31</v>
      </c>
      <c r="I221">
        <v>220</v>
      </c>
      <c r="J221" s="1">
        <v>40553</v>
      </c>
      <c r="K221">
        <v>1</v>
      </c>
      <c r="L221">
        <v>0</v>
      </c>
      <c r="M221">
        <v>1</v>
      </c>
      <c r="N221">
        <v>10</v>
      </c>
      <c r="O221" t="b">
        <v>0</v>
      </c>
      <c r="P221">
        <v>1</v>
      </c>
      <c r="Q221">
        <v>2</v>
      </c>
      <c r="R221">
        <v>0.14000000000000001</v>
      </c>
    </row>
    <row r="222" spans="1:18" x14ac:dyDescent="0.25">
      <c r="A222">
        <v>220</v>
      </c>
      <c r="B222">
        <v>221</v>
      </c>
      <c r="C222">
        <v>0.13639999999999999</v>
      </c>
      <c r="D222">
        <v>0.47</v>
      </c>
      <c r="E222">
        <v>0.28360000000000002</v>
      </c>
      <c r="F222">
        <v>2</v>
      </c>
      <c r="G222">
        <v>28</v>
      </c>
      <c r="H222">
        <v>30</v>
      </c>
      <c r="I222">
        <v>221</v>
      </c>
      <c r="J222" s="1">
        <v>40553</v>
      </c>
      <c r="K222">
        <v>1</v>
      </c>
      <c r="L222">
        <v>0</v>
      </c>
      <c r="M222">
        <v>1</v>
      </c>
      <c r="N222">
        <v>11</v>
      </c>
      <c r="O222" t="b">
        <v>0</v>
      </c>
      <c r="P222">
        <v>1</v>
      </c>
      <c r="Q222">
        <v>2</v>
      </c>
      <c r="R222">
        <v>0.16</v>
      </c>
    </row>
    <row r="223" spans="1:18" x14ac:dyDescent="0.25">
      <c r="A223">
        <v>221</v>
      </c>
      <c r="B223">
        <v>222</v>
      </c>
      <c r="C223">
        <v>0.18179999999999999</v>
      </c>
      <c r="D223">
        <v>0.4</v>
      </c>
      <c r="E223">
        <v>0.28360000000000002</v>
      </c>
      <c r="F223">
        <v>5</v>
      </c>
      <c r="G223">
        <v>47</v>
      </c>
      <c r="H223">
        <v>52</v>
      </c>
      <c r="I223">
        <v>222</v>
      </c>
      <c r="J223" s="1">
        <v>40553</v>
      </c>
      <c r="K223">
        <v>1</v>
      </c>
      <c r="L223">
        <v>0</v>
      </c>
      <c r="M223">
        <v>1</v>
      </c>
      <c r="N223">
        <v>12</v>
      </c>
      <c r="O223" t="b">
        <v>0</v>
      </c>
      <c r="P223">
        <v>1</v>
      </c>
      <c r="Q223">
        <v>2</v>
      </c>
      <c r="R223">
        <v>0.2</v>
      </c>
    </row>
    <row r="224" spans="1:18" x14ac:dyDescent="0.25">
      <c r="A224">
        <v>222</v>
      </c>
      <c r="B224">
        <v>223</v>
      </c>
      <c r="C224">
        <v>0.18179999999999999</v>
      </c>
      <c r="D224">
        <v>0.4</v>
      </c>
      <c r="E224">
        <v>0.28360000000000002</v>
      </c>
      <c r="F224">
        <v>4</v>
      </c>
      <c r="G224">
        <v>50</v>
      </c>
      <c r="H224">
        <v>54</v>
      </c>
      <c r="I224">
        <v>223</v>
      </c>
      <c r="J224" s="1">
        <v>40553</v>
      </c>
      <c r="K224">
        <v>1</v>
      </c>
      <c r="L224">
        <v>0</v>
      </c>
      <c r="M224">
        <v>1</v>
      </c>
      <c r="N224">
        <v>13</v>
      </c>
      <c r="O224" t="b">
        <v>0</v>
      </c>
      <c r="P224">
        <v>1</v>
      </c>
      <c r="Q224">
        <v>2</v>
      </c>
      <c r="R224">
        <v>0.2</v>
      </c>
    </row>
    <row r="225" spans="1:18" x14ac:dyDescent="0.25">
      <c r="A225">
        <v>223</v>
      </c>
      <c r="B225">
        <v>224</v>
      </c>
      <c r="C225">
        <v>0.19700000000000001</v>
      </c>
      <c r="D225">
        <v>0.4</v>
      </c>
      <c r="E225">
        <v>0.22389999999999999</v>
      </c>
      <c r="F225">
        <v>0</v>
      </c>
      <c r="G225">
        <v>47</v>
      </c>
      <c r="H225">
        <v>47</v>
      </c>
      <c r="I225">
        <v>224</v>
      </c>
      <c r="J225" s="1">
        <v>40553</v>
      </c>
      <c r="K225">
        <v>1</v>
      </c>
      <c r="L225">
        <v>0</v>
      </c>
      <c r="M225">
        <v>1</v>
      </c>
      <c r="N225">
        <v>14</v>
      </c>
      <c r="O225" t="b">
        <v>0</v>
      </c>
      <c r="P225">
        <v>1</v>
      </c>
      <c r="Q225">
        <v>2</v>
      </c>
      <c r="R225">
        <v>0.2</v>
      </c>
    </row>
    <row r="226" spans="1:18" x14ac:dyDescent="0.25">
      <c r="A226">
        <v>224</v>
      </c>
      <c r="B226">
        <v>225</v>
      </c>
      <c r="C226">
        <v>0.19700000000000001</v>
      </c>
      <c r="D226">
        <v>0.4</v>
      </c>
      <c r="E226">
        <v>0.22389999999999999</v>
      </c>
      <c r="F226">
        <v>2</v>
      </c>
      <c r="G226">
        <v>43</v>
      </c>
      <c r="H226">
        <v>45</v>
      </c>
      <c r="I226">
        <v>225</v>
      </c>
      <c r="J226" s="1">
        <v>40553</v>
      </c>
      <c r="K226">
        <v>1</v>
      </c>
      <c r="L226">
        <v>0</v>
      </c>
      <c r="M226">
        <v>1</v>
      </c>
      <c r="N226">
        <v>15</v>
      </c>
      <c r="O226" t="b">
        <v>0</v>
      </c>
      <c r="P226">
        <v>1</v>
      </c>
      <c r="Q226">
        <v>2</v>
      </c>
      <c r="R226">
        <v>0.2</v>
      </c>
    </row>
    <row r="227" spans="1:18" x14ac:dyDescent="0.25">
      <c r="A227">
        <v>225</v>
      </c>
      <c r="B227">
        <v>226</v>
      </c>
      <c r="C227">
        <v>0.21210000000000001</v>
      </c>
      <c r="D227">
        <v>0.4</v>
      </c>
      <c r="E227">
        <v>0.1343</v>
      </c>
      <c r="F227">
        <v>4</v>
      </c>
      <c r="G227">
        <v>70</v>
      </c>
      <c r="H227">
        <v>74</v>
      </c>
      <c r="I227">
        <v>226</v>
      </c>
      <c r="J227" s="1">
        <v>40553</v>
      </c>
      <c r="K227">
        <v>1</v>
      </c>
      <c r="L227">
        <v>0</v>
      </c>
      <c r="M227">
        <v>1</v>
      </c>
      <c r="N227">
        <v>16</v>
      </c>
      <c r="O227" t="b">
        <v>0</v>
      </c>
      <c r="P227">
        <v>1</v>
      </c>
      <c r="Q227">
        <v>1</v>
      </c>
      <c r="R227">
        <v>0.2</v>
      </c>
    </row>
    <row r="228" spans="1:18" x14ac:dyDescent="0.25">
      <c r="A228">
        <v>226</v>
      </c>
      <c r="B228">
        <v>227</v>
      </c>
      <c r="C228">
        <v>0.2273</v>
      </c>
      <c r="D228">
        <v>0.4</v>
      </c>
      <c r="E228">
        <v>0.1045</v>
      </c>
      <c r="F228">
        <v>4</v>
      </c>
      <c r="G228">
        <v>174</v>
      </c>
      <c r="H228">
        <v>178</v>
      </c>
      <c r="I228">
        <v>227</v>
      </c>
      <c r="J228" s="1">
        <v>40553</v>
      </c>
      <c r="K228">
        <v>1</v>
      </c>
      <c r="L228">
        <v>0</v>
      </c>
      <c r="M228">
        <v>1</v>
      </c>
      <c r="N228">
        <v>17</v>
      </c>
      <c r="O228" t="b">
        <v>0</v>
      </c>
      <c r="P228">
        <v>1</v>
      </c>
      <c r="Q228">
        <v>1</v>
      </c>
      <c r="R228">
        <v>0.2</v>
      </c>
    </row>
    <row r="229" spans="1:18" x14ac:dyDescent="0.25">
      <c r="A229">
        <v>227</v>
      </c>
      <c r="B229">
        <v>228</v>
      </c>
      <c r="C229">
        <v>0.19700000000000001</v>
      </c>
      <c r="D229">
        <v>0.4</v>
      </c>
      <c r="E229">
        <v>0.22389999999999999</v>
      </c>
      <c r="F229">
        <v>1</v>
      </c>
      <c r="G229">
        <v>154</v>
      </c>
      <c r="H229">
        <v>155</v>
      </c>
      <c r="I229">
        <v>228</v>
      </c>
      <c r="J229" s="1">
        <v>40553</v>
      </c>
      <c r="K229">
        <v>1</v>
      </c>
      <c r="L229">
        <v>0</v>
      </c>
      <c r="M229">
        <v>1</v>
      </c>
      <c r="N229">
        <v>18</v>
      </c>
      <c r="O229" t="b">
        <v>0</v>
      </c>
      <c r="P229">
        <v>1</v>
      </c>
      <c r="Q229">
        <v>1</v>
      </c>
      <c r="R229">
        <v>0.2</v>
      </c>
    </row>
    <row r="230" spans="1:18" x14ac:dyDescent="0.25">
      <c r="A230">
        <v>228</v>
      </c>
      <c r="B230">
        <v>229</v>
      </c>
      <c r="C230">
        <v>0.16669999999999999</v>
      </c>
      <c r="D230">
        <v>0.47</v>
      </c>
      <c r="E230">
        <v>0.16420000000000001</v>
      </c>
      <c r="F230">
        <v>3</v>
      </c>
      <c r="G230">
        <v>92</v>
      </c>
      <c r="H230">
        <v>95</v>
      </c>
      <c r="I230">
        <v>229</v>
      </c>
      <c r="J230" s="1">
        <v>40553</v>
      </c>
      <c r="K230">
        <v>1</v>
      </c>
      <c r="L230">
        <v>0</v>
      </c>
      <c r="M230">
        <v>1</v>
      </c>
      <c r="N230">
        <v>19</v>
      </c>
      <c r="O230" t="b">
        <v>0</v>
      </c>
      <c r="P230">
        <v>1</v>
      </c>
      <c r="Q230">
        <v>1</v>
      </c>
      <c r="R230">
        <v>0.16</v>
      </c>
    </row>
    <row r="231" spans="1:18" x14ac:dyDescent="0.25">
      <c r="A231">
        <v>229</v>
      </c>
      <c r="B231">
        <v>230</v>
      </c>
      <c r="C231">
        <v>0.16669999999999999</v>
      </c>
      <c r="D231">
        <v>0.5</v>
      </c>
      <c r="E231">
        <v>0.16420000000000001</v>
      </c>
      <c r="F231">
        <v>1</v>
      </c>
      <c r="G231">
        <v>73</v>
      </c>
      <c r="H231">
        <v>74</v>
      </c>
      <c r="I231">
        <v>230</v>
      </c>
      <c r="J231" s="1">
        <v>40553</v>
      </c>
      <c r="K231">
        <v>1</v>
      </c>
      <c r="L231">
        <v>0</v>
      </c>
      <c r="M231">
        <v>1</v>
      </c>
      <c r="N231">
        <v>20</v>
      </c>
      <c r="O231" t="b">
        <v>0</v>
      </c>
      <c r="P231">
        <v>1</v>
      </c>
      <c r="Q231">
        <v>1</v>
      </c>
      <c r="R231">
        <v>0.16</v>
      </c>
    </row>
    <row r="232" spans="1:18" x14ac:dyDescent="0.25">
      <c r="A232">
        <v>230</v>
      </c>
      <c r="B232">
        <v>231</v>
      </c>
      <c r="C232">
        <v>0.13639999999999999</v>
      </c>
      <c r="D232">
        <v>0.59</v>
      </c>
      <c r="E232">
        <v>0.19400000000000001</v>
      </c>
      <c r="F232">
        <v>1</v>
      </c>
      <c r="G232">
        <v>37</v>
      </c>
      <c r="H232">
        <v>38</v>
      </c>
      <c r="I232">
        <v>231</v>
      </c>
      <c r="J232" s="1">
        <v>40553</v>
      </c>
      <c r="K232">
        <v>1</v>
      </c>
      <c r="L232">
        <v>0</v>
      </c>
      <c r="M232">
        <v>1</v>
      </c>
      <c r="N232">
        <v>21</v>
      </c>
      <c r="O232" t="b">
        <v>0</v>
      </c>
      <c r="P232">
        <v>1</v>
      </c>
      <c r="Q232">
        <v>1</v>
      </c>
      <c r="R232">
        <v>0.14000000000000001</v>
      </c>
    </row>
    <row r="233" spans="1:18" x14ac:dyDescent="0.25">
      <c r="A233">
        <v>231</v>
      </c>
      <c r="B233">
        <v>232</v>
      </c>
      <c r="C233">
        <v>0.1515</v>
      </c>
      <c r="D233">
        <v>0.59</v>
      </c>
      <c r="E233">
        <v>0.16420000000000001</v>
      </c>
      <c r="F233">
        <v>2</v>
      </c>
      <c r="G233">
        <v>22</v>
      </c>
      <c r="H233">
        <v>24</v>
      </c>
      <c r="I233">
        <v>232</v>
      </c>
      <c r="J233" s="1">
        <v>40553</v>
      </c>
      <c r="K233">
        <v>1</v>
      </c>
      <c r="L233">
        <v>0</v>
      </c>
      <c r="M233">
        <v>1</v>
      </c>
      <c r="N233">
        <v>22</v>
      </c>
      <c r="O233" t="b">
        <v>0</v>
      </c>
      <c r="P233">
        <v>1</v>
      </c>
      <c r="Q233">
        <v>1</v>
      </c>
      <c r="R233">
        <v>0.14000000000000001</v>
      </c>
    </row>
    <row r="234" spans="1:18" x14ac:dyDescent="0.25">
      <c r="A234">
        <v>232</v>
      </c>
      <c r="B234">
        <v>233</v>
      </c>
      <c r="C234">
        <v>0.1515</v>
      </c>
      <c r="D234">
        <v>0.59</v>
      </c>
      <c r="E234">
        <v>0.16420000000000001</v>
      </c>
      <c r="F234">
        <v>0</v>
      </c>
      <c r="G234">
        <v>18</v>
      </c>
      <c r="H234">
        <v>18</v>
      </c>
      <c r="I234">
        <v>233</v>
      </c>
      <c r="J234" s="1">
        <v>40553</v>
      </c>
      <c r="K234">
        <v>1</v>
      </c>
      <c r="L234">
        <v>0</v>
      </c>
      <c r="M234">
        <v>1</v>
      </c>
      <c r="N234">
        <v>23</v>
      </c>
      <c r="O234" t="b">
        <v>0</v>
      </c>
      <c r="P234">
        <v>1</v>
      </c>
      <c r="Q234">
        <v>1</v>
      </c>
      <c r="R234">
        <v>0.14000000000000001</v>
      </c>
    </row>
    <row r="235" spans="1:18" x14ac:dyDescent="0.25">
      <c r="A235">
        <v>233</v>
      </c>
      <c r="B235">
        <v>234</v>
      </c>
      <c r="C235">
        <v>0.16669999999999999</v>
      </c>
      <c r="D235">
        <v>0.59</v>
      </c>
      <c r="E235">
        <v>0.1045</v>
      </c>
      <c r="F235">
        <v>2</v>
      </c>
      <c r="G235">
        <v>10</v>
      </c>
      <c r="H235">
        <v>12</v>
      </c>
      <c r="I235">
        <v>234</v>
      </c>
      <c r="J235" s="1">
        <v>40554</v>
      </c>
      <c r="K235">
        <v>1</v>
      </c>
      <c r="L235">
        <v>0</v>
      </c>
      <c r="M235">
        <v>1</v>
      </c>
      <c r="N235">
        <v>0</v>
      </c>
      <c r="O235" t="b">
        <v>0</v>
      </c>
      <c r="P235">
        <v>2</v>
      </c>
      <c r="Q235">
        <v>1</v>
      </c>
      <c r="R235">
        <v>0.14000000000000001</v>
      </c>
    </row>
    <row r="236" spans="1:18" x14ac:dyDescent="0.25">
      <c r="A236">
        <v>234</v>
      </c>
      <c r="B236">
        <v>235</v>
      </c>
      <c r="C236">
        <v>0.1515</v>
      </c>
      <c r="D236">
        <v>0.59</v>
      </c>
      <c r="E236">
        <v>0.16420000000000001</v>
      </c>
      <c r="F236">
        <v>0</v>
      </c>
      <c r="G236">
        <v>3</v>
      </c>
      <c r="H236">
        <v>3</v>
      </c>
      <c r="I236">
        <v>235</v>
      </c>
      <c r="J236" s="1">
        <v>40554</v>
      </c>
      <c r="K236">
        <v>1</v>
      </c>
      <c r="L236">
        <v>0</v>
      </c>
      <c r="M236">
        <v>1</v>
      </c>
      <c r="N236">
        <v>1</v>
      </c>
      <c r="O236" t="b">
        <v>0</v>
      </c>
      <c r="P236">
        <v>2</v>
      </c>
      <c r="Q236">
        <v>1</v>
      </c>
      <c r="R236">
        <v>0.14000000000000001</v>
      </c>
    </row>
    <row r="237" spans="1:18" x14ac:dyDescent="0.25">
      <c r="A237">
        <v>235</v>
      </c>
      <c r="B237">
        <v>236</v>
      </c>
      <c r="C237">
        <v>0.1515</v>
      </c>
      <c r="D237">
        <v>0.55000000000000004</v>
      </c>
      <c r="E237">
        <v>0.19400000000000001</v>
      </c>
      <c r="F237">
        <v>0</v>
      </c>
      <c r="G237">
        <v>3</v>
      </c>
      <c r="H237">
        <v>3</v>
      </c>
      <c r="I237">
        <v>236</v>
      </c>
      <c r="J237" s="1">
        <v>40554</v>
      </c>
      <c r="K237">
        <v>1</v>
      </c>
      <c r="L237">
        <v>0</v>
      </c>
      <c r="M237">
        <v>1</v>
      </c>
      <c r="N237">
        <v>2</v>
      </c>
      <c r="O237" t="b">
        <v>0</v>
      </c>
      <c r="P237">
        <v>2</v>
      </c>
      <c r="Q237">
        <v>2</v>
      </c>
      <c r="R237">
        <v>0.16</v>
      </c>
    </row>
    <row r="238" spans="1:18" x14ac:dyDescent="0.25">
      <c r="A238">
        <v>236</v>
      </c>
      <c r="B238">
        <v>237</v>
      </c>
      <c r="C238">
        <v>0.18179999999999999</v>
      </c>
      <c r="D238">
        <v>0.55000000000000004</v>
      </c>
      <c r="E238">
        <v>0.1343</v>
      </c>
      <c r="F238">
        <v>0</v>
      </c>
      <c r="G238">
        <v>6</v>
      </c>
      <c r="H238">
        <v>6</v>
      </c>
      <c r="I238">
        <v>237</v>
      </c>
      <c r="J238" s="1">
        <v>40554</v>
      </c>
      <c r="K238">
        <v>1</v>
      </c>
      <c r="L238">
        <v>0</v>
      </c>
      <c r="M238">
        <v>1</v>
      </c>
      <c r="N238">
        <v>5</v>
      </c>
      <c r="O238" t="b">
        <v>0</v>
      </c>
      <c r="P238">
        <v>2</v>
      </c>
      <c r="Q238">
        <v>2</v>
      </c>
      <c r="R238">
        <v>0.16</v>
      </c>
    </row>
    <row r="239" spans="1:18" x14ac:dyDescent="0.25">
      <c r="A239">
        <v>237</v>
      </c>
      <c r="B239">
        <v>238</v>
      </c>
      <c r="C239">
        <v>0.18179999999999999</v>
      </c>
      <c r="D239">
        <v>0.55000000000000004</v>
      </c>
      <c r="E239">
        <v>0.1343</v>
      </c>
      <c r="F239">
        <v>0</v>
      </c>
      <c r="G239">
        <v>27</v>
      </c>
      <c r="H239">
        <v>27</v>
      </c>
      <c r="I239">
        <v>238</v>
      </c>
      <c r="J239" s="1">
        <v>40554</v>
      </c>
      <c r="K239">
        <v>1</v>
      </c>
      <c r="L239">
        <v>0</v>
      </c>
      <c r="M239">
        <v>1</v>
      </c>
      <c r="N239">
        <v>6</v>
      </c>
      <c r="O239" t="b">
        <v>0</v>
      </c>
      <c r="P239">
        <v>2</v>
      </c>
      <c r="Q239">
        <v>2</v>
      </c>
      <c r="R239">
        <v>0.16</v>
      </c>
    </row>
    <row r="240" spans="1:18" x14ac:dyDescent="0.25">
      <c r="A240">
        <v>238</v>
      </c>
      <c r="B240">
        <v>239</v>
      </c>
      <c r="C240">
        <v>0.2273</v>
      </c>
      <c r="D240">
        <v>0.55000000000000004</v>
      </c>
      <c r="E240">
        <v>0</v>
      </c>
      <c r="F240">
        <v>2</v>
      </c>
      <c r="G240">
        <v>97</v>
      </c>
      <c r="H240">
        <v>99</v>
      </c>
      <c r="I240">
        <v>239</v>
      </c>
      <c r="J240" s="1">
        <v>40554</v>
      </c>
      <c r="K240">
        <v>1</v>
      </c>
      <c r="L240">
        <v>0</v>
      </c>
      <c r="M240">
        <v>1</v>
      </c>
      <c r="N240">
        <v>7</v>
      </c>
      <c r="O240" t="b">
        <v>0</v>
      </c>
      <c r="P240">
        <v>2</v>
      </c>
      <c r="Q240">
        <v>2</v>
      </c>
      <c r="R240">
        <v>0.16</v>
      </c>
    </row>
    <row r="241" spans="1:18" x14ac:dyDescent="0.25">
      <c r="A241">
        <v>239</v>
      </c>
      <c r="B241">
        <v>240</v>
      </c>
      <c r="C241">
        <v>0.21210000000000001</v>
      </c>
      <c r="D241">
        <v>0.51</v>
      </c>
      <c r="E241">
        <v>8.9599999999999999E-2</v>
      </c>
      <c r="F241">
        <v>3</v>
      </c>
      <c r="G241">
        <v>214</v>
      </c>
      <c r="H241">
        <v>217</v>
      </c>
      <c r="I241">
        <v>240</v>
      </c>
      <c r="J241" s="1">
        <v>40554</v>
      </c>
      <c r="K241">
        <v>1</v>
      </c>
      <c r="L241">
        <v>0</v>
      </c>
      <c r="M241">
        <v>1</v>
      </c>
      <c r="N241">
        <v>8</v>
      </c>
      <c r="O241" t="b">
        <v>0</v>
      </c>
      <c r="P241">
        <v>2</v>
      </c>
      <c r="Q241">
        <v>2</v>
      </c>
      <c r="R241">
        <v>0.18</v>
      </c>
    </row>
    <row r="242" spans="1:18" x14ac:dyDescent="0.25">
      <c r="A242">
        <v>240</v>
      </c>
      <c r="B242">
        <v>241</v>
      </c>
      <c r="C242">
        <v>0.19700000000000001</v>
      </c>
      <c r="D242">
        <v>0.51</v>
      </c>
      <c r="E242">
        <v>0.16420000000000001</v>
      </c>
      <c r="F242">
        <v>3</v>
      </c>
      <c r="G242">
        <v>127</v>
      </c>
      <c r="H242">
        <v>130</v>
      </c>
      <c r="I242">
        <v>241</v>
      </c>
      <c r="J242" s="1">
        <v>40554</v>
      </c>
      <c r="K242">
        <v>1</v>
      </c>
      <c r="L242">
        <v>0</v>
      </c>
      <c r="M242">
        <v>1</v>
      </c>
      <c r="N242">
        <v>9</v>
      </c>
      <c r="O242" t="b">
        <v>0</v>
      </c>
      <c r="P242">
        <v>2</v>
      </c>
      <c r="Q242">
        <v>2</v>
      </c>
      <c r="R242">
        <v>0.18</v>
      </c>
    </row>
    <row r="243" spans="1:18" x14ac:dyDescent="0.25">
      <c r="A243">
        <v>241</v>
      </c>
      <c r="B243">
        <v>242</v>
      </c>
      <c r="C243">
        <v>0.21210000000000001</v>
      </c>
      <c r="D243">
        <v>0.51</v>
      </c>
      <c r="E243">
        <v>0.16420000000000001</v>
      </c>
      <c r="F243">
        <v>3</v>
      </c>
      <c r="G243">
        <v>51</v>
      </c>
      <c r="H243">
        <v>54</v>
      </c>
      <c r="I243">
        <v>242</v>
      </c>
      <c r="J243" s="1">
        <v>40554</v>
      </c>
      <c r="K243">
        <v>1</v>
      </c>
      <c r="L243">
        <v>0</v>
      </c>
      <c r="M243">
        <v>1</v>
      </c>
      <c r="N243">
        <v>10</v>
      </c>
      <c r="O243" t="b">
        <v>0</v>
      </c>
      <c r="P243">
        <v>2</v>
      </c>
      <c r="Q243">
        <v>2</v>
      </c>
      <c r="R243">
        <v>0.2</v>
      </c>
    </row>
    <row r="244" spans="1:18" x14ac:dyDescent="0.25">
      <c r="A244">
        <v>242</v>
      </c>
      <c r="B244">
        <v>243</v>
      </c>
      <c r="C244">
        <v>0.21210000000000001</v>
      </c>
      <c r="D244">
        <v>0.47</v>
      </c>
      <c r="E244">
        <v>0.1343</v>
      </c>
      <c r="F244">
        <v>4</v>
      </c>
      <c r="G244">
        <v>31</v>
      </c>
      <c r="H244">
        <v>35</v>
      </c>
      <c r="I244">
        <v>243</v>
      </c>
      <c r="J244" s="1">
        <v>40554</v>
      </c>
      <c r="K244">
        <v>1</v>
      </c>
      <c r="L244">
        <v>0</v>
      </c>
      <c r="M244">
        <v>1</v>
      </c>
      <c r="N244">
        <v>11</v>
      </c>
      <c r="O244" t="b">
        <v>0</v>
      </c>
      <c r="P244">
        <v>2</v>
      </c>
      <c r="Q244">
        <v>2</v>
      </c>
      <c r="R244">
        <v>0.2</v>
      </c>
    </row>
    <row r="245" spans="1:18" x14ac:dyDescent="0.25">
      <c r="A245">
        <v>243</v>
      </c>
      <c r="B245">
        <v>244</v>
      </c>
      <c r="C245">
        <v>0.2273</v>
      </c>
      <c r="D245">
        <v>0.51</v>
      </c>
      <c r="E245">
        <v>0.1045</v>
      </c>
      <c r="F245">
        <v>2</v>
      </c>
      <c r="G245">
        <v>55</v>
      </c>
      <c r="H245">
        <v>57</v>
      </c>
      <c r="I245">
        <v>244</v>
      </c>
      <c r="J245" s="1">
        <v>40554</v>
      </c>
      <c r="K245">
        <v>1</v>
      </c>
      <c r="L245">
        <v>0</v>
      </c>
      <c r="M245">
        <v>1</v>
      </c>
      <c r="N245">
        <v>12</v>
      </c>
      <c r="O245" t="b">
        <v>0</v>
      </c>
      <c r="P245">
        <v>2</v>
      </c>
      <c r="Q245">
        <v>2</v>
      </c>
      <c r="R245">
        <v>0.2</v>
      </c>
    </row>
    <row r="246" spans="1:18" x14ac:dyDescent="0.25">
      <c r="A246">
        <v>244</v>
      </c>
      <c r="B246">
        <v>245</v>
      </c>
      <c r="C246">
        <v>0.2273</v>
      </c>
      <c r="D246">
        <v>0.59</v>
      </c>
      <c r="E246">
        <v>8.9599999999999999E-2</v>
      </c>
      <c r="F246">
        <v>6</v>
      </c>
      <c r="G246">
        <v>46</v>
      </c>
      <c r="H246">
        <v>52</v>
      </c>
      <c r="I246">
        <v>245</v>
      </c>
      <c r="J246" s="1">
        <v>40554</v>
      </c>
      <c r="K246">
        <v>1</v>
      </c>
      <c r="L246">
        <v>0</v>
      </c>
      <c r="M246">
        <v>1</v>
      </c>
      <c r="N246">
        <v>13</v>
      </c>
      <c r="O246" t="b">
        <v>0</v>
      </c>
      <c r="P246">
        <v>2</v>
      </c>
      <c r="Q246">
        <v>2</v>
      </c>
      <c r="R246">
        <v>0.2</v>
      </c>
    </row>
    <row r="247" spans="1:18" x14ac:dyDescent="0.25">
      <c r="A247">
        <v>245</v>
      </c>
      <c r="B247">
        <v>246</v>
      </c>
      <c r="C247">
        <v>0.2273</v>
      </c>
      <c r="D247">
        <v>0.59</v>
      </c>
      <c r="E247">
        <v>8.9599999999999999E-2</v>
      </c>
      <c r="F247">
        <v>3</v>
      </c>
      <c r="G247">
        <v>60</v>
      </c>
      <c r="H247">
        <v>63</v>
      </c>
      <c r="I247">
        <v>246</v>
      </c>
      <c r="J247" s="1">
        <v>40554</v>
      </c>
      <c r="K247">
        <v>1</v>
      </c>
      <c r="L247">
        <v>0</v>
      </c>
      <c r="M247">
        <v>1</v>
      </c>
      <c r="N247">
        <v>14</v>
      </c>
      <c r="O247" t="b">
        <v>0</v>
      </c>
      <c r="P247">
        <v>2</v>
      </c>
      <c r="Q247">
        <v>2</v>
      </c>
      <c r="R247">
        <v>0.2</v>
      </c>
    </row>
    <row r="248" spans="1:18" x14ac:dyDescent="0.25">
      <c r="A248">
        <v>246</v>
      </c>
      <c r="B248">
        <v>247</v>
      </c>
      <c r="C248">
        <v>0.19700000000000001</v>
      </c>
      <c r="D248">
        <v>0.8</v>
      </c>
      <c r="E248">
        <v>8.9599999999999999E-2</v>
      </c>
      <c r="F248">
        <v>2</v>
      </c>
      <c r="G248">
        <v>45</v>
      </c>
      <c r="H248">
        <v>47</v>
      </c>
      <c r="I248">
        <v>247</v>
      </c>
      <c r="J248" s="1">
        <v>40554</v>
      </c>
      <c r="K248">
        <v>1</v>
      </c>
      <c r="L248">
        <v>0</v>
      </c>
      <c r="M248">
        <v>1</v>
      </c>
      <c r="N248">
        <v>15</v>
      </c>
      <c r="O248" t="b">
        <v>0</v>
      </c>
      <c r="P248">
        <v>2</v>
      </c>
      <c r="Q248">
        <v>2</v>
      </c>
      <c r="R248">
        <v>0.16</v>
      </c>
    </row>
    <row r="249" spans="1:18" x14ac:dyDescent="0.25">
      <c r="A249">
        <v>247</v>
      </c>
      <c r="B249">
        <v>248</v>
      </c>
      <c r="C249">
        <v>0.1515</v>
      </c>
      <c r="D249">
        <v>0.86</v>
      </c>
      <c r="E249">
        <v>0.22389999999999999</v>
      </c>
      <c r="F249">
        <v>4</v>
      </c>
      <c r="G249">
        <v>72</v>
      </c>
      <c r="H249">
        <v>76</v>
      </c>
      <c r="I249">
        <v>248</v>
      </c>
      <c r="J249" s="1">
        <v>40554</v>
      </c>
      <c r="K249">
        <v>1</v>
      </c>
      <c r="L249">
        <v>0</v>
      </c>
      <c r="M249">
        <v>1</v>
      </c>
      <c r="N249">
        <v>16</v>
      </c>
      <c r="O249" t="b">
        <v>0</v>
      </c>
      <c r="P249">
        <v>2</v>
      </c>
      <c r="Q249">
        <v>2</v>
      </c>
      <c r="R249">
        <v>0.16</v>
      </c>
    </row>
    <row r="250" spans="1:18" x14ac:dyDescent="0.25">
      <c r="A250">
        <v>248</v>
      </c>
      <c r="B250">
        <v>249</v>
      </c>
      <c r="C250">
        <v>0.1515</v>
      </c>
      <c r="D250">
        <v>0.86</v>
      </c>
      <c r="E250">
        <v>0.22389999999999999</v>
      </c>
      <c r="F250">
        <v>6</v>
      </c>
      <c r="G250">
        <v>130</v>
      </c>
      <c r="H250">
        <v>136</v>
      </c>
      <c r="I250">
        <v>249</v>
      </c>
      <c r="J250" s="1">
        <v>40554</v>
      </c>
      <c r="K250">
        <v>1</v>
      </c>
      <c r="L250">
        <v>0</v>
      </c>
      <c r="M250">
        <v>1</v>
      </c>
      <c r="N250">
        <v>17</v>
      </c>
      <c r="O250" t="b">
        <v>0</v>
      </c>
      <c r="P250">
        <v>2</v>
      </c>
      <c r="Q250">
        <v>2</v>
      </c>
      <c r="R250">
        <v>0.16</v>
      </c>
    </row>
    <row r="251" spans="1:18" x14ac:dyDescent="0.25">
      <c r="A251">
        <v>249</v>
      </c>
      <c r="B251">
        <v>250</v>
      </c>
      <c r="C251">
        <v>0.18179999999999999</v>
      </c>
      <c r="D251">
        <v>0.93</v>
      </c>
      <c r="E251">
        <v>0.1045</v>
      </c>
      <c r="F251">
        <v>1</v>
      </c>
      <c r="G251">
        <v>94</v>
      </c>
      <c r="H251">
        <v>95</v>
      </c>
      <c r="I251">
        <v>250</v>
      </c>
      <c r="J251" s="1">
        <v>40554</v>
      </c>
      <c r="K251">
        <v>1</v>
      </c>
      <c r="L251">
        <v>0</v>
      </c>
      <c r="M251">
        <v>1</v>
      </c>
      <c r="N251">
        <v>18</v>
      </c>
      <c r="O251" t="b">
        <v>0</v>
      </c>
      <c r="P251">
        <v>2</v>
      </c>
      <c r="Q251">
        <v>3</v>
      </c>
      <c r="R251">
        <v>0.16</v>
      </c>
    </row>
    <row r="252" spans="1:18" x14ac:dyDescent="0.25">
      <c r="A252">
        <v>250</v>
      </c>
      <c r="B252">
        <v>251</v>
      </c>
      <c r="C252">
        <v>0.2273</v>
      </c>
      <c r="D252">
        <v>0.93</v>
      </c>
      <c r="E252">
        <v>0</v>
      </c>
      <c r="F252">
        <v>0</v>
      </c>
      <c r="G252">
        <v>51</v>
      </c>
      <c r="H252">
        <v>51</v>
      </c>
      <c r="I252">
        <v>251</v>
      </c>
      <c r="J252" s="1">
        <v>40554</v>
      </c>
      <c r="K252">
        <v>1</v>
      </c>
      <c r="L252">
        <v>0</v>
      </c>
      <c r="M252">
        <v>1</v>
      </c>
      <c r="N252">
        <v>19</v>
      </c>
      <c r="O252" t="b">
        <v>0</v>
      </c>
      <c r="P252">
        <v>2</v>
      </c>
      <c r="Q252">
        <v>3</v>
      </c>
      <c r="R252">
        <v>0.16</v>
      </c>
    </row>
    <row r="253" spans="1:18" x14ac:dyDescent="0.25">
      <c r="A253">
        <v>251</v>
      </c>
      <c r="B253">
        <v>252</v>
      </c>
      <c r="C253">
        <v>0.1515</v>
      </c>
      <c r="D253">
        <v>0.93</v>
      </c>
      <c r="E253">
        <v>0.19400000000000001</v>
      </c>
      <c r="F253">
        <v>0</v>
      </c>
      <c r="G253">
        <v>32</v>
      </c>
      <c r="H253">
        <v>32</v>
      </c>
      <c r="I253">
        <v>252</v>
      </c>
      <c r="J253" s="1">
        <v>40554</v>
      </c>
      <c r="K253">
        <v>1</v>
      </c>
      <c r="L253">
        <v>0</v>
      </c>
      <c r="M253">
        <v>1</v>
      </c>
      <c r="N253">
        <v>20</v>
      </c>
      <c r="O253" t="b">
        <v>0</v>
      </c>
      <c r="P253">
        <v>2</v>
      </c>
      <c r="Q253">
        <v>3</v>
      </c>
      <c r="R253">
        <v>0.16</v>
      </c>
    </row>
    <row r="254" spans="1:18" x14ac:dyDescent="0.25">
      <c r="A254">
        <v>252</v>
      </c>
      <c r="B254">
        <v>253</v>
      </c>
      <c r="C254">
        <v>0.19700000000000001</v>
      </c>
      <c r="D254">
        <v>0.86</v>
      </c>
      <c r="E254">
        <v>8.9599999999999999E-2</v>
      </c>
      <c r="F254">
        <v>0</v>
      </c>
      <c r="G254">
        <v>20</v>
      </c>
      <c r="H254">
        <v>20</v>
      </c>
      <c r="I254">
        <v>253</v>
      </c>
      <c r="J254" s="1">
        <v>40554</v>
      </c>
      <c r="K254">
        <v>1</v>
      </c>
      <c r="L254">
        <v>0</v>
      </c>
      <c r="M254">
        <v>1</v>
      </c>
      <c r="N254">
        <v>21</v>
      </c>
      <c r="O254" t="b">
        <v>0</v>
      </c>
      <c r="P254">
        <v>2</v>
      </c>
      <c r="Q254">
        <v>3</v>
      </c>
      <c r="R254">
        <v>0.16</v>
      </c>
    </row>
    <row r="255" spans="1:18" x14ac:dyDescent="0.25">
      <c r="A255">
        <v>253</v>
      </c>
      <c r="B255">
        <v>254</v>
      </c>
      <c r="C255">
        <v>0.18179999999999999</v>
      </c>
      <c r="D255">
        <v>0.93</v>
      </c>
      <c r="E255">
        <v>0.1045</v>
      </c>
      <c r="F255">
        <v>1</v>
      </c>
      <c r="G255">
        <v>28</v>
      </c>
      <c r="H255">
        <v>29</v>
      </c>
      <c r="I255">
        <v>254</v>
      </c>
      <c r="J255" s="1">
        <v>40554</v>
      </c>
      <c r="K255">
        <v>1</v>
      </c>
      <c r="L255">
        <v>0</v>
      </c>
      <c r="M255">
        <v>1</v>
      </c>
      <c r="N255">
        <v>22</v>
      </c>
      <c r="O255" t="b">
        <v>0</v>
      </c>
      <c r="P255">
        <v>2</v>
      </c>
      <c r="Q255">
        <v>3</v>
      </c>
      <c r="R255">
        <v>0.16</v>
      </c>
    </row>
    <row r="256" spans="1:18" x14ac:dyDescent="0.25">
      <c r="A256">
        <v>254</v>
      </c>
      <c r="B256">
        <v>255</v>
      </c>
      <c r="C256">
        <v>0.19700000000000001</v>
      </c>
      <c r="D256">
        <v>0.93</v>
      </c>
      <c r="E256">
        <v>8.9599999999999999E-2</v>
      </c>
      <c r="F256">
        <v>1</v>
      </c>
      <c r="G256">
        <v>18</v>
      </c>
      <c r="H256">
        <v>19</v>
      </c>
      <c r="I256">
        <v>255</v>
      </c>
      <c r="J256" s="1">
        <v>40554</v>
      </c>
      <c r="K256">
        <v>1</v>
      </c>
      <c r="L256">
        <v>0</v>
      </c>
      <c r="M256">
        <v>1</v>
      </c>
      <c r="N256">
        <v>23</v>
      </c>
      <c r="O256" t="b">
        <v>0</v>
      </c>
      <c r="P256">
        <v>2</v>
      </c>
      <c r="Q256">
        <v>3</v>
      </c>
      <c r="R256">
        <v>0.16</v>
      </c>
    </row>
    <row r="257" spans="1:18" x14ac:dyDescent="0.25">
      <c r="A257">
        <v>255</v>
      </c>
      <c r="B257">
        <v>256</v>
      </c>
      <c r="C257">
        <v>0.19700000000000001</v>
      </c>
      <c r="D257">
        <v>0.86</v>
      </c>
      <c r="E257">
        <v>8.9599999999999999E-2</v>
      </c>
      <c r="F257">
        <v>0</v>
      </c>
      <c r="G257">
        <v>7</v>
      </c>
      <c r="H257">
        <v>7</v>
      </c>
      <c r="I257">
        <v>256</v>
      </c>
      <c r="J257" s="1">
        <v>40555</v>
      </c>
      <c r="K257">
        <v>1</v>
      </c>
      <c r="L257">
        <v>0</v>
      </c>
      <c r="M257">
        <v>1</v>
      </c>
      <c r="N257">
        <v>0</v>
      </c>
      <c r="O257" t="b">
        <v>0</v>
      </c>
      <c r="P257">
        <v>3</v>
      </c>
      <c r="Q257">
        <v>2</v>
      </c>
      <c r="R257">
        <v>0.16</v>
      </c>
    </row>
    <row r="258" spans="1:18" x14ac:dyDescent="0.25">
      <c r="A258">
        <v>256</v>
      </c>
      <c r="B258">
        <v>257</v>
      </c>
      <c r="C258">
        <v>0.18179999999999999</v>
      </c>
      <c r="D258">
        <v>0.86</v>
      </c>
      <c r="E258">
        <v>0.1045</v>
      </c>
      <c r="F258">
        <v>0</v>
      </c>
      <c r="G258">
        <v>6</v>
      </c>
      <c r="H258">
        <v>6</v>
      </c>
      <c r="I258">
        <v>257</v>
      </c>
      <c r="J258" s="1">
        <v>40555</v>
      </c>
      <c r="K258">
        <v>1</v>
      </c>
      <c r="L258">
        <v>0</v>
      </c>
      <c r="M258">
        <v>1</v>
      </c>
      <c r="N258">
        <v>1</v>
      </c>
      <c r="O258" t="b">
        <v>0</v>
      </c>
      <c r="P258">
        <v>3</v>
      </c>
      <c r="Q258">
        <v>2</v>
      </c>
      <c r="R258">
        <v>0.16</v>
      </c>
    </row>
    <row r="259" spans="1:18" x14ac:dyDescent="0.25">
      <c r="A259">
        <v>257</v>
      </c>
      <c r="B259">
        <v>258</v>
      </c>
      <c r="C259">
        <v>0.1515</v>
      </c>
      <c r="D259">
        <v>0.86</v>
      </c>
      <c r="E259">
        <v>0.1343</v>
      </c>
      <c r="F259">
        <v>0</v>
      </c>
      <c r="G259">
        <v>1</v>
      </c>
      <c r="H259">
        <v>1</v>
      </c>
      <c r="I259">
        <v>258</v>
      </c>
      <c r="J259" s="1">
        <v>40555</v>
      </c>
      <c r="K259">
        <v>1</v>
      </c>
      <c r="L259">
        <v>0</v>
      </c>
      <c r="M259">
        <v>1</v>
      </c>
      <c r="N259">
        <v>2</v>
      </c>
      <c r="O259" t="b">
        <v>0</v>
      </c>
      <c r="P259">
        <v>3</v>
      </c>
      <c r="Q259">
        <v>1</v>
      </c>
      <c r="R259">
        <v>0.14000000000000001</v>
      </c>
    </row>
    <row r="260" spans="1:18" x14ac:dyDescent="0.25">
      <c r="A260">
        <v>258</v>
      </c>
      <c r="B260">
        <v>259</v>
      </c>
      <c r="C260">
        <v>0.1515</v>
      </c>
      <c r="D260">
        <v>0.86</v>
      </c>
      <c r="E260">
        <v>0.16420000000000001</v>
      </c>
      <c r="F260">
        <v>0</v>
      </c>
      <c r="G260">
        <v>5</v>
      </c>
      <c r="H260">
        <v>5</v>
      </c>
      <c r="I260">
        <v>259</v>
      </c>
      <c r="J260" s="1">
        <v>40555</v>
      </c>
      <c r="K260">
        <v>1</v>
      </c>
      <c r="L260">
        <v>0</v>
      </c>
      <c r="M260">
        <v>1</v>
      </c>
      <c r="N260">
        <v>5</v>
      </c>
      <c r="O260" t="b">
        <v>0</v>
      </c>
      <c r="P260">
        <v>3</v>
      </c>
      <c r="Q260">
        <v>1</v>
      </c>
      <c r="R260">
        <v>0.14000000000000001</v>
      </c>
    </row>
    <row r="261" spans="1:18" x14ac:dyDescent="0.25">
      <c r="A261">
        <v>259</v>
      </c>
      <c r="B261">
        <v>260</v>
      </c>
      <c r="C261">
        <v>0.1515</v>
      </c>
      <c r="D261">
        <v>0.93</v>
      </c>
      <c r="E261">
        <v>0.1343</v>
      </c>
      <c r="F261">
        <v>0</v>
      </c>
      <c r="G261">
        <v>16</v>
      </c>
      <c r="H261">
        <v>16</v>
      </c>
      <c r="I261">
        <v>260</v>
      </c>
      <c r="J261" s="1">
        <v>40555</v>
      </c>
      <c r="K261">
        <v>1</v>
      </c>
      <c r="L261">
        <v>0</v>
      </c>
      <c r="M261">
        <v>1</v>
      </c>
      <c r="N261">
        <v>6</v>
      </c>
      <c r="O261" t="b">
        <v>0</v>
      </c>
      <c r="P261">
        <v>3</v>
      </c>
      <c r="Q261">
        <v>1</v>
      </c>
      <c r="R261">
        <v>0.12</v>
      </c>
    </row>
    <row r="262" spans="1:18" x14ac:dyDescent="0.25">
      <c r="A262">
        <v>260</v>
      </c>
      <c r="B262">
        <v>261</v>
      </c>
      <c r="C262">
        <v>0.1515</v>
      </c>
      <c r="D262">
        <v>0.69</v>
      </c>
      <c r="E262">
        <v>0.1343</v>
      </c>
      <c r="F262">
        <v>0</v>
      </c>
      <c r="G262">
        <v>54</v>
      </c>
      <c r="H262">
        <v>54</v>
      </c>
      <c r="I262">
        <v>261</v>
      </c>
      <c r="J262" s="1">
        <v>40555</v>
      </c>
      <c r="K262">
        <v>1</v>
      </c>
      <c r="L262">
        <v>0</v>
      </c>
      <c r="M262">
        <v>1</v>
      </c>
      <c r="N262">
        <v>7</v>
      </c>
      <c r="O262" t="b">
        <v>0</v>
      </c>
      <c r="P262">
        <v>3</v>
      </c>
      <c r="Q262">
        <v>1</v>
      </c>
      <c r="R262">
        <v>0.14000000000000001</v>
      </c>
    </row>
    <row r="263" spans="1:18" x14ac:dyDescent="0.25">
      <c r="A263">
        <v>261</v>
      </c>
      <c r="B263">
        <v>262</v>
      </c>
      <c r="C263">
        <v>0.16669999999999999</v>
      </c>
      <c r="D263">
        <v>0.59</v>
      </c>
      <c r="E263">
        <v>0.16420000000000001</v>
      </c>
      <c r="F263">
        <v>3</v>
      </c>
      <c r="G263">
        <v>125</v>
      </c>
      <c r="H263">
        <v>128</v>
      </c>
      <c r="I263">
        <v>262</v>
      </c>
      <c r="J263" s="1">
        <v>40555</v>
      </c>
      <c r="K263">
        <v>1</v>
      </c>
      <c r="L263">
        <v>0</v>
      </c>
      <c r="M263">
        <v>1</v>
      </c>
      <c r="N263">
        <v>8</v>
      </c>
      <c r="O263" t="b">
        <v>0</v>
      </c>
      <c r="P263">
        <v>3</v>
      </c>
      <c r="Q263">
        <v>1</v>
      </c>
      <c r="R263">
        <v>0.16</v>
      </c>
    </row>
    <row r="264" spans="1:18" x14ac:dyDescent="0.25">
      <c r="A264">
        <v>262</v>
      </c>
      <c r="B264">
        <v>263</v>
      </c>
      <c r="C264">
        <v>0.13639999999999999</v>
      </c>
      <c r="D264">
        <v>0.59</v>
      </c>
      <c r="E264">
        <v>0.32840000000000003</v>
      </c>
      <c r="F264">
        <v>3</v>
      </c>
      <c r="G264">
        <v>78</v>
      </c>
      <c r="H264">
        <v>81</v>
      </c>
      <c r="I264">
        <v>263</v>
      </c>
      <c r="J264" s="1">
        <v>40555</v>
      </c>
      <c r="K264">
        <v>1</v>
      </c>
      <c r="L264">
        <v>0</v>
      </c>
      <c r="M264">
        <v>1</v>
      </c>
      <c r="N264">
        <v>9</v>
      </c>
      <c r="O264" t="b">
        <v>0</v>
      </c>
      <c r="P264">
        <v>3</v>
      </c>
      <c r="Q264">
        <v>1</v>
      </c>
      <c r="R264">
        <v>0.16</v>
      </c>
    </row>
    <row r="265" spans="1:18" x14ac:dyDescent="0.25">
      <c r="A265">
        <v>263</v>
      </c>
      <c r="B265">
        <v>264</v>
      </c>
      <c r="C265">
        <v>0.18179999999999999</v>
      </c>
      <c r="D265">
        <v>0.55000000000000004</v>
      </c>
      <c r="E265">
        <v>0.22389999999999999</v>
      </c>
      <c r="F265">
        <v>0</v>
      </c>
      <c r="G265">
        <v>39</v>
      </c>
      <c r="H265">
        <v>39</v>
      </c>
      <c r="I265">
        <v>264</v>
      </c>
      <c r="J265" s="1">
        <v>40555</v>
      </c>
      <c r="K265">
        <v>1</v>
      </c>
      <c r="L265">
        <v>0</v>
      </c>
      <c r="M265">
        <v>1</v>
      </c>
      <c r="N265">
        <v>10</v>
      </c>
      <c r="O265" t="b">
        <v>0</v>
      </c>
      <c r="P265">
        <v>3</v>
      </c>
      <c r="Q265">
        <v>1</v>
      </c>
      <c r="R265">
        <v>0.18</v>
      </c>
    </row>
    <row r="266" spans="1:18" x14ac:dyDescent="0.25">
      <c r="A266">
        <v>264</v>
      </c>
      <c r="B266">
        <v>265</v>
      </c>
      <c r="C266">
        <v>0.18179999999999999</v>
      </c>
      <c r="D266">
        <v>0.51</v>
      </c>
      <c r="E266">
        <v>0.3881</v>
      </c>
      <c r="F266">
        <v>3</v>
      </c>
      <c r="G266">
        <v>32</v>
      </c>
      <c r="H266">
        <v>35</v>
      </c>
      <c r="I266">
        <v>265</v>
      </c>
      <c r="J266" s="1">
        <v>40555</v>
      </c>
      <c r="K266">
        <v>1</v>
      </c>
      <c r="L266">
        <v>0</v>
      </c>
      <c r="M266">
        <v>1</v>
      </c>
      <c r="N266">
        <v>11</v>
      </c>
      <c r="O266" t="b">
        <v>0</v>
      </c>
      <c r="P266">
        <v>3</v>
      </c>
      <c r="Q266">
        <v>1</v>
      </c>
      <c r="R266">
        <v>0.2</v>
      </c>
    </row>
    <row r="267" spans="1:18" x14ac:dyDescent="0.25">
      <c r="A267">
        <v>265</v>
      </c>
      <c r="B267">
        <v>266</v>
      </c>
      <c r="C267">
        <v>0.1515</v>
      </c>
      <c r="D267">
        <v>0.47</v>
      </c>
      <c r="E267">
        <v>0.58209999999999995</v>
      </c>
      <c r="F267">
        <v>3</v>
      </c>
      <c r="G267">
        <v>52</v>
      </c>
      <c r="H267">
        <v>55</v>
      </c>
      <c r="I267">
        <v>266</v>
      </c>
      <c r="J267" s="1">
        <v>40555</v>
      </c>
      <c r="K267">
        <v>1</v>
      </c>
      <c r="L267">
        <v>0</v>
      </c>
      <c r="M267">
        <v>1</v>
      </c>
      <c r="N267">
        <v>12</v>
      </c>
      <c r="O267" t="b">
        <v>0</v>
      </c>
      <c r="P267">
        <v>3</v>
      </c>
      <c r="Q267">
        <v>1</v>
      </c>
      <c r="R267">
        <v>0.2</v>
      </c>
    </row>
    <row r="268" spans="1:18" x14ac:dyDescent="0.25">
      <c r="A268">
        <v>266</v>
      </c>
      <c r="B268">
        <v>267</v>
      </c>
      <c r="C268">
        <v>0.19700000000000001</v>
      </c>
      <c r="D268">
        <v>0.44</v>
      </c>
      <c r="E268">
        <v>0.35820000000000002</v>
      </c>
      <c r="F268">
        <v>0</v>
      </c>
      <c r="G268">
        <v>49</v>
      </c>
      <c r="H268">
        <v>49</v>
      </c>
      <c r="I268">
        <v>267</v>
      </c>
      <c r="J268" s="1">
        <v>40555</v>
      </c>
      <c r="K268">
        <v>1</v>
      </c>
      <c r="L268">
        <v>0</v>
      </c>
      <c r="M268">
        <v>1</v>
      </c>
      <c r="N268">
        <v>13</v>
      </c>
      <c r="O268" t="b">
        <v>0</v>
      </c>
      <c r="P268">
        <v>3</v>
      </c>
      <c r="Q268">
        <v>1</v>
      </c>
      <c r="R268">
        <v>0.22</v>
      </c>
    </row>
    <row r="269" spans="1:18" x14ac:dyDescent="0.25">
      <c r="A269">
        <v>267</v>
      </c>
      <c r="B269">
        <v>268</v>
      </c>
      <c r="C269">
        <v>0.18179999999999999</v>
      </c>
      <c r="D269">
        <v>0.47</v>
      </c>
      <c r="E269">
        <v>0.32840000000000003</v>
      </c>
      <c r="F269">
        <v>0</v>
      </c>
      <c r="G269">
        <v>44</v>
      </c>
      <c r="H269">
        <v>44</v>
      </c>
      <c r="I269">
        <v>268</v>
      </c>
      <c r="J269" s="1">
        <v>40555</v>
      </c>
      <c r="K269">
        <v>1</v>
      </c>
      <c r="L269">
        <v>0</v>
      </c>
      <c r="M269">
        <v>1</v>
      </c>
      <c r="N269">
        <v>14</v>
      </c>
      <c r="O269" t="b">
        <v>0</v>
      </c>
      <c r="P269">
        <v>3</v>
      </c>
      <c r="Q269">
        <v>1</v>
      </c>
      <c r="R269">
        <v>0.2</v>
      </c>
    </row>
    <row r="270" spans="1:18" x14ac:dyDescent="0.25">
      <c r="A270">
        <v>268</v>
      </c>
      <c r="B270">
        <v>269</v>
      </c>
      <c r="C270">
        <v>0.16669999999999999</v>
      </c>
      <c r="D270">
        <v>0.47</v>
      </c>
      <c r="E270">
        <v>0.41789999999999999</v>
      </c>
      <c r="F270">
        <v>1</v>
      </c>
      <c r="G270">
        <v>48</v>
      </c>
      <c r="H270">
        <v>49</v>
      </c>
      <c r="I270">
        <v>269</v>
      </c>
      <c r="J270" s="1">
        <v>40555</v>
      </c>
      <c r="K270">
        <v>1</v>
      </c>
      <c r="L270">
        <v>0</v>
      </c>
      <c r="M270">
        <v>1</v>
      </c>
      <c r="N270">
        <v>15</v>
      </c>
      <c r="O270" t="b">
        <v>0</v>
      </c>
      <c r="P270">
        <v>3</v>
      </c>
      <c r="Q270">
        <v>1</v>
      </c>
      <c r="R270">
        <v>0.2</v>
      </c>
    </row>
    <row r="271" spans="1:18" x14ac:dyDescent="0.25">
      <c r="A271">
        <v>269</v>
      </c>
      <c r="B271">
        <v>270</v>
      </c>
      <c r="C271">
        <v>0.19700000000000001</v>
      </c>
      <c r="D271">
        <v>0.44</v>
      </c>
      <c r="E271">
        <v>0.32840000000000003</v>
      </c>
      <c r="F271">
        <v>5</v>
      </c>
      <c r="G271">
        <v>63</v>
      </c>
      <c r="H271">
        <v>68</v>
      </c>
      <c r="I271">
        <v>270</v>
      </c>
      <c r="J271" s="1">
        <v>40555</v>
      </c>
      <c r="K271">
        <v>1</v>
      </c>
      <c r="L271">
        <v>0</v>
      </c>
      <c r="M271">
        <v>1</v>
      </c>
      <c r="N271">
        <v>16</v>
      </c>
      <c r="O271" t="b">
        <v>0</v>
      </c>
      <c r="P271">
        <v>3</v>
      </c>
      <c r="Q271">
        <v>1</v>
      </c>
      <c r="R271">
        <v>0.22</v>
      </c>
    </row>
    <row r="272" spans="1:18" x14ac:dyDescent="0.25">
      <c r="A272">
        <v>270</v>
      </c>
      <c r="B272">
        <v>271</v>
      </c>
      <c r="C272">
        <v>0.18179999999999999</v>
      </c>
      <c r="D272">
        <v>0.47</v>
      </c>
      <c r="E272">
        <v>0.35820000000000002</v>
      </c>
      <c r="F272">
        <v>0</v>
      </c>
      <c r="G272">
        <v>139</v>
      </c>
      <c r="H272">
        <v>139</v>
      </c>
      <c r="I272">
        <v>271</v>
      </c>
      <c r="J272" s="1">
        <v>40555</v>
      </c>
      <c r="K272">
        <v>1</v>
      </c>
      <c r="L272">
        <v>0</v>
      </c>
      <c r="M272">
        <v>1</v>
      </c>
      <c r="N272">
        <v>17</v>
      </c>
      <c r="O272" t="b">
        <v>0</v>
      </c>
      <c r="P272">
        <v>3</v>
      </c>
      <c r="Q272">
        <v>1</v>
      </c>
      <c r="R272">
        <v>0.2</v>
      </c>
    </row>
    <row r="273" spans="1:18" x14ac:dyDescent="0.25">
      <c r="A273">
        <v>271</v>
      </c>
      <c r="B273">
        <v>272</v>
      </c>
      <c r="C273">
        <v>0.1515</v>
      </c>
      <c r="D273">
        <v>0.47</v>
      </c>
      <c r="E273">
        <v>0.52239999999999998</v>
      </c>
      <c r="F273">
        <v>2</v>
      </c>
      <c r="G273">
        <v>135</v>
      </c>
      <c r="H273">
        <v>137</v>
      </c>
      <c r="I273">
        <v>272</v>
      </c>
      <c r="J273" s="1">
        <v>40555</v>
      </c>
      <c r="K273">
        <v>1</v>
      </c>
      <c r="L273">
        <v>0</v>
      </c>
      <c r="M273">
        <v>1</v>
      </c>
      <c r="N273">
        <v>18</v>
      </c>
      <c r="O273" t="b">
        <v>0</v>
      </c>
      <c r="P273">
        <v>3</v>
      </c>
      <c r="Q273">
        <v>1</v>
      </c>
      <c r="R273">
        <v>0.2</v>
      </c>
    </row>
    <row r="274" spans="1:18" x14ac:dyDescent="0.25">
      <c r="A274">
        <v>272</v>
      </c>
      <c r="B274">
        <v>273</v>
      </c>
      <c r="C274">
        <v>0.1515</v>
      </c>
      <c r="D274">
        <v>0.47</v>
      </c>
      <c r="E274">
        <v>0.41789999999999999</v>
      </c>
      <c r="F274">
        <v>1</v>
      </c>
      <c r="G274">
        <v>82</v>
      </c>
      <c r="H274">
        <v>83</v>
      </c>
      <c r="I274">
        <v>273</v>
      </c>
      <c r="J274" s="1">
        <v>40555</v>
      </c>
      <c r="K274">
        <v>1</v>
      </c>
      <c r="L274">
        <v>0</v>
      </c>
      <c r="M274">
        <v>1</v>
      </c>
      <c r="N274">
        <v>19</v>
      </c>
      <c r="O274" t="b">
        <v>0</v>
      </c>
      <c r="P274">
        <v>3</v>
      </c>
      <c r="Q274">
        <v>1</v>
      </c>
      <c r="R274">
        <v>0.18</v>
      </c>
    </row>
    <row r="275" spans="1:18" x14ac:dyDescent="0.25">
      <c r="A275">
        <v>273</v>
      </c>
      <c r="B275">
        <v>274</v>
      </c>
      <c r="C275">
        <v>0.13639999999999999</v>
      </c>
      <c r="D275">
        <v>0.5</v>
      </c>
      <c r="E275">
        <v>0.32840000000000003</v>
      </c>
      <c r="F275">
        <v>2</v>
      </c>
      <c r="G275">
        <v>54</v>
      </c>
      <c r="H275">
        <v>56</v>
      </c>
      <c r="I275">
        <v>274</v>
      </c>
      <c r="J275" s="1">
        <v>40555</v>
      </c>
      <c r="K275">
        <v>1</v>
      </c>
      <c r="L275">
        <v>0</v>
      </c>
      <c r="M275">
        <v>1</v>
      </c>
      <c r="N275">
        <v>20</v>
      </c>
      <c r="O275" t="b">
        <v>0</v>
      </c>
      <c r="P275">
        <v>3</v>
      </c>
      <c r="Q275">
        <v>1</v>
      </c>
      <c r="R275">
        <v>0.16</v>
      </c>
    </row>
    <row r="276" spans="1:18" x14ac:dyDescent="0.25">
      <c r="A276">
        <v>274</v>
      </c>
      <c r="B276">
        <v>275</v>
      </c>
      <c r="C276">
        <v>0.13639999999999999</v>
      </c>
      <c r="D276">
        <v>0.55000000000000004</v>
      </c>
      <c r="E276">
        <v>0.32840000000000003</v>
      </c>
      <c r="F276">
        <v>0</v>
      </c>
      <c r="G276">
        <v>57</v>
      </c>
      <c r="H276">
        <v>57</v>
      </c>
      <c r="I276">
        <v>275</v>
      </c>
      <c r="J276" s="1">
        <v>40555</v>
      </c>
      <c r="K276">
        <v>1</v>
      </c>
      <c r="L276">
        <v>0</v>
      </c>
      <c r="M276">
        <v>1</v>
      </c>
      <c r="N276">
        <v>21</v>
      </c>
      <c r="O276" t="b">
        <v>0</v>
      </c>
      <c r="P276">
        <v>3</v>
      </c>
      <c r="Q276">
        <v>1</v>
      </c>
      <c r="R276">
        <v>0.16</v>
      </c>
    </row>
    <row r="277" spans="1:18" x14ac:dyDescent="0.25">
      <c r="A277">
        <v>275</v>
      </c>
      <c r="B277">
        <v>276</v>
      </c>
      <c r="C277">
        <v>0.1212</v>
      </c>
      <c r="D277">
        <v>0.55000000000000004</v>
      </c>
      <c r="E277">
        <v>0.44779999999999998</v>
      </c>
      <c r="F277">
        <v>1</v>
      </c>
      <c r="G277">
        <v>32</v>
      </c>
      <c r="H277">
        <v>33</v>
      </c>
      <c r="I277">
        <v>276</v>
      </c>
      <c r="J277" s="1">
        <v>40555</v>
      </c>
      <c r="K277">
        <v>1</v>
      </c>
      <c r="L277">
        <v>0</v>
      </c>
      <c r="M277">
        <v>1</v>
      </c>
      <c r="N277">
        <v>22</v>
      </c>
      <c r="O277" t="b">
        <v>0</v>
      </c>
      <c r="P277">
        <v>3</v>
      </c>
      <c r="Q277">
        <v>1</v>
      </c>
      <c r="R277">
        <v>0.16</v>
      </c>
    </row>
    <row r="278" spans="1:18" x14ac:dyDescent="0.25">
      <c r="A278">
        <v>276</v>
      </c>
      <c r="B278">
        <v>277</v>
      </c>
      <c r="C278">
        <v>0.1061</v>
      </c>
      <c r="D278">
        <v>0.59</v>
      </c>
      <c r="E278">
        <v>0.41789999999999999</v>
      </c>
      <c r="F278">
        <v>1</v>
      </c>
      <c r="G278">
        <v>19</v>
      </c>
      <c r="H278">
        <v>20</v>
      </c>
      <c r="I278">
        <v>277</v>
      </c>
      <c r="J278" s="1">
        <v>40555</v>
      </c>
      <c r="K278">
        <v>1</v>
      </c>
      <c r="L278">
        <v>0</v>
      </c>
      <c r="M278">
        <v>1</v>
      </c>
      <c r="N278">
        <v>23</v>
      </c>
      <c r="O278" t="b">
        <v>0</v>
      </c>
      <c r="P278">
        <v>3</v>
      </c>
      <c r="Q278">
        <v>1</v>
      </c>
      <c r="R278">
        <v>0.14000000000000001</v>
      </c>
    </row>
    <row r="279" spans="1:18" x14ac:dyDescent="0.25">
      <c r="A279">
        <v>277</v>
      </c>
      <c r="B279">
        <v>278</v>
      </c>
      <c r="C279">
        <v>0.1212</v>
      </c>
      <c r="D279">
        <v>0.59</v>
      </c>
      <c r="E279">
        <v>0.28360000000000002</v>
      </c>
      <c r="F279">
        <v>1</v>
      </c>
      <c r="G279">
        <v>6</v>
      </c>
      <c r="H279">
        <v>7</v>
      </c>
      <c r="I279">
        <v>278</v>
      </c>
      <c r="J279" s="1">
        <v>40556</v>
      </c>
      <c r="K279">
        <v>1</v>
      </c>
      <c r="L279">
        <v>0</v>
      </c>
      <c r="M279">
        <v>1</v>
      </c>
      <c r="N279">
        <v>0</v>
      </c>
      <c r="O279" t="b">
        <v>0</v>
      </c>
      <c r="P279">
        <v>4</v>
      </c>
      <c r="Q279">
        <v>1</v>
      </c>
      <c r="R279">
        <v>0.14000000000000001</v>
      </c>
    </row>
    <row r="280" spans="1:18" x14ac:dyDescent="0.25">
      <c r="A280">
        <v>278</v>
      </c>
      <c r="B280">
        <v>279</v>
      </c>
      <c r="C280">
        <v>0.1212</v>
      </c>
      <c r="D280">
        <v>0.5</v>
      </c>
      <c r="E280">
        <v>0.28360000000000002</v>
      </c>
      <c r="F280">
        <v>0</v>
      </c>
      <c r="G280">
        <v>2</v>
      </c>
      <c r="H280">
        <v>2</v>
      </c>
      <c r="I280">
        <v>279</v>
      </c>
      <c r="J280" s="1">
        <v>40556</v>
      </c>
      <c r="K280">
        <v>1</v>
      </c>
      <c r="L280">
        <v>0</v>
      </c>
      <c r="M280">
        <v>1</v>
      </c>
      <c r="N280">
        <v>1</v>
      </c>
      <c r="O280" t="b">
        <v>0</v>
      </c>
      <c r="P280">
        <v>4</v>
      </c>
      <c r="Q280">
        <v>1</v>
      </c>
      <c r="R280">
        <v>0.14000000000000001</v>
      </c>
    </row>
    <row r="281" spans="1:18" x14ac:dyDescent="0.25">
      <c r="A281">
        <v>279</v>
      </c>
      <c r="B281">
        <v>280</v>
      </c>
      <c r="C281">
        <v>0.1212</v>
      </c>
      <c r="D281">
        <v>0.5</v>
      </c>
      <c r="E281">
        <v>0.35820000000000002</v>
      </c>
      <c r="F281">
        <v>0</v>
      </c>
      <c r="G281">
        <v>2</v>
      </c>
      <c r="H281">
        <v>2</v>
      </c>
      <c r="I281">
        <v>280</v>
      </c>
      <c r="J281" s="1">
        <v>40556</v>
      </c>
      <c r="K281">
        <v>1</v>
      </c>
      <c r="L281">
        <v>0</v>
      </c>
      <c r="M281">
        <v>1</v>
      </c>
      <c r="N281">
        <v>2</v>
      </c>
      <c r="O281" t="b">
        <v>0</v>
      </c>
      <c r="P281">
        <v>4</v>
      </c>
      <c r="Q281">
        <v>1</v>
      </c>
      <c r="R281">
        <v>0.14000000000000001</v>
      </c>
    </row>
    <row r="282" spans="1:18" x14ac:dyDescent="0.25">
      <c r="A282">
        <v>280</v>
      </c>
      <c r="B282">
        <v>281</v>
      </c>
      <c r="C282">
        <v>0.1212</v>
      </c>
      <c r="D282">
        <v>0.5</v>
      </c>
      <c r="E282">
        <v>0.32840000000000003</v>
      </c>
      <c r="F282">
        <v>0</v>
      </c>
      <c r="G282">
        <v>3</v>
      </c>
      <c r="H282">
        <v>3</v>
      </c>
      <c r="I282">
        <v>281</v>
      </c>
      <c r="J282" s="1">
        <v>40556</v>
      </c>
      <c r="K282">
        <v>1</v>
      </c>
      <c r="L282">
        <v>0</v>
      </c>
      <c r="M282">
        <v>1</v>
      </c>
      <c r="N282">
        <v>3</v>
      </c>
      <c r="O282" t="b">
        <v>0</v>
      </c>
      <c r="P282">
        <v>4</v>
      </c>
      <c r="Q282">
        <v>1</v>
      </c>
      <c r="R282">
        <v>0.14000000000000001</v>
      </c>
    </row>
    <row r="283" spans="1:18" x14ac:dyDescent="0.25">
      <c r="A283">
        <v>281</v>
      </c>
      <c r="B283">
        <v>282</v>
      </c>
      <c r="C283">
        <v>0.1212</v>
      </c>
      <c r="D283">
        <v>0.5</v>
      </c>
      <c r="E283">
        <v>0.25369999999999998</v>
      </c>
      <c r="F283">
        <v>0</v>
      </c>
      <c r="G283">
        <v>4</v>
      </c>
      <c r="H283">
        <v>4</v>
      </c>
      <c r="I283">
        <v>282</v>
      </c>
      <c r="J283" s="1">
        <v>40556</v>
      </c>
      <c r="K283">
        <v>1</v>
      </c>
      <c r="L283">
        <v>0</v>
      </c>
      <c r="M283">
        <v>1</v>
      </c>
      <c r="N283">
        <v>4</v>
      </c>
      <c r="O283" t="b">
        <v>0</v>
      </c>
      <c r="P283">
        <v>4</v>
      </c>
      <c r="Q283">
        <v>1</v>
      </c>
      <c r="R283">
        <v>0.14000000000000001</v>
      </c>
    </row>
    <row r="284" spans="1:18" x14ac:dyDescent="0.25">
      <c r="A284">
        <v>282</v>
      </c>
      <c r="B284">
        <v>283</v>
      </c>
      <c r="C284">
        <v>0.1212</v>
      </c>
      <c r="D284">
        <v>0.5</v>
      </c>
      <c r="E284">
        <v>0.29849999999999999</v>
      </c>
      <c r="F284">
        <v>0</v>
      </c>
      <c r="G284">
        <v>3</v>
      </c>
      <c r="H284">
        <v>3</v>
      </c>
      <c r="I284">
        <v>283</v>
      </c>
      <c r="J284" s="1">
        <v>40556</v>
      </c>
      <c r="K284">
        <v>1</v>
      </c>
      <c r="L284">
        <v>0</v>
      </c>
      <c r="M284">
        <v>1</v>
      </c>
      <c r="N284">
        <v>5</v>
      </c>
      <c r="O284" t="b">
        <v>0</v>
      </c>
      <c r="P284">
        <v>4</v>
      </c>
      <c r="Q284">
        <v>1</v>
      </c>
      <c r="R284">
        <v>0.14000000000000001</v>
      </c>
    </row>
    <row r="285" spans="1:18" x14ac:dyDescent="0.25">
      <c r="A285">
        <v>283</v>
      </c>
      <c r="B285">
        <v>284</v>
      </c>
      <c r="C285">
        <v>0.1515</v>
      </c>
      <c r="D285">
        <v>0.54</v>
      </c>
      <c r="E285">
        <v>0.1343</v>
      </c>
      <c r="F285">
        <v>0</v>
      </c>
      <c r="G285">
        <v>28</v>
      </c>
      <c r="H285">
        <v>28</v>
      </c>
      <c r="I285">
        <v>284</v>
      </c>
      <c r="J285" s="1">
        <v>40556</v>
      </c>
      <c r="K285">
        <v>1</v>
      </c>
      <c r="L285">
        <v>0</v>
      </c>
      <c r="M285">
        <v>1</v>
      </c>
      <c r="N285">
        <v>6</v>
      </c>
      <c r="O285" t="b">
        <v>0</v>
      </c>
      <c r="P285">
        <v>4</v>
      </c>
      <c r="Q285">
        <v>1</v>
      </c>
      <c r="R285">
        <v>0.12</v>
      </c>
    </row>
    <row r="286" spans="1:18" x14ac:dyDescent="0.25">
      <c r="A286">
        <v>284</v>
      </c>
      <c r="B286">
        <v>285</v>
      </c>
      <c r="C286">
        <v>0.1515</v>
      </c>
      <c r="D286">
        <v>0.54</v>
      </c>
      <c r="E286">
        <v>0.1343</v>
      </c>
      <c r="F286">
        <v>0</v>
      </c>
      <c r="G286">
        <v>72</v>
      </c>
      <c r="H286">
        <v>72</v>
      </c>
      <c r="I286">
        <v>285</v>
      </c>
      <c r="J286" s="1">
        <v>40556</v>
      </c>
      <c r="K286">
        <v>1</v>
      </c>
      <c r="L286">
        <v>0</v>
      </c>
      <c r="M286">
        <v>1</v>
      </c>
      <c r="N286">
        <v>7</v>
      </c>
      <c r="O286" t="b">
        <v>0</v>
      </c>
      <c r="P286">
        <v>4</v>
      </c>
      <c r="Q286">
        <v>1</v>
      </c>
      <c r="R286">
        <v>0.12</v>
      </c>
    </row>
    <row r="287" spans="1:18" x14ac:dyDescent="0.25">
      <c r="A287">
        <v>285</v>
      </c>
      <c r="B287">
        <v>286</v>
      </c>
      <c r="C287">
        <v>0.13639999999999999</v>
      </c>
      <c r="D287">
        <v>0.5</v>
      </c>
      <c r="E287">
        <v>0.19400000000000001</v>
      </c>
      <c r="F287">
        <v>5</v>
      </c>
      <c r="G287">
        <v>197</v>
      </c>
      <c r="H287">
        <v>202</v>
      </c>
      <c r="I287">
        <v>286</v>
      </c>
      <c r="J287" s="1">
        <v>40556</v>
      </c>
      <c r="K287">
        <v>1</v>
      </c>
      <c r="L287">
        <v>0</v>
      </c>
      <c r="M287">
        <v>1</v>
      </c>
      <c r="N287">
        <v>8</v>
      </c>
      <c r="O287" t="b">
        <v>0</v>
      </c>
      <c r="P287">
        <v>4</v>
      </c>
      <c r="Q287">
        <v>1</v>
      </c>
      <c r="R287">
        <v>0.14000000000000001</v>
      </c>
    </row>
    <row r="288" spans="1:18" x14ac:dyDescent="0.25">
      <c r="A288">
        <v>286</v>
      </c>
      <c r="B288">
        <v>287</v>
      </c>
      <c r="C288">
        <v>0.1212</v>
      </c>
      <c r="D288">
        <v>0.5</v>
      </c>
      <c r="E288">
        <v>0.32840000000000003</v>
      </c>
      <c r="F288">
        <v>2</v>
      </c>
      <c r="G288">
        <v>137</v>
      </c>
      <c r="H288">
        <v>139</v>
      </c>
      <c r="I288">
        <v>287</v>
      </c>
      <c r="J288" s="1">
        <v>40556</v>
      </c>
      <c r="K288">
        <v>1</v>
      </c>
      <c r="L288">
        <v>0</v>
      </c>
      <c r="M288">
        <v>1</v>
      </c>
      <c r="N288">
        <v>9</v>
      </c>
      <c r="O288" t="b">
        <v>0</v>
      </c>
      <c r="P288">
        <v>4</v>
      </c>
      <c r="Q288">
        <v>1</v>
      </c>
      <c r="R288">
        <v>0.14000000000000001</v>
      </c>
    </row>
    <row r="289" spans="1:18" x14ac:dyDescent="0.25">
      <c r="A289">
        <v>287</v>
      </c>
      <c r="B289">
        <v>288</v>
      </c>
      <c r="C289">
        <v>0.13639999999999999</v>
      </c>
      <c r="D289">
        <v>0.5</v>
      </c>
      <c r="E289">
        <v>0.35820000000000002</v>
      </c>
      <c r="F289">
        <v>2</v>
      </c>
      <c r="G289">
        <v>36</v>
      </c>
      <c r="H289">
        <v>38</v>
      </c>
      <c r="I289">
        <v>288</v>
      </c>
      <c r="J289" s="1">
        <v>40556</v>
      </c>
      <c r="K289">
        <v>1</v>
      </c>
      <c r="L289">
        <v>0</v>
      </c>
      <c r="M289">
        <v>1</v>
      </c>
      <c r="N289">
        <v>10</v>
      </c>
      <c r="O289" t="b">
        <v>0</v>
      </c>
      <c r="P289">
        <v>4</v>
      </c>
      <c r="Q289">
        <v>2</v>
      </c>
      <c r="R289">
        <v>0.16</v>
      </c>
    </row>
    <row r="290" spans="1:18" x14ac:dyDescent="0.25">
      <c r="A290">
        <v>288</v>
      </c>
      <c r="B290">
        <v>289</v>
      </c>
      <c r="C290">
        <v>0.16669999999999999</v>
      </c>
      <c r="D290">
        <v>0.44</v>
      </c>
      <c r="E290">
        <v>0.44779999999999998</v>
      </c>
      <c r="F290">
        <v>4</v>
      </c>
      <c r="G290">
        <v>33</v>
      </c>
      <c r="H290">
        <v>37</v>
      </c>
      <c r="I290">
        <v>289</v>
      </c>
      <c r="J290" s="1">
        <v>40556</v>
      </c>
      <c r="K290">
        <v>1</v>
      </c>
      <c r="L290">
        <v>0</v>
      </c>
      <c r="M290">
        <v>1</v>
      </c>
      <c r="N290">
        <v>11</v>
      </c>
      <c r="O290" t="b">
        <v>0</v>
      </c>
      <c r="P290">
        <v>4</v>
      </c>
      <c r="Q290">
        <v>2</v>
      </c>
      <c r="R290">
        <v>0.2</v>
      </c>
    </row>
    <row r="291" spans="1:18" x14ac:dyDescent="0.25">
      <c r="A291">
        <v>289</v>
      </c>
      <c r="B291">
        <v>290</v>
      </c>
      <c r="C291">
        <v>0.16669999999999999</v>
      </c>
      <c r="D291">
        <v>0.44</v>
      </c>
      <c r="E291">
        <v>0.41789999999999999</v>
      </c>
      <c r="F291">
        <v>3</v>
      </c>
      <c r="G291">
        <v>49</v>
      </c>
      <c r="H291">
        <v>52</v>
      </c>
      <c r="I291">
        <v>290</v>
      </c>
      <c r="J291" s="1">
        <v>40556</v>
      </c>
      <c r="K291">
        <v>1</v>
      </c>
      <c r="L291">
        <v>0</v>
      </c>
      <c r="M291">
        <v>1</v>
      </c>
      <c r="N291">
        <v>12</v>
      </c>
      <c r="O291" t="b">
        <v>0</v>
      </c>
      <c r="P291">
        <v>4</v>
      </c>
      <c r="Q291">
        <v>1</v>
      </c>
      <c r="R291">
        <v>0.2</v>
      </c>
    </row>
    <row r="292" spans="1:18" x14ac:dyDescent="0.25">
      <c r="A292">
        <v>290</v>
      </c>
      <c r="B292">
        <v>291</v>
      </c>
      <c r="C292">
        <v>0.19700000000000001</v>
      </c>
      <c r="D292">
        <v>0.41</v>
      </c>
      <c r="E292">
        <v>0.44779999999999998</v>
      </c>
      <c r="F292">
        <v>2</v>
      </c>
      <c r="G292">
        <v>81</v>
      </c>
      <c r="H292">
        <v>83</v>
      </c>
      <c r="I292">
        <v>291</v>
      </c>
      <c r="J292" s="1">
        <v>40556</v>
      </c>
      <c r="K292">
        <v>1</v>
      </c>
      <c r="L292">
        <v>0</v>
      </c>
      <c r="M292">
        <v>1</v>
      </c>
      <c r="N292">
        <v>13</v>
      </c>
      <c r="O292" t="b">
        <v>0</v>
      </c>
      <c r="P292">
        <v>4</v>
      </c>
      <c r="Q292">
        <v>1</v>
      </c>
      <c r="R292">
        <v>0.22</v>
      </c>
    </row>
    <row r="293" spans="1:18" x14ac:dyDescent="0.25">
      <c r="A293">
        <v>291</v>
      </c>
      <c r="B293">
        <v>292</v>
      </c>
      <c r="C293">
        <v>0.19700000000000001</v>
      </c>
      <c r="D293">
        <v>0.41</v>
      </c>
      <c r="E293">
        <v>0.3881</v>
      </c>
      <c r="F293">
        <v>3</v>
      </c>
      <c r="G293">
        <v>39</v>
      </c>
      <c r="H293">
        <v>42</v>
      </c>
      <c r="I293">
        <v>292</v>
      </c>
      <c r="J293" s="1">
        <v>40556</v>
      </c>
      <c r="K293">
        <v>1</v>
      </c>
      <c r="L293">
        <v>0</v>
      </c>
      <c r="M293">
        <v>1</v>
      </c>
      <c r="N293">
        <v>14</v>
      </c>
      <c r="O293" t="b">
        <v>0</v>
      </c>
      <c r="P293">
        <v>4</v>
      </c>
      <c r="Q293">
        <v>1</v>
      </c>
      <c r="R293">
        <v>0.22</v>
      </c>
    </row>
    <row r="294" spans="1:18" x14ac:dyDescent="0.25">
      <c r="A294">
        <v>292</v>
      </c>
      <c r="B294">
        <v>293</v>
      </c>
      <c r="C294">
        <v>0.21210000000000001</v>
      </c>
      <c r="D294">
        <v>0.38</v>
      </c>
      <c r="E294">
        <v>0.29849999999999999</v>
      </c>
      <c r="F294">
        <v>5</v>
      </c>
      <c r="G294">
        <v>55</v>
      </c>
      <c r="H294">
        <v>60</v>
      </c>
      <c r="I294">
        <v>293</v>
      </c>
      <c r="J294" s="1">
        <v>40556</v>
      </c>
      <c r="K294">
        <v>1</v>
      </c>
      <c r="L294">
        <v>0</v>
      </c>
      <c r="M294">
        <v>1</v>
      </c>
      <c r="N294">
        <v>15</v>
      </c>
      <c r="O294" t="b">
        <v>0</v>
      </c>
      <c r="P294">
        <v>4</v>
      </c>
      <c r="Q294">
        <v>1</v>
      </c>
      <c r="R294">
        <v>0.24</v>
      </c>
    </row>
    <row r="295" spans="1:18" x14ac:dyDescent="0.25">
      <c r="A295">
        <v>293</v>
      </c>
      <c r="B295">
        <v>294</v>
      </c>
      <c r="C295">
        <v>0.21210000000000001</v>
      </c>
      <c r="D295">
        <v>0.38</v>
      </c>
      <c r="E295">
        <v>0.35820000000000002</v>
      </c>
      <c r="F295">
        <v>2</v>
      </c>
      <c r="G295">
        <v>76</v>
      </c>
      <c r="H295">
        <v>78</v>
      </c>
      <c r="I295">
        <v>294</v>
      </c>
      <c r="J295" s="1">
        <v>40556</v>
      </c>
      <c r="K295">
        <v>1</v>
      </c>
      <c r="L295">
        <v>0</v>
      </c>
      <c r="M295">
        <v>1</v>
      </c>
      <c r="N295">
        <v>16</v>
      </c>
      <c r="O295" t="b">
        <v>0</v>
      </c>
      <c r="P295">
        <v>4</v>
      </c>
      <c r="Q295">
        <v>1</v>
      </c>
      <c r="R295">
        <v>0.24</v>
      </c>
    </row>
    <row r="296" spans="1:18" x14ac:dyDescent="0.25">
      <c r="A296">
        <v>294</v>
      </c>
      <c r="B296">
        <v>295</v>
      </c>
      <c r="C296">
        <v>0.18179999999999999</v>
      </c>
      <c r="D296">
        <v>0.4</v>
      </c>
      <c r="E296">
        <v>0.28360000000000002</v>
      </c>
      <c r="F296">
        <v>4</v>
      </c>
      <c r="G296">
        <v>158</v>
      </c>
      <c r="H296">
        <v>162</v>
      </c>
      <c r="I296">
        <v>295</v>
      </c>
      <c r="J296" s="1">
        <v>40556</v>
      </c>
      <c r="K296">
        <v>1</v>
      </c>
      <c r="L296">
        <v>0</v>
      </c>
      <c r="M296">
        <v>1</v>
      </c>
      <c r="N296">
        <v>17</v>
      </c>
      <c r="O296" t="b">
        <v>0</v>
      </c>
      <c r="P296">
        <v>4</v>
      </c>
      <c r="Q296">
        <v>1</v>
      </c>
      <c r="R296">
        <v>0.2</v>
      </c>
    </row>
    <row r="297" spans="1:18" x14ac:dyDescent="0.25">
      <c r="A297">
        <v>295</v>
      </c>
      <c r="B297">
        <v>296</v>
      </c>
      <c r="C297">
        <v>0.18179999999999999</v>
      </c>
      <c r="D297">
        <v>0.4</v>
      </c>
      <c r="E297">
        <v>0.32840000000000003</v>
      </c>
      <c r="F297">
        <v>3</v>
      </c>
      <c r="G297">
        <v>141</v>
      </c>
      <c r="H297">
        <v>144</v>
      </c>
      <c r="I297">
        <v>296</v>
      </c>
      <c r="J297" s="1">
        <v>40556</v>
      </c>
      <c r="K297">
        <v>1</v>
      </c>
      <c r="L297">
        <v>0</v>
      </c>
      <c r="M297">
        <v>1</v>
      </c>
      <c r="N297">
        <v>18</v>
      </c>
      <c r="O297" t="b">
        <v>0</v>
      </c>
      <c r="P297">
        <v>4</v>
      </c>
      <c r="Q297">
        <v>1</v>
      </c>
      <c r="R297">
        <v>0.2</v>
      </c>
    </row>
    <row r="298" spans="1:18" x14ac:dyDescent="0.25">
      <c r="A298">
        <v>296</v>
      </c>
      <c r="B298">
        <v>297</v>
      </c>
      <c r="C298">
        <v>0.1515</v>
      </c>
      <c r="D298">
        <v>0.47</v>
      </c>
      <c r="E298">
        <v>0.25369999999999998</v>
      </c>
      <c r="F298">
        <v>1</v>
      </c>
      <c r="G298">
        <v>98</v>
      </c>
      <c r="H298">
        <v>99</v>
      </c>
      <c r="I298">
        <v>297</v>
      </c>
      <c r="J298" s="1">
        <v>40556</v>
      </c>
      <c r="K298">
        <v>1</v>
      </c>
      <c r="L298">
        <v>0</v>
      </c>
      <c r="M298">
        <v>1</v>
      </c>
      <c r="N298">
        <v>19</v>
      </c>
      <c r="O298" t="b">
        <v>0</v>
      </c>
      <c r="P298">
        <v>4</v>
      </c>
      <c r="Q298">
        <v>1</v>
      </c>
      <c r="R298">
        <v>0.16</v>
      </c>
    </row>
    <row r="299" spans="1:18" x14ac:dyDescent="0.25">
      <c r="A299">
        <v>297</v>
      </c>
      <c r="B299">
        <v>298</v>
      </c>
      <c r="C299">
        <v>0.1515</v>
      </c>
      <c r="D299">
        <v>0.47</v>
      </c>
      <c r="E299">
        <v>0.22389999999999999</v>
      </c>
      <c r="F299">
        <v>0</v>
      </c>
      <c r="G299">
        <v>64</v>
      </c>
      <c r="H299">
        <v>64</v>
      </c>
      <c r="I299">
        <v>298</v>
      </c>
      <c r="J299" s="1">
        <v>40556</v>
      </c>
      <c r="K299">
        <v>1</v>
      </c>
      <c r="L299">
        <v>0</v>
      </c>
      <c r="M299">
        <v>1</v>
      </c>
      <c r="N299">
        <v>20</v>
      </c>
      <c r="O299" t="b">
        <v>0</v>
      </c>
      <c r="P299">
        <v>4</v>
      </c>
      <c r="Q299">
        <v>1</v>
      </c>
      <c r="R299">
        <v>0.16</v>
      </c>
    </row>
    <row r="300" spans="1:18" x14ac:dyDescent="0.25">
      <c r="A300">
        <v>298</v>
      </c>
      <c r="B300">
        <v>299</v>
      </c>
      <c r="C300">
        <v>0.1212</v>
      </c>
      <c r="D300">
        <v>0.46</v>
      </c>
      <c r="E300">
        <v>0.29849999999999999</v>
      </c>
      <c r="F300">
        <v>0</v>
      </c>
      <c r="G300">
        <v>40</v>
      </c>
      <c r="H300">
        <v>40</v>
      </c>
      <c r="I300">
        <v>299</v>
      </c>
      <c r="J300" s="1">
        <v>40556</v>
      </c>
      <c r="K300">
        <v>1</v>
      </c>
      <c r="L300">
        <v>0</v>
      </c>
      <c r="M300">
        <v>1</v>
      </c>
      <c r="N300">
        <v>21</v>
      </c>
      <c r="O300" t="b">
        <v>0</v>
      </c>
      <c r="P300">
        <v>4</v>
      </c>
      <c r="Q300">
        <v>1</v>
      </c>
      <c r="R300">
        <v>0.14000000000000001</v>
      </c>
    </row>
    <row r="301" spans="1:18" x14ac:dyDescent="0.25">
      <c r="A301">
        <v>299</v>
      </c>
      <c r="B301">
        <v>300</v>
      </c>
      <c r="C301">
        <v>0.1212</v>
      </c>
      <c r="D301">
        <v>0.46</v>
      </c>
      <c r="E301">
        <v>0.32840000000000003</v>
      </c>
      <c r="F301">
        <v>0</v>
      </c>
      <c r="G301">
        <v>30</v>
      </c>
      <c r="H301">
        <v>30</v>
      </c>
      <c r="I301">
        <v>300</v>
      </c>
      <c r="J301" s="1">
        <v>40556</v>
      </c>
      <c r="K301">
        <v>1</v>
      </c>
      <c r="L301">
        <v>0</v>
      </c>
      <c r="M301">
        <v>1</v>
      </c>
      <c r="N301">
        <v>22</v>
      </c>
      <c r="O301" t="b">
        <v>0</v>
      </c>
      <c r="P301">
        <v>4</v>
      </c>
      <c r="Q301">
        <v>1</v>
      </c>
      <c r="R301">
        <v>0.14000000000000001</v>
      </c>
    </row>
    <row r="302" spans="1:18" x14ac:dyDescent="0.25">
      <c r="A302">
        <v>300</v>
      </c>
      <c r="B302">
        <v>301</v>
      </c>
      <c r="C302">
        <v>0.13639999999999999</v>
      </c>
      <c r="D302">
        <v>0.5</v>
      </c>
      <c r="E302">
        <v>0.19400000000000001</v>
      </c>
      <c r="F302">
        <v>1</v>
      </c>
      <c r="G302">
        <v>14</v>
      </c>
      <c r="H302">
        <v>15</v>
      </c>
      <c r="I302">
        <v>301</v>
      </c>
      <c r="J302" s="1">
        <v>40556</v>
      </c>
      <c r="K302">
        <v>1</v>
      </c>
      <c r="L302">
        <v>0</v>
      </c>
      <c r="M302">
        <v>1</v>
      </c>
      <c r="N302">
        <v>23</v>
      </c>
      <c r="O302" t="b">
        <v>0</v>
      </c>
      <c r="P302">
        <v>4</v>
      </c>
      <c r="Q302">
        <v>1</v>
      </c>
      <c r="R302">
        <v>0.12</v>
      </c>
    </row>
    <row r="303" spans="1:18" x14ac:dyDescent="0.25">
      <c r="A303">
        <v>301</v>
      </c>
      <c r="B303">
        <v>302</v>
      </c>
      <c r="C303">
        <v>0.13639999999999999</v>
      </c>
      <c r="D303">
        <v>0.5</v>
      </c>
      <c r="E303">
        <v>0.19400000000000001</v>
      </c>
      <c r="F303">
        <v>0</v>
      </c>
      <c r="G303">
        <v>14</v>
      </c>
      <c r="H303">
        <v>14</v>
      </c>
      <c r="I303">
        <v>302</v>
      </c>
      <c r="J303" s="1">
        <v>40557</v>
      </c>
      <c r="K303">
        <v>1</v>
      </c>
      <c r="L303">
        <v>0</v>
      </c>
      <c r="M303">
        <v>1</v>
      </c>
      <c r="N303">
        <v>0</v>
      </c>
      <c r="O303" t="b">
        <v>0</v>
      </c>
      <c r="P303">
        <v>5</v>
      </c>
      <c r="Q303">
        <v>1</v>
      </c>
      <c r="R303">
        <v>0.12</v>
      </c>
    </row>
    <row r="304" spans="1:18" x14ac:dyDescent="0.25">
      <c r="A304">
        <v>302</v>
      </c>
      <c r="B304">
        <v>303</v>
      </c>
      <c r="C304">
        <v>0.1212</v>
      </c>
      <c r="D304">
        <v>0.54</v>
      </c>
      <c r="E304">
        <v>0.16420000000000001</v>
      </c>
      <c r="F304">
        <v>0</v>
      </c>
      <c r="G304">
        <v>5</v>
      </c>
      <c r="H304">
        <v>5</v>
      </c>
      <c r="I304">
        <v>303</v>
      </c>
      <c r="J304" s="1">
        <v>40557</v>
      </c>
      <c r="K304">
        <v>1</v>
      </c>
      <c r="L304">
        <v>0</v>
      </c>
      <c r="M304">
        <v>1</v>
      </c>
      <c r="N304">
        <v>1</v>
      </c>
      <c r="O304" t="b">
        <v>0</v>
      </c>
      <c r="P304">
        <v>5</v>
      </c>
      <c r="Q304">
        <v>1</v>
      </c>
      <c r="R304">
        <v>0.1</v>
      </c>
    </row>
    <row r="305" spans="1:18" x14ac:dyDescent="0.25">
      <c r="A305">
        <v>303</v>
      </c>
      <c r="B305">
        <v>304</v>
      </c>
      <c r="C305">
        <v>0.1212</v>
      </c>
      <c r="D305">
        <v>0.54</v>
      </c>
      <c r="E305">
        <v>0.1343</v>
      </c>
      <c r="F305">
        <v>0</v>
      </c>
      <c r="G305">
        <v>1</v>
      </c>
      <c r="H305">
        <v>1</v>
      </c>
      <c r="I305">
        <v>304</v>
      </c>
      <c r="J305" s="1">
        <v>40557</v>
      </c>
      <c r="K305">
        <v>1</v>
      </c>
      <c r="L305">
        <v>0</v>
      </c>
      <c r="M305">
        <v>1</v>
      </c>
      <c r="N305">
        <v>2</v>
      </c>
      <c r="O305" t="b">
        <v>0</v>
      </c>
      <c r="P305">
        <v>5</v>
      </c>
      <c r="Q305">
        <v>1</v>
      </c>
      <c r="R305">
        <v>0.1</v>
      </c>
    </row>
    <row r="306" spans="1:18" x14ac:dyDescent="0.25">
      <c r="A306">
        <v>304</v>
      </c>
      <c r="B306">
        <v>305</v>
      </c>
      <c r="C306">
        <v>0.13639999999999999</v>
      </c>
      <c r="D306">
        <v>0.54</v>
      </c>
      <c r="E306">
        <v>0.1045</v>
      </c>
      <c r="F306">
        <v>0</v>
      </c>
      <c r="G306">
        <v>1</v>
      </c>
      <c r="H306">
        <v>1</v>
      </c>
      <c r="I306">
        <v>305</v>
      </c>
      <c r="J306" s="1">
        <v>40557</v>
      </c>
      <c r="K306">
        <v>1</v>
      </c>
      <c r="L306">
        <v>0</v>
      </c>
      <c r="M306">
        <v>1</v>
      </c>
      <c r="N306">
        <v>3</v>
      </c>
      <c r="O306" t="b">
        <v>0</v>
      </c>
      <c r="P306">
        <v>5</v>
      </c>
      <c r="Q306">
        <v>1</v>
      </c>
      <c r="R306">
        <v>0.1</v>
      </c>
    </row>
    <row r="307" spans="1:18" x14ac:dyDescent="0.25">
      <c r="A307">
        <v>305</v>
      </c>
      <c r="B307">
        <v>306</v>
      </c>
      <c r="C307">
        <v>0.13639999999999999</v>
      </c>
      <c r="D307">
        <v>0.54</v>
      </c>
      <c r="E307">
        <v>8.9599999999999999E-2</v>
      </c>
      <c r="F307">
        <v>0</v>
      </c>
      <c r="G307">
        <v>8</v>
      </c>
      <c r="H307">
        <v>8</v>
      </c>
      <c r="I307">
        <v>306</v>
      </c>
      <c r="J307" s="1">
        <v>40557</v>
      </c>
      <c r="K307">
        <v>1</v>
      </c>
      <c r="L307">
        <v>0</v>
      </c>
      <c r="M307">
        <v>1</v>
      </c>
      <c r="N307">
        <v>5</v>
      </c>
      <c r="O307" t="b">
        <v>0</v>
      </c>
      <c r="P307">
        <v>5</v>
      </c>
      <c r="Q307">
        <v>1</v>
      </c>
      <c r="R307">
        <v>0.1</v>
      </c>
    </row>
    <row r="308" spans="1:18" x14ac:dyDescent="0.25">
      <c r="A308">
        <v>306</v>
      </c>
      <c r="B308">
        <v>307</v>
      </c>
      <c r="C308">
        <v>0.18179999999999999</v>
      </c>
      <c r="D308">
        <v>0.54</v>
      </c>
      <c r="E308">
        <v>0</v>
      </c>
      <c r="F308">
        <v>0</v>
      </c>
      <c r="G308">
        <v>17</v>
      </c>
      <c r="H308">
        <v>17</v>
      </c>
      <c r="I308">
        <v>307</v>
      </c>
      <c r="J308" s="1">
        <v>40557</v>
      </c>
      <c r="K308">
        <v>1</v>
      </c>
      <c r="L308">
        <v>0</v>
      </c>
      <c r="M308">
        <v>1</v>
      </c>
      <c r="N308">
        <v>6</v>
      </c>
      <c r="O308" t="b">
        <v>0</v>
      </c>
      <c r="P308">
        <v>5</v>
      </c>
      <c r="Q308">
        <v>1</v>
      </c>
      <c r="R308">
        <v>0.1</v>
      </c>
    </row>
    <row r="309" spans="1:18" x14ac:dyDescent="0.25">
      <c r="A309">
        <v>307</v>
      </c>
      <c r="B309">
        <v>308</v>
      </c>
      <c r="C309">
        <v>0.1212</v>
      </c>
      <c r="D309">
        <v>0.74</v>
      </c>
      <c r="E309">
        <v>0.16420000000000001</v>
      </c>
      <c r="F309">
        <v>0</v>
      </c>
      <c r="G309">
        <v>70</v>
      </c>
      <c r="H309">
        <v>70</v>
      </c>
      <c r="I309">
        <v>308</v>
      </c>
      <c r="J309" s="1">
        <v>40557</v>
      </c>
      <c r="K309">
        <v>1</v>
      </c>
      <c r="L309">
        <v>0</v>
      </c>
      <c r="M309">
        <v>1</v>
      </c>
      <c r="N309">
        <v>7</v>
      </c>
      <c r="O309" t="b">
        <v>0</v>
      </c>
      <c r="P309">
        <v>5</v>
      </c>
      <c r="Q309">
        <v>1</v>
      </c>
      <c r="R309">
        <v>0.1</v>
      </c>
    </row>
    <row r="310" spans="1:18" x14ac:dyDescent="0.25">
      <c r="A310">
        <v>308</v>
      </c>
      <c r="B310">
        <v>309</v>
      </c>
      <c r="C310">
        <v>0.16669999999999999</v>
      </c>
      <c r="D310">
        <v>0.68</v>
      </c>
      <c r="E310">
        <v>0</v>
      </c>
      <c r="F310">
        <v>2</v>
      </c>
      <c r="G310">
        <v>156</v>
      </c>
      <c r="H310">
        <v>158</v>
      </c>
      <c r="I310">
        <v>309</v>
      </c>
      <c r="J310" s="1">
        <v>40557</v>
      </c>
      <c r="K310">
        <v>1</v>
      </c>
      <c r="L310">
        <v>0</v>
      </c>
      <c r="M310">
        <v>1</v>
      </c>
      <c r="N310">
        <v>8</v>
      </c>
      <c r="O310" t="b">
        <v>0</v>
      </c>
      <c r="P310">
        <v>5</v>
      </c>
      <c r="Q310">
        <v>1</v>
      </c>
      <c r="R310">
        <v>0.12</v>
      </c>
    </row>
    <row r="311" spans="1:18" x14ac:dyDescent="0.25">
      <c r="A311">
        <v>309</v>
      </c>
      <c r="B311">
        <v>310</v>
      </c>
      <c r="C311">
        <v>0.1515</v>
      </c>
      <c r="D311">
        <v>0.69</v>
      </c>
      <c r="E311">
        <v>0.1343</v>
      </c>
      <c r="F311">
        <v>0</v>
      </c>
      <c r="G311">
        <v>117</v>
      </c>
      <c r="H311">
        <v>117</v>
      </c>
      <c r="I311">
        <v>310</v>
      </c>
      <c r="J311" s="1">
        <v>40557</v>
      </c>
      <c r="K311">
        <v>1</v>
      </c>
      <c r="L311">
        <v>0</v>
      </c>
      <c r="M311">
        <v>1</v>
      </c>
      <c r="N311">
        <v>9</v>
      </c>
      <c r="O311" t="b">
        <v>0</v>
      </c>
      <c r="P311">
        <v>5</v>
      </c>
      <c r="Q311">
        <v>1</v>
      </c>
      <c r="R311">
        <v>0.14000000000000001</v>
      </c>
    </row>
    <row r="312" spans="1:18" x14ac:dyDescent="0.25">
      <c r="A312">
        <v>310</v>
      </c>
      <c r="B312">
        <v>311</v>
      </c>
      <c r="C312">
        <v>0.18179999999999999</v>
      </c>
      <c r="D312">
        <v>0.55000000000000004</v>
      </c>
      <c r="E312">
        <v>0.19400000000000001</v>
      </c>
      <c r="F312">
        <v>4</v>
      </c>
      <c r="G312">
        <v>40</v>
      </c>
      <c r="H312">
        <v>44</v>
      </c>
      <c r="I312">
        <v>311</v>
      </c>
      <c r="J312" s="1">
        <v>40557</v>
      </c>
      <c r="K312">
        <v>1</v>
      </c>
      <c r="L312">
        <v>0</v>
      </c>
      <c r="M312">
        <v>1</v>
      </c>
      <c r="N312">
        <v>10</v>
      </c>
      <c r="O312" t="b">
        <v>0</v>
      </c>
      <c r="P312">
        <v>5</v>
      </c>
      <c r="Q312">
        <v>1</v>
      </c>
      <c r="R312">
        <v>0.18</v>
      </c>
    </row>
    <row r="313" spans="1:18" x14ac:dyDescent="0.25">
      <c r="A313">
        <v>311</v>
      </c>
      <c r="B313">
        <v>312</v>
      </c>
      <c r="C313">
        <v>0.16669999999999999</v>
      </c>
      <c r="D313">
        <v>0.51</v>
      </c>
      <c r="E313">
        <v>0.28360000000000002</v>
      </c>
      <c r="F313">
        <v>6</v>
      </c>
      <c r="G313">
        <v>47</v>
      </c>
      <c r="H313">
        <v>53</v>
      </c>
      <c r="I313">
        <v>312</v>
      </c>
      <c r="J313" s="1">
        <v>40557</v>
      </c>
      <c r="K313">
        <v>1</v>
      </c>
      <c r="L313">
        <v>0</v>
      </c>
      <c r="M313">
        <v>1</v>
      </c>
      <c r="N313">
        <v>11</v>
      </c>
      <c r="O313" t="b">
        <v>0</v>
      </c>
      <c r="P313">
        <v>5</v>
      </c>
      <c r="Q313">
        <v>1</v>
      </c>
      <c r="R313">
        <v>0.18</v>
      </c>
    </row>
    <row r="314" spans="1:18" x14ac:dyDescent="0.25">
      <c r="A314">
        <v>312</v>
      </c>
      <c r="B314">
        <v>313</v>
      </c>
      <c r="C314">
        <v>0.19700000000000001</v>
      </c>
      <c r="D314">
        <v>0.44</v>
      </c>
      <c r="E314">
        <v>0.25369999999999998</v>
      </c>
      <c r="F314">
        <v>2</v>
      </c>
      <c r="G314">
        <v>59</v>
      </c>
      <c r="H314">
        <v>61</v>
      </c>
      <c r="I314">
        <v>313</v>
      </c>
      <c r="J314" s="1">
        <v>40557</v>
      </c>
      <c r="K314">
        <v>1</v>
      </c>
      <c r="L314">
        <v>0</v>
      </c>
      <c r="M314">
        <v>1</v>
      </c>
      <c r="N314">
        <v>12</v>
      </c>
      <c r="O314" t="b">
        <v>0</v>
      </c>
      <c r="P314">
        <v>5</v>
      </c>
      <c r="Q314">
        <v>1</v>
      </c>
      <c r="R314">
        <v>0.2</v>
      </c>
    </row>
    <row r="315" spans="1:18" x14ac:dyDescent="0.25">
      <c r="A315">
        <v>313</v>
      </c>
      <c r="B315">
        <v>314</v>
      </c>
      <c r="C315">
        <v>0.19700000000000001</v>
      </c>
      <c r="D315">
        <v>0.37</v>
      </c>
      <c r="E315">
        <v>0.3881</v>
      </c>
      <c r="F315">
        <v>4</v>
      </c>
      <c r="G315">
        <v>73</v>
      </c>
      <c r="H315">
        <v>77</v>
      </c>
      <c r="I315">
        <v>314</v>
      </c>
      <c r="J315" s="1">
        <v>40557</v>
      </c>
      <c r="K315">
        <v>1</v>
      </c>
      <c r="L315">
        <v>0</v>
      </c>
      <c r="M315">
        <v>1</v>
      </c>
      <c r="N315">
        <v>13</v>
      </c>
      <c r="O315" t="b">
        <v>0</v>
      </c>
      <c r="P315">
        <v>5</v>
      </c>
      <c r="Q315">
        <v>1</v>
      </c>
      <c r="R315">
        <v>0.22</v>
      </c>
    </row>
    <row r="316" spans="1:18" x14ac:dyDescent="0.25">
      <c r="A316">
        <v>314</v>
      </c>
      <c r="B316">
        <v>315</v>
      </c>
      <c r="C316">
        <v>0.21210000000000001</v>
      </c>
      <c r="D316">
        <v>0.41</v>
      </c>
      <c r="E316">
        <v>0.28360000000000002</v>
      </c>
      <c r="F316">
        <v>5</v>
      </c>
      <c r="G316">
        <v>59</v>
      </c>
      <c r="H316">
        <v>64</v>
      </c>
      <c r="I316">
        <v>315</v>
      </c>
      <c r="J316" s="1">
        <v>40557</v>
      </c>
      <c r="K316">
        <v>1</v>
      </c>
      <c r="L316">
        <v>0</v>
      </c>
      <c r="M316">
        <v>1</v>
      </c>
      <c r="N316">
        <v>14</v>
      </c>
      <c r="O316" t="b">
        <v>0</v>
      </c>
      <c r="P316">
        <v>5</v>
      </c>
      <c r="Q316">
        <v>1</v>
      </c>
      <c r="R316">
        <v>0.22</v>
      </c>
    </row>
    <row r="317" spans="1:18" x14ac:dyDescent="0.25">
      <c r="A317">
        <v>315</v>
      </c>
      <c r="B317">
        <v>316</v>
      </c>
      <c r="C317">
        <v>0.2424</v>
      </c>
      <c r="D317">
        <v>0.38</v>
      </c>
      <c r="E317">
        <v>0.16420000000000001</v>
      </c>
      <c r="F317">
        <v>9</v>
      </c>
      <c r="G317">
        <v>59</v>
      </c>
      <c r="H317">
        <v>68</v>
      </c>
      <c r="I317">
        <v>316</v>
      </c>
      <c r="J317" s="1">
        <v>40557</v>
      </c>
      <c r="K317">
        <v>1</v>
      </c>
      <c r="L317">
        <v>0</v>
      </c>
      <c r="M317">
        <v>1</v>
      </c>
      <c r="N317">
        <v>15</v>
      </c>
      <c r="O317" t="b">
        <v>0</v>
      </c>
      <c r="P317">
        <v>5</v>
      </c>
      <c r="Q317">
        <v>1</v>
      </c>
      <c r="R317">
        <v>0.24</v>
      </c>
    </row>
    <row r="318" spans="1:18" x14ac:dyDescent="0.25">
      <c r="A318">
        <v>316</v>
      </c>
      <c r="B318">
        <v>317</v>
      </c>
      <c r="C318">
        <v>0.2424</v>
      </c>
      <c r="D318">
        <v>0.41</v>
      </c>
      <c r="E318">
        <v>0.1045</v>
      </c>
      <c r="F318">
        <v>3</v>
      </c>
      <c r="G318">
        <v>87</v>
      </c>
      <c r="H318">
        <v>90</v>
      </c>
      <c r="I318">
        <v>317</v>
      </c>
      <c r="J318" s="1">
        <v>40557</v>
      </c>
      <c r="K318">
        <v>1</v>
      </c>
      <c r="L318">
        <v>0</v>
      </c>
      <c r="M318">
        <v>1</v>
      </c>
      <c r="N318">
        <v>16</v>
      </c>
      <c r="O318" t="b">
        <v>0</v>
      </c>
      <c r="P318">
        <v>5</v>
      </c>
      <c r="Q318">
        <v>1</v>
      </c>
      <c r="R318">
        <v>0.22</v>
      </c>
    </row>
    <row r="319" spans="1:18" x14ac:dyDescent="0.25">
      <c r="A319">
        <v>317</v>
      </c>
      <c r="B319">
        <v>318</v>
      </c>
      <c r="C319">
        <v>0.2273</v>
      </c>
      <c r="D319">
        <v>0.41</v>
      </c>
      <c r="E319">
        <v>0.16420000000000001</v>
      </c>
      <c r="F319">
        <v>4</v>
      </c>
      <c r="G319">
        <v>155</v>
      </c>
      <c r="H319">
        <v>159</v>
      </c>
      <c r="I319">
        <v>318</v>
      </c>
      <c r="J319" s="1">
        <v>40557</v>
      </c>
      <c r="K319">
        <v>1</v>
      </c>
      <c r="L319">
        <v>0</v>
      </c>
      <c r="M319">
        <v>1</v>
      </c>
      <c r="N319">
        <v>17</v>
      </c>
      <c r="O319" t="b">
        <v>0</v>
      </c>
      <c r="P319">
        <v>5</v>
      </c>
      <c r="Q319">
        <v>1</v>
      </c>
      <c r="R319">
        <v>0.22</v>
      </c>
    </row>
    <row r="320" spans="1:18" x14ac:dyDescent="0.25">
      <c r="A320">
        <v>318</v>
      </c>
      <c r="B320">
        <v>319</v>
      </c>
      <c r="C320">
        <v>0.2576</v>
      </c>
      <c r="D320">
        <v>0.47</v>
      </c>
      <c r="E320">
        <v>0</v>
      </c>
      <c r="F320">
        <v>5</v>
      </c>
      <c r="G320">
        <v>134</v>
      </c>
      <c r="H320">
        <v>139</v>
      </c>
      <c r="I320">
        <v>319</v>
      </c>
      <c r="J320" s="1">
        <v>40557</v>
      </c>
      <c r="K320">
        <v>1</v>
      </c>
      <c r="L320">
        <v>0</v>
      </c>
      <c r="M320">
        <v>1</v>
      </c>
      <c r="N320">
        <v>18</v>
      </c>
      <c r="O320" t="b">
        <v>0</v>
      </c>
      <c r="P320">
        <v>5</v>
      </c>
      <c r="Q320">
        <v>1</v>
      </c>
      <c r="R320">
        <v>0.2</v>
      </c>
    </row>
    <row r="321" spans="1:18" x14ac:dyDescent="0.25">
      <c r="A321">
        <v>319</v>
      </c>
      <c r="B321">
        <v>320</v>
      </c>
      <c r="C321">
        <v>0.19700000000000001</v>
      </c>
      <c r="D321">
        <v>0.59</v>
      </c>
      <c r="E321">
        <v>8.9599999999999999E-2</v>
      </c>
      <c r="F321">
        <v>3</v>
      </c>
      <c r="G321">
        <v>89</v>
      </c>
      <c r="H321">
        <v>92</v>
      </c>
      <c r="I321">
        <v>320</v>
      </c>
      <c r="J321" s="1">
        <v>40557</v>
      </c>
      <c r="K321">
        <v>1</v>
      </c>
      <c r="L321">
        <v>0</v>
      </c>
      <c r="M321">
        <v>1</v>
      </c>
      <c r="N321">
        <v>19</v>
      </c>
      <c r="O321" t="b">
        <v>0</v>
      </c>
      <c r="P321">
        <v>5</v>
      </c>
      <c r="Q321">
        <v>1</v>
      </c>
      <c r="R321">
        <v>0.16</v>
      </c>
    </row>
    <row r="322" spans="1:18" x14ac:dyDescent="0.25">
      <c r="A322">
        <v>320</v>
      </c>
      <c r="B322">
        <v>321</v>
      </c>
      <c r="C322">
        <v>0.2424</v>
      </c>
      <c r="D322">
        <v>0.59</v>
      </c>
      <c r="E322">
        <v>0</v>
      </c>
      <c r="F322">
        <v>0</v>
      </c>
      <c r="G322">
        <v>68</v>
      </c>
      <c r="H322">
        <v>68</v>
      </c>
      <c r="I322">
        <v>321</v>
      </c>
      <c r="J322" s="1">
        <v>40557</v>
      </c>
      <c r="K322">
        <v>1</v>
      </c>
      <c r="L322">
        <v>0</v>
      </c>
      <c r="M322">
        <v>1</v>
      </c>
      <c r="N322">
        <v>20</v>
      </c>
      <c r="O322" t="b">
        <v>0</v>
      </c>
      <c r="P322">
        <v>5</v>
      </c>
      <c r="Q322">
        <v>1</v>
      </c>
      <c r="R322">
        <v>0.18</v>
      </c>
    </row>
    <row r="323" spans="1:18" x14ac:dyDescent="0.25">
      <c r="A323">
        <v>321</v>
      </c>
      <c r="B323">
        <v>322</v>
      </c>
      <c r="C323">
        <v>0.2273</v>
      </c>
      <c r="D323">
        <v>0.69</v>
      </c>
      <c r="E323">
        <v>0</v>
      </c>
      <c r="F323">
        <v>4</v>
      </c>
      <c r="G323">
        <v>48</v>
      </c>
      <c r="H323">
        <v>52</v>
      </c>
      <c r="I323">
        <v>322</v>
      </c>
      <c r="J323" s="1">
        <v>40557</v>
      </c>
      <c r="K323">
        <v>1</v>
      </c>
      <c r="L323">
        <v>0</v>
      </c>
      <c r="M323">
        <v>1</v>
      </c>
      <c r="N323">
        <v>21</v>
      </c>
      <c r="O323" t="b">
        <v>0</v>
      </c>
      <c r="P323">
        <v>5</v>
      </c>
      <c r="Q323">
        <v>1</v>
      </c>
      <c r="R323">
        <v>0.16</v>
      </c>
    </row>
    <row r="324" spans="1:18" x14ac:dyDescent="0.25">
      <c r="A324">
        <v>322</v>
      </c>
      <c r="B324">
        <v>323</v>
      </c>
      <c r="C324">
        <v>0.2273</v>
      </c>
      <c r="D324">
        <v>0.69</v>
      </c>
      <c r="E324">
        <v>0</v>
      </c>
      <c r="F324">
        <v>2</v>
      </c>
      <c r="G324">
        <v>34</v>
      </c>
      <c r="H324">
        <v>36</v>
      </c>
      <c r="I324">
        <v>323</v>
      </c>
      <c r="J324" s="1">
        <v>40557</v>
      </c>
      <c r="K324">
        <v>1</v>
      </c>
      <c r="L324">
        <v>0</v>
      </c>
      <c r="M324">
        <v>1</v>
      </c>
      <c r="N324">
        <v>22</v>
      </c>
      <c r="O324" t="b">
        <v>0</v>
      </c>
      <c r="P324">
        <v>5</v>
      </c>
      <c r="Q324">
        <v>2</v>
      </c>
      <c r="R324">
        <v>0.16</v>
      </c>
    </row>
    <row r="325" spans="1:18" x14ac:dyDescent="0.25">
      <c r="A325">
        <v>323</v>
      </c>
      <c r="B325">
        <v>324</v>
      </c>
      <c r="C325">
        <v>0.2424</v>
      </c>
      <c r="D325">
        <v>0.55000000000000004</v>
      </c>
      <c r="E325">
        <v>0</v>
      </c>
      <c r="F325">
        <v>1</v>
      </c>
      <c r="G325">
        <v>26</v>
      </c>
      <c r="H325">
        <v>27</v>
      </c>
      <c r="I325">
        <v>324</v>
      </c>
      <c r="J325" s="1">
        <v>40557</v>
      </c>
      <c r="K325">
        <v>1</v>
      </c>
      <c r="L325">
        <v>0</v>
      </c>
      <c r="M325">
        <v>1</v>
      </c>
      <c r="N325">
        <v>23</v>
      </c>
      <c r="O325" t="b">
        <v>0</v>
      </c>
      <c r="P325">
        <v>5</v>
      </c>
      <c r="Q325">
        <v>2</v>
      </c>
      <c r="R325">
        <v>0.18</v>
      </c>
    </row>
    <row r="326" spans="1:18" x14ac:dyDescent="0.25">
      <c r="A326">
        <v>324</v>
      </c>
      <c r="B326">
        <v>325</v>
      </c>
      <c r="C326">
        <v>0.2424</v>
      </c>
      <c r="D326">
        <v>0.55000000000000004</v>
      </c>
      <c r="E326">
        <v>0</v>
      </c>
      <c r="F326">
        <v>3</v>
      </c>
      <c r="G326">
        <v>25</v>
      </c>
      <c r="H326">
        <v>28</v>
      </c>
      <c r="I326">
        <v>325</v>
      </c>
      <c r="J326" s="1">
        <v>40558</v>
      </c>
      <c r="K326">
        <v>1</v>
      </c>
      <c r="L326">
        <v>0</v>
      </c>
      <c r="M326">
        <v>1</v>
      </c>
      <c r="N326">
        <v>0</v>
      </c>
      <c r="O326" t="b">
        <v>0</v>
      </c>
      <c r="P326">
        <v>6</v>
      </c>
      <c r="Q326">
        <v>1</v>
      </c>
      <c r="R326">
        <v>0.18</v>
      </c>
    </row>
    <row r="327" spans="1:18" x14ac:dyDescent="0.25">
      <c r="A327">
        <v>325</v>
      </c>
      <c r="B327">
        <v>326</v>
      </c>
      <c r="C327">
        <v>0.19700000000000001</v>
      </c>
      <c r="D327">
        <v>0.59</v>
      </c>
      <c r="E327">
        <v>8.9599999999999999E-2</v>
      </c>
      <c r="F327">
        <v>2</v>
      </c>
      <c r="G327">
        <v>18</v>
      </c>
      <c r="H327">
        <v>20</v>
      </c>
      <c r="I327">
        <v>326</v>
      </c>
      <c r="J327" s="1">
        <v>40558</v>
      </c>
      <c r="K327">
        <v>1</v>
      </c>
      <c r="L327">
        <v>0</v>
      </c>
      <c r="M327">
        <v>1</v>
      </c>
      <c r="N327">
        <v>1</v>
      </c>
      <c r="O327" t="b">
        <v>0</v>
      </c>
      <c r="P327">
        <v>6</v>
      </c>
      <c r="Q327">
        <v>2</v>
      </c>
      <c r="R327">
        <v>0.16</v>
      </c>
    </row>
    <row r="328" spans="1:18" x14ac:dyDescent="0.25">
      <c r="A328">
        <v>326</v>
      </c>
      <c r="B328">
        <v>327</v>
      </c>
      <c r="C328">
        <v>0.19700000000000001</v>
      </c>
      <c r="D328">
        <v>0.59</v>
      </c>
      <c r="E328">
        <v>8.9599999999999999E-2</v>
      </c>
      <c r="F328">
        <v>0</v>
      </c>
      <c r="G328">
        <v>12</v>
      </c>
      <c r="H328">
        <v>12</v>
      </c>
      <c r="I328">
        <v>327</v>
      </c>
      <c r="J328" s="1">
        <v>40558</v>
      </c>
      <c r="K328">
        <v>1</v>
      </c>
      <c r="L328">
        <v>0</v>
      </c>
      <c r="M328">
        <v>1</v>
      </c>
      <c r="N328">
        <v>2</v>
      </c>
      <c r="O328" t="b">
        <v>0</v>
      </c>
      <c r="P328">
        <v>6</v>
      </c>
      <c r="Q328">
        <v>2</v>
      </c>
      <c r="R328">
        <v>0.16</v>
      </c>
    </row>
    <row r="329" spans="1:18" x14ac:dyDescent="0.25">
      <c r="A329">
        <v>327</v>
      </c>
      <c r="B329">
        <v>328</v>
      </c>
      <c r="C329">
        <v>0.2273</v>
      </c>
      <c r="D329">
        <v>0.59</v>
      </c>
      <c r="E329">
        <v>0</v>
      </c>
      <c r="F329">
        <v>1</v>
      </c>
      <c r="G329">
        <v>7</v>
      </c>
      <c r="H329">
        <v>8</v>
      </c>
      <c r="I329">
        <v>328</v>
      </c>
      <c r="J329" s="1">
        <v>40558</v>
      </c>
      <c r="K329">
        <v>1</v>
      </c>
      <c r="L329">
        <v>0</v>
      </c>
      <c r="M329">
        <v>1</v>
      </c>
      <c r="N329">
        <v>3</v>
      </c>
      <c r="O329" t="b">
        <v>0</v>
      </c>
      <c r="P329">
        <v>6</v>
      </c>
      <c r="Q329">
        <v>2</v>
      </c>
      <c r="R329">
        <v>0.16</v>
      </c>
    </row>
    <row r="330" spans="1:18" x14ac:dyDescent="0.25">
      <c r="A330">
        <v>328</v>
      </c>
      <c r="B330">
        <v>329</v>
      </c>
      <c r="C330">
        <v>0.2273</v>
      </c>
      <c r="D330">
        <v>0.59</v>
      </c>
      <c r="E330">
        <v>0</v>
      </c>
      <c r="F330">
        <v>0</v>
      </c>
      <c r="G330">
        <v>5</v>
      </c>
      <c r="H330">
        <v>5</v>
      </c>
      <c r="I330">
        <v>329</v>
      </c>
      <c r="J330" s="1">
        <v>40558</v>
      </c>
      <c r="K330">
        <v>1</v>
      </c>
      <c r="L330">
        <v>0</v>
      </c>
      <c r="M330">
        <v>1</v>
      </c>
      <c r="N330">
        <v>4</v>
      </c>
      <c r="O330" t="b">
        <v>0</v>
      </c>
      <c r="P330">
        <v>6</v>
      </c>
      <c r="Q330">
        <v>2</v>
      </c>
      <c r="R330">
        <v>0.16</v>
      </c>
    </row>
    <row r="331" spans="1:18" x14ac:dyDescent="0.25">
      <c r="A331">
        <v>329</v>
      </c>
      <c r="B331">
        <v>330</v>
      </c>
      <c r="C331">
        <v>0.2273</v>
      </c>
      <c r="D331">
        <v>0.59</v>
      </c>
      <c r="E331">
        <v>0</v>
      </c>
      <c r="F331">
        <v>0</v>
      </c>
      <c r="G331">
        <v>1</v>
      </c>
      <c r="H331">
        <v>1</v>
      </c>
      <c r="I331">
        <v>330</v>
      </c>
      <c r="J331" s="1">
        <v>40558</v>
      </c>
      <c r="K331">
        <v>1</v>
      </c>
      <c r="L331">
        <v>0</v>
      </c>
      <c r="M331">
        <v>1</v>
      </c>
      <c r="N331">
        <v>5</v>
      </c>
      <c r="O331" t="b">
        <v>0</v>
      </c>
      <c r="P331">
        <v>6</v>
      </c>
      <c r="Q331">
        <v>1</v>
      </c>
      <c r="R331">
        <v>0.16</v>
      </c>
    </row>
    <row r="332" spans="1:18" x14ac:dyDescent="0.25">
      <c r="A332">
        <v>330</v>
      </c>
      <c r="B332">
        <v>331</v>
      </c>
      <c r="C332">
        <v>0.16669999999999999</v>
      </c>
      <c r="D332">
        <v>0.63</v>
      </c>
      <c r="E332">
        <v>0.1045</v>
      </c>
      <c r="F332">
        <v>1</v>
      </c>
      <c r="G332">
        <v>2</v>
      </c>
      <c r="H332">
        <v>3</v>
      </c>
      <c r="I332">
        <v>331</v>
      </c>
      <c r="J332" s="1">
        <v>40558</v>
      </c>
      <c r="K332">
        <v>1</v>
      </c>
      <c r="L332">
        <v>0</v>
      </c>
      <c r="M332">
        <v>1</v>
      </c>
      <c r="N332">
        <v>6</v>
      </c>
      <c r="O332" t="b">
        <v>0</v>
      </c>
      <c r="P332">
        <v>6</v>
      </c>
      <c r="Q332">
        <v>1</v>
      </c>
      <c r="R332">
        <v>0.14000000000000001</v>
      </c>
    </row>
    <row r="333" spans="1:18" x14ac:dyDescent="0.25">
      <c r="A333">
        <v>331</v>
      </c>
      <c r="B333">
        <v>332</v>
      </c>
      <c r="C333">
        <v>0.21210000000000001</v>
      </c>
      <c r="D333">
        <v>0.63</v>
      </c>
      <c r="E333">
        <v>0</v>
      </c>
      <c r="F333">
        <v>1</v>
      </c>
      <c r="G333">
        <v>9</v>
      </c>
      <c r="H333">
        <v>10</v>
      </c>
      <c r="I333">
        <v>332</v>
      </c>
      <c r="J333" s="1">
        <v>40558</v>
      </c>
      <c r="K333">
        <v>1</v>
      </c>
      <c r="L333">
        <v>0</v>
      </c>
      <c r="M333">
        <v>1</v>
      </c>
      <c r="N333">
        <v>7</v>
      </c>
      <c r="O333" t="b">
        <v>0</v>
      </c>
      <c r="P333">
        <v>6</v>
      </c>
      <c r="Q333">
        <v>1</v>
      </c>
      <c r="R333">
        <v>0.14000000000000001</v>
      </c>
    </row>
    <row r="334" spans="1:18" x14ac:dyDescent="0.25">
      <c r="A334">
        <v>332</v>
      </c>
      <c r="B334">
        <v>333</v>
      </c>
      <c r="C334">
        <v>0.1515</v>
      </c>
      <c r="D334">
        <v>0.63</v>
      </c>
      <c r="E334">
        <v>0.1343</v>
      </c>
      <c r="F334">
        <v>1</v>
      </c>
      <c r="G334">
        <v>22</v>
      </c>
      <c r="H334">
        <v>23</v>
      </c>
      <c r="I334">
        <v>333</v>
      </c>
      <c r="J334" s="1">
        <v>40558</v>
      </c>
      <c r="K334">
        <v>1</v>
      </c>
      <c r="L334">
        <v>0</v>
      </c>
      <c r="M334">
        <v>1</v>
      </c>
      <c r="N334">
        <v>8</v>
      </c>
      <c r="O334" t="b">
        <v>0</v>
      </c>
      <c r="P334">
        <v>6</v>
      </c>
      <c r="Q334">
        <v>1</v>
      </c>
      <c r="R334">
        <v>0.14000000000000001</v>
      </c>
    </row>
    <row r="335" spans="1:18" x14ac:dyDescent="0.25">
      <c r="A335">
        <v>333</v>
      </c>
      <c r="B335">
        <v>334</v>
      </c>
      <c r="C335">
        <v>0.18179999999999999</v>
      </c>
      <c r="D335">
        <v>0.64</v>
      </c>
      <c r="E335">
        <v>0.1343</v>
      </c>
      <c r="F335">
        <v>2</v>
      </c>
      <c r="G335">
        <v>31</v>
      </c>
      <c r="H335">
        <v>33</v>
      </c>
      <c r="I335">
        <v>334</v>
      </c>
      <c r="J335" s="1">
        <v>40558</v>
      </c>
      <c r="K335">
        <v>1</v>
      </c>
      <c r="L335">
        <v>0</v>
      </c>
      <c r="M335">
        <v>1</v>
      </c>
      <c r="N335">
        <v>9</v>
      </c>
      <c r="O335" t="b">
        <v>0</v>
      </c>
      <c r="P335">
        <v>6</v>
      </c>
      <c r="Q335">
        <v>1</v>
      </c>
      <c r="R335">
        <v>0.16</v>
      </c>
    </row>
    <row r="336" spans="1:18" x14ac:dyDescent="0.25">
      <c r="A336">
        <v>334</v>
      </c>
      <c r="B336">
        <v>335</v>
      </c>
      <c r="C336">
        <v>0.19700000000000001</v>
      </c>
      <c r="D336">
        <v>0.59</v>
      </c>
      <c r="E336">
        <v>0.16420000000000001</v>
      </c>
      <c r="F336">
        <v>2</v>
      </c>
      <c r="G336">
        <v>57</v>
      </c>
      <c r="H336">
        <v>59</v>
      </c>
      <c r="I336">
        <v>335</v>
      </c>
      <c r="J336" s="1">
        <v>40558</v>
      </c>
      <c r="K336">
        <v>1</v>
      </c>
      <c r="L336">
        <v>0</v>
      </c>
      <c r="M336">
        <v>1</v>
      </c>
      <c r="N336">
        <v>10</v>
      </c>
      <c r="O336" t="b">
        <v>0</v>
      </c>
      <c r="P336">
        <v>6</v>
      </c>
      <c r="Q336">
        <v>1</v>
      </c>
      <c r="R336">
        <v>0.18</v>
      </c>
    </row>
    <row r="337" spans="1:18" x14ac:dyDescent="0.25">
      <c r="A337">
        <v>335</v>
      </c>
      <c r="B337">
        <v>336</v>
      </c>
      <c r="C337">
        <v>0.19700000000000001</v>
      </c>
      <c r="D337">
        <v>0.55000000000000004</v>
      </c>
      <c r="E337">
        <v>0.22389999999999999</v>
      </c>
      <c r="F337">
        <v>18</v>
      </c>
      <c r="G337">
        <v>54</v>
      </c>
      <c r="H337">
        <v>72</v>
      </c>
      <c r="I337">
        <v>336</v>
      </c>
      <c r="J337" s="1">
        <v>40558</v>
      </c>
      <c r="K337">
        <v>1</v>
      </c>
      <c r="L337">
        <v>0</v>
      </c>
      <c r="M337">
        <v>1</v>
      </c>
      <c r="N337">
        <v>11</v>
      </c>
      <c r="O337" t="b">
        <v>0</v>
      </c>
      <c r="P337">
        <v>6</v>
      </c>
      <c r="Q337">
        <v>1</v>
      </c>
      <c r="R337">
        <v>0.2</v>
      </c>
    </row>
    <row r="338" spans="1:18" x14ac:dyDescent="0.25">
      <c r="A338">
        <v>336</v>
      </c>
      <c r="B338">
        <v>337</v>
      </c>
      <c r="C338">
        <v>0.2273</v>
      </c>
      <c r="D338">
        <v>0.48</v>
      </c>
      <c r="E338">
        <v>0.22389999999999999</v>
      </c>
      <c r="F338">
        <v>15</v>
      </c>
      <c r="G338">
        <v>74</v>
      </c>
      <c r="H338">
        <v>89</v>
      </c>
      <c r="I338">
        <v>337</v>
      </c>
      <c r="J338" s="1">
        <v>40558</v>
      </c>
      <c r="K338">
        <v>1</v>
      </c>
      <c r="L338">
        <v>0</v>
      </c>
      <c r="M338">
        <v>1</v>
      </c>
      <c r="N338">
        <v>12</v>
      </c>
      <c r="O338" t="b">
        <v>0</v>
      </c>
      <c r="P338">
        <v>6</v>
      </c>
      <c r="Q338">
        <v>1</v>
      </c>
      <c r="R338">
        <v>0.24</v>
      </c>
    </row>
    <row r="339" spans="1:18" x14ac:dyDescent="0.25">
      <c r="A339">
        <v>337</v>
      </c>
      <c r="B339">
        <v>338</v>
      </c>
      <c r="C339">
        <v>0.2576</v>
      </c>
      <c r="D339">
        <v>0.38</v>
      </c>
      <c r="E339">
        <v>0.29849999999999999</v>
      </c>
      <c r="F339">
        <v>21</v>
      </c>
      <c r="G339">
        <v>80</v>
      </c>
      <c r="H339">
        <v>101</v>
      </c>
      <c r="I339">
        <v>338</v>
      </c>
      <c r="J339" s="1">
        <v>40558</v>
      </c>
      <c r="K339">
        <v>1</v>
      </c>
      <c r="L339">
        <v>0</v>
      </c>
      <c r="M339">
        <v>1</v>
      </c>
      <c r="N339">
        <v>13</v>
      </c>
      <c r="O339" t="b">
        <v>0</v>
      </c>
      <c r="P339">
        <v>6</v>
      </c>
      <c r="Q339">
        <v>1</v>
      </c>
      <c r="R339">
        <v>0.28000000000000003</v>
      </c>
    </row>
    <row r="340" spans="1:18" x14ac:dyDescent="0.25">
      <c r="A340">
        <v>338</v>
      </c>
      <c r="B340">
        <v>339</v>
      </c>
      <c r="C340">
        <v>0.28789999999999999</v>
      </c>
      <c r="D340">
        <v>0.39</v>
      </c>
      <c r="E340">
        <v>0.28360000000000002</v>
      </c>
      <c r="F340">
        <v>26</v>
      </c>
      <c r="G340">
        <v>92</v>
      </c>
      <c r="H340">
        <v>118</v>
      </c>
      <c r="I340">
        <v>339</v>
      </c>
      <c r="J340" s="1">
        <v>40558</v>
      </c>
      <c r="K340">
        <v>1</v>
      </c>
      <c r="L340">
        <v>0</v>
      </c>
      <c r="M340">
        <v>1</v>
      </c>
      <c r="N340">
        <v>14</v>
      </c>
      <c r="O340" t="b">
        <v>0</v>
      </c>
      <c r="P340">
        <v>6</v>
      </c>
      <c r="Q340">
        <v>1</v>
      </c>
      <c r="R340">
        <v>0.3</v>
      </c>
    </row>
    <row r="341" spans="1:18" x14ac:dyDescent="0.25">
      <c r="A341">
        <v>339</v>
      </c>
      <c r="B341">
        <v>340</v>
      </c>
      <c r="C341">
        <v>0.31819999999999998</v>
      </c>
      <c r="D341">
        <v>0.36</v>
      </c>
      <c r="E341">
        <v>0.19400000000000001</v>
      </c>
      <c r="F341">
        <v>21</v>
      </c>
      <c r="G341">
        <v>108</v>
      </c>
      <c r="H341">
        <v>129</v>
      </c>
      <c r="I341">
        <v>340</v>
      </c>
      <c r="J341" s="1">
        <v>40558</v>
      </c>
      <c r="K341">
        <v>1</v>
      </c>
      <c r="L341">
        <v>0</v>
      </c>
      <c r="M341">
        <v>1</v>
      </c>
      <c r="N341">
        <v>15</v>
      </c>
      <c r="O341" t="b">
        <v>0</v>
      </c>
      <c r="P341">
        <v>6</v>
      </c>
      <c r="Q341">
        <v>2</v>
      </c>
      <c r="R341">
        <v>0.32</v>
      </c>
    </row>
    <row r="342" spans="1:18" x14ac:dyDescent="0.25">
      <c r="A342">
        <v>340</v>
      </c>
      <c r="B342">
        <v>341</v>
      </c>
      <c r="C342">
        <v>0.33329999999999999</v>
      </c>
      <c r="D342">
        <v>0.34</v>
      </c>
      <c r="E342">
        <v>0.19400000000000001</v>
      </c>
      <c r="F342">
        <v>33</v>
      </c>
      <c r="G342">
        <v>95</v>
      </c>
      <c r="H342">
        <v>128</v>
      </c>
      <c r="I342">
        <v>341</v>
      </c>
      <c r="J342" s="1">
        <v>40558</v>
      </c>
      <c r="K342">
        <v>1</v>
      </c>
      <c r="L342">
        <v>0</v>
      </c>
      <c r="M342">
        <v>1</v>
      </c>
      <c r="N342">
        <v>16</v>
      </c>
      <c r="O342" t="b">
        <v>0</v>
      </c>
      <c r="P342">
        <v>6</v>
      </c>
      <c r="Q342">
        <v>2</v>
      </c>
      <c r="R342">
        <v>0.34</v>
      </c>
    </row>
    <row r="343" spans="1:18" x14ac:dyDescent="0.25">
      <c r="A343">
        <v>341</v>
      </c>
      <c r="B343">
        <v>342</v>
      </c>
      <c r="C343">
        <v>0.30299999999999999</v>
      </c>
      <c r="D343">
        <v>0.36</v>
      </c>
      <c r="E343">
        <v>0.28360000000000002</v>
      </c>
      <c r="F343">
        <v>29</v>
      </c>
      <c r="G343">
        <v>54</v>
      </c>
      <c r="H343">
        <v>83</v>
      </c>
      <c r="I343">
        <v>342</v>
      </c>
      <c r="J343" s="1">
        <v>40558</v>
      </c>
      <c r="K343">
        <v>1</v>
      </c>
      <c r="L343">
        <v>0</v>
      </c>
      <c r="M343">
        <v>1</v>
      </c>
      <c r="N343">
        <v>17</v>
      </c>
      <c r="O343" t="b">
        <v>0</v>
      </c>
      <c r="P343">
        <v>6</v>
      </c>
      <c r="Q343">
        <v>2</v>
      </c>
      <c r="R343">
        <v>0.32</v>
      </c>
    </row>
    <row r="344" spans="1:18" x14ac:dyDescent="0.25">
      <c r="A344">
        <v>342</v>
      </c>
      <c r="B344">
        <v>343</v>
      </c>
      <c r="C344">
        <v>0.28789999999999999</v>
      </c>
      <c r="D344">
        <v>0.45</v>
      </c>
      <c r="E344">
        <v>0.25369999999999998</v>
      </c>
      <c r="F344">
        <v>15</v>
      </c>
      <c r="G344">
        <v>69</v>
      </c>
      <c r="H344">
        <v>84</v>
      </c>
      <c r="I344">
        <v>343</v>
      </c>
      <c r="J344" s="1">
        <v>40558</v>
      </c>
      <c r="K344">
        <v>1</v>
      </c>
      <c r="L344">
        <v>0</v>
      </c>
      <c r="M344">
        <v>1</v>
      </c>
      <c r="N344">
        <v>18</v>
      </c>
      <c r="O344" t="b">
        <v>0</v>
      </c>
      <c r="P344">
        <v>6</v>
      </c>
      <c r="Q344">
        <v>2</v>
      </c>
      <c r="R344">
        <v>0.3</v>
      </c>
    </row>
    <row r="345" spans="1:18" x14ac:dyDescent="0.25">
      <c r="A345">
        <v>343</v>
      </c>
      <c r="B345">
        <v>344</v>
      </c>
      <c r="C345">
        <v>0.30299999999999999</v>
      </c>
      <c r="D345">
        <v>0.39</v>
      </c>
      <c r="E345">
        <v>0.25369999999999998</v>
      </c>
      <c r="F345">
        <v>14</v>
      </c>
      <c r="G345">
        <v>60</v>
      </c>
      <c r="H345">
        <v>74</v>
      </c>
      <c r="I345">
        <v>344</v>
      </c>
      <c r="J345" s="1">
        <v>40558</v>
      </c>
      <c r="K345">
        <v>1</v>
      </c>
      <c r="L345">
        <v>0</v>
      </c>
      <c r="M345">
        <v>1</v>
      </c>
      <c r="N345">
        <v>19</v>
      </c>
      <c r="O345" t="b">
        <v>0</v>
      </c>
      <c r="P345">
        <v>6</v>
      </c>
      <c r="Q345">
        <v>2</v>
      </c>
      <c r="R345">
        <v>0.32</v>
      </c>
    </row>
    <row r="346" spans="1:18" x14ac:dyDescent="0.25">
      <c r="A346">
        <v>344</v>
      </c>
      <c r="B346">
        <v>345</v>
      </c>
      <c r="C346">
        <v>0.30299999999999999</v>
      </c>
      <c r="D346">
        <v>0.39</v>
      </c>
      <c r="E346">
        <v>0.25369999999999998</v>
      </c>
      <c r="F346">
        <v>6</v>
      </c>
      <c r="G346">
        <v>35</v>
      </c>
      <c r="H346">
        <v>41</v>
      </c>
      <c r="I346">
        <v>345</v>
      </c>
      <c r="J346" s="1">
        <v>40558</v>
      </c>
      <c r="K346">
        <v>1</v>
      </c>
      <c r="L346">
        <v>0</v>
      </c>
      <c r="M346">
        <v>1</v>
      </c>
      <c r="N346">
        <v>20</v>
      </c>
      <c r="O346" t="b">
        <v>0</v>
      </c>
      <c r="P346">
        <v>6</v>
      </c>
      <c r="Q346">
        <v>2</v>
      </c>
      <c r="R346">
        <v>0.32</v>
      </c>
    </row>
    <row r="347" spans="1:18" x14ac:dyDescent="0.25">
      <c r="A347">
        <v>345</v>
      </c>
      <c r="B347">
        <v>346</v>
      </c>
      <c r="C347">
        <v>0.30299999999999999</v>
      </c>
      <c r="D347">
        <v>0.39</v>
      </c>
      <c r="E347">
        <v>0.22389999999999999</v>
      </c>
      <c r="F347">
        <v>6</v>
      </c>
      <c r="G347">
        <v>51</v>
      </c>
      <c r="H347">
        <v>57</v>
      </c>
      <c r="I347">
        <v>346</v>
      </c>
      <c r="J347" s="1">
        <v>40558</v>
      </c>
      <c r="K347">
        <v>1</v>
      </c>
      <c r="L347">
        <v>0</v>
      </c>
      <c r="M347">
        <v>1</v>
      </c>
      <c r="N347">
        <v>21</v>
      </c>
      <c r="O347" t="b">
        <v>0</v>
      </c>
      <c r="P347">
        <v>6</v>
      </c>
      <c r="Q347">
        <v>2</v>
      </c>
      <c r="R347">
        <v>0.32</v>
      </c>
    </row>
    <row r="348" spans="1:18" x14ac:dyDescent="0.25">
      <c r="A348">
        <v>346</v>
      </c>
      <c r="B348">
        <v>347</v>
      </c>
      <c r="C348">
        <v>0.31819999999999998</v>
      </c>
      <c r="D348">
        <v>0.42</v>
      </c>
      <c r="E348">
        <v>0.1045</v>
      </c>
      <c r="F348">
        <v>0</v>
      </c>
      <c r="G348">
        <v>26</v>
      </c>
      <c r="H348">
        <v>26</v>
      </c>
      <c r="I348">
        <v>347</v>
      </c>
      <c r="J348" s="1">
        <v>40558</v>
      </c>
      <c r="K348">
        <v>1</v>
      </c>
      <c r="L348">
        <v>0</v>
      </c>
      <c r="M348">
        <v>1</v>
      </c>
      <c r="N348">
        <v>22</v>
      </c>
      <c r="O348" t="b">
        <v>0</v>
      </c>
      <c r="P348">
        <v>6</v>
      </c>
      <c r="Q348">
        <v>2</v>
      </c>
      <c r="R348">
        <v>0.3</v>
      </c>
    </row>
    <row r="349" spans="1:18" x14ac:dyDescent="0.25">
      <c r="A349">
        <v>347</v>
      </c>
      <c r="B349">
        <v>348</v>
      </c>
      <c r="C349">
        <v>0.28789999999999999</v>
      </c>
      <c r="D349">
        <v>0.45</v>
      </c>
      <c r="E349">
        <v>0.28360000000000002</v>
      </c>
      <c r="F349">
        <v>5</v>
      </c>
      <c r="G349">
        <v>39</v>
      </c>
      <c r="H349">
        <v>44</v>
      </c>
      <c r="I349">
        <v>348</v>
      </c>
      <c r="J349" s="1">
        <v>40558</v>
      </c>
      <c r="K349">
        <v>1</v>
      </c>
      <c r="L349">
        <v>0</v>
      </c>
      <c r="M349">
        <v>1</v>
      </c>
      <c r="N349">
        <v>23</v>
      </c>
      <c r="O349" t="b">
        <v>0</v>
      </c>
      <c r="P349">
        <v>6</v>
      </c>
      <c r="Q349">
        <v>1</v>
      </c>
      <c r="R349">
        <v>0.3</v>
      </c>
    </row>
    <row r="350" spans="1:18" x14ac:dyDescent="0.25">
      <c r="A350">
        <v>348</v>
      </c>
      <c r="B350">
        <v>349</v>
      </c>
      <c r="C350">
        <v>0.30299999999999999</v>
      </c>
      <c r="D350">
        <v>0.56000000000000005</v>
      </c>
      <c r="E350">
        <v>0</v>
      </c>
      <c r="F350">
        <v>6</v>
      </c>
      <c r="G350">
        <v>33</v>
      </c>
      <c r="H350">
        <v>39</v>
      </c>
      <c r="I350">
        <v>349</v>
      </c>
      <c r="J350" s="1">
        <v>40559</v>
      </c>
      <c r="K350">
        <v>1</v>
      </c>
      <c r="L350">
        <v>0</v>
      </c>
      <c r="M350">
        <v>1</v>
      </c>
      <c r="N350">
        <v>0</v>
      </c>
      <c r="O350" t="b">
        <v>0</v>
      </c>
      <c r="P350">
        <v>0</v>
      </c>
      <c r="Q350">
        <v>1</v>
      </c>
      <c r="R350">
        <v>0.26</v>
      </c>
    </row>
    <row r="351" spans="1:18" x14ac:dyDescent="0.25">
      <c r="A351">
        <v>349</v>
      </c>
      <c r="B351">
        <v>350</v>
      </c>
      <c r="C351">
        <v>0.2727</v>
      </c>
      <c r="D351">
        <v>0.56000000000000005</v>
      </c>
      <c r="E351">
        <v>0.1343</v>
      </c>
      <c r="F351">
        <v>4</v>
      </c>
      <c r="G351">
        <v>19</v>
      </c>
      <c r="H351">
        <v>23</v>
      </c>
      <c r="I351">
        <v>350</v>
      </c>
      <c r="J351" s="1">
        <v>40559</v>
      </c>
      <c r="K351">
        <v>1</v>
      </c>
      <c r="L351">
        <v>0</v>
      </c>
      <c r="M351">
        <v>1</v>
      </c>
      <c r="N351">
        <v>1</v>
      </c>
      <c r="O351" t="b">
        <v>0</v>
      </c>
      <c r="P351">
        <v>0</v>
      </c>
      <c r="Q351">
        <v>1</v>
      </c>
      <c r="R351">
        <v>0.26</v>
      </c>
    </row>
    <row r="352" spans="1:18" x14ac:dyDescent="0.25">
      <c r="A352">
        <v>350</v>
      </c>
      <c r="B352">
        <v>351</v>
      </c>
      <c r="C352">
        <v>0.28789999999999999</v>
      </c>
      <c r="D352">
        <v>0.56000000000000005</v>
      </c>
      <c r="E352">
        <v>8.9599999999999999E-2</v>
      </c>
      <c r="F352">
        <v>3</v>
      </c>
      <c r="G352">
        <v>13</v>
      </c>
      <c r="H352">
        <v>16</v>
      </c>
      <c r="I352">
        <v>351</v>
      </c>
      <c r="J352" s="1">
        <v>40559</v>
      </c>
      <c r="K352">
        <v>1</v>
      </c>
      <c r="L352">
        <v>0</v>
      </c>
      <c r="M352">
        <v>1</v>
      </c>
      <c r="N352">
        <v>2</v>
      </c>
      <c r="O352" t="b">
        <v>0</v>
      </c>
      <c r="P352">
        <v>0</v>
      </c>
      <c r="Q352">
        <v>1</v>
      </c>
      <c r="R352">
        <v>0.26</v>
      </c>
    </row>
    <row r="353" spans="1:18" x14ac:dyDescent="0.25">
      <c r="A353">
        <v>351</v>
      </c>
      <c r="B353">
        <v>352</v>
      </c>
      <c r="C353">
        <v>0.2727</v>
      </c>
      <c r="D353">
        <v>0.69</v>
      </c>
      <c r="E353">
        <v>0</v>
      </c>
      <c r="F353">
        <v>9</v>
      </c>
      <c r="G353">
        <v>6</v>
      </c>
      <c r="H353">
        <v>15</v>
      </c>
      <c r="I353">
        <v>352</v>
      </c>
      <c r="J353" s="1">
        <v>40559</v>
      </c>
      <c r="K353">
        <v>1</v>
      </c>
      <c r="L353">
        <v>0</v>
      </c>
      <c r="M353">
        <v>1</v>
      </c>
      <c r="N353">
        <v>3</v>
      </c>
      <c r="O353" t="b">
        <v>0</v>
      </c>
      <c r="P353">
        <v>0</v>
      </c>
      <c r="Q353">
        <v>1</v>
      </c>
      <c r="R353">
        <v>0.22</v>
      </c>
    </row>
    <row r="354" spans="1:18" x14ac:dyDescent="0.25">
      <c r="A354">
        <v>352</v>
      </c>
      <c r="B354">
        <v>353</v>
      </c>
      <c r="C354">
        <v>0.2576</v>
      </c>
      <c r="D354">
        <v>0.56000000000000005</v>
      </c>
      <c r="E354">
        <v>0.16420000000000001</v>
      </c>
      <c r="F354">
        <v>0</v>
      </c>
      <c r="G354">
        <v>1</v>
      </c>
      <c r="H354">
        <v>1</v>
      </c>
      <c r="I354">
        <v>353</v>
      </c>
      <c r="J354" s="1">
        <v>40559</v>
      </c>
      <c r="K354">
        <v>1</v>
      </c>
      <c r="L354">
        <v>0</v>
      </c>
      <c r="M354">
        <v>1</v>
      </c>
      <c r="N354">
        <v>4</v>
      </c>
      <c r="O354" t="b">
        <v>0</v>
      </c>
      <c r="P354">
        <v>0</v>
      </c>
      <c r="Q354">
        <v>1</v>
      </c>
      <c r="R354">
        <v>0.26</v>
      </c>
    </row>
    <row r="355" spans="1:18" x14ac:dyDescent="0.25">
      <c r="A355">
        <v>353</v>
      </c>
      <c r="B355">
        <v>354</v>
      </c>
      <c r="C355">
        <v>0.2576</v>
      </c>
      <c r="D355">
        <v>0.56000000000000005</v>
      </c>
      <c r="E355">
        <v>0.16420000000000001</v>
      </c>
      <c r="F355">
        <v>1</v>
      </c>
      <c r="G355">
        <v>1</v>
      </c>
      <c r="H355">
        <v>2</v>
      </c>
      <c r="I355">
        <v>354</v>
      </c>
      <c r="J355" s="1">
        <v>40559</v>
      </c>
      <c r="K355">
        <v>1</v>
      </c>
      <c r="L355">
        <v>0</v>
      </c>
      <c r="M355">
        <v>1</v>
      </c>
      <c r="N355">
        <v>5</v>
      </c>
      <c r="O355" t="b">
        <v>0</v>
      </c>
      <c r="P355">
        <v>0</v>
      </c>
      <c r="Q355">
        <v>2</v>
      </c>
      <c r="R355">
        <v>0.26</v>
      </c>
    </row>
    <row r="356" spans="1:18" x14ac:dyDescent="0.25">
      <c r="A356">
        <v>354</v>
      </c>
      <c r="B356">
        <v>355</v>
      </c>
      <c r="C356">
        <v>0.2576</v>
      </c>
      <c r="D356">
        <v>0.56000000000000005</v>
      </c>
      <c r="E356">
        <v>0.16420000000000001</v>
      </c>
      <c r="F356">
        <v>0</v>
      </c>
      <c r="G356">
        <v>1</v>
      </c>
      <c r="H356">
        <v>1</v>
      </c>
      <c r="I356">
        <v>355</v>
      </c>
      <c r="J356" s="1">
        <v>40559</v>
      </c>
      <c r="K356">
        <v>1</v>
      </c>
      <c r="L356">
        <v>0</v>
      </c>
      <c r="M356">
        <v>1</v>
      </c>
      <c r="N356">
        <v>6</v>
      </c>
      <c r="O356" t="b">
        <v>0</v>
      </c>
      <c r="P356">
        <v>0</v>
      </c>
      <c r="Q356">
        <v>2</v>
      </c>
      <c r="R356">
        <v>0.26</v>
      </c>
    </row>
    <row r="357" spans="1:18" x14ac:dyDescent="0.25">
      <c r="A357">
        <v>355</v>
      </c>
      <c r="B357">
        <v>356</v>
      </c>
      <c r="C357">
        <v>0.21210000000000001</v>
      </c>
      <c r="D357">
        <v>0.56000000000000005</v>
      </c>
      <c r="E357">
        <v>0.29849999999999999</v>
      </c>
      <c r="F357">
        <v>0</v>
      </c>
      <c r="G357">
        <v>3</v>
      </c>
      <c r="H357">
        <v>3</v>
      </c>
      <c r="I357">
        <v>356</v>
      </c>
      <c r="J357" s="1">
        <v>40559</v>
      </c>
      <c r="K357">
        <v>1</v>
      </c>
      <c r="L357">
        <v>0</v>
      </c>
      <c r="M357">
        <v>1</v>
      </c>
      <c r="N357">
        <v>7</v>
      </c>
      <c r="O357" t="b">
        <v>0</v>
      </c>
      <c r="P357">
        <v>0</v>
      </c>
      <c r="Q357">
        <v>2</v>
      </c>
      <c r="R357">
        <v>0.24</v>
      </c>
    </row>
    <row r="358" spans="1:18" x14ac:dyDescent="0.25">
      <c r="A358">
        <v>356</v>
      </c>
      <c r="B358">
        <v>357</v>
      </c>
      <c r="C358">
        <v>0.21210000000000001</v>
      </c>
      <c r="D358">
        <v>0.55000000000000004</v>
      </c>
      <c r="E358">
        <v>0.28360000000000002</v>
      </c>
      <c r="F358">
        <v>0</v>
      </c>
      <c r="G358">
        <v>18</v>
      </c>
      <c r="H358">
        <v>18</v>
      </c>
      <c r="I358">
        <v>357</v>
      </c>
      <c r="J358" s="1">
        <v>40559</v>
      </c>
      <c r="K358">
        <v>1</v>
      </c>
      <c r="L358">
        <v>0</v>
      </c>
      <c r="M358">
        <v>1</v>
      </c>
      <c r="N358">
        <v>8</v>
      </c>
      <c r="O358" t="b">
        <v>0</v>
      </c>
      <c r="P358">
        <v>0</v>
      </c>
      <c r="Q358">
        <v>1</v>
      </c>
      <c r="R358">
        <v>0.22</v>
      </c>
    </row>
    <row r="359" spans="1:18" x14ac:dyDescent="0.25">
      <c r="A359">
        <v>357</v>
      </c>
      <c r="B359">
        <v>358</v>
      </c>
      <c r="C359">
        <v>0.21210000000000001</v>
      </c>
      <c r="D359">
        <v>0.51</v>
      </c>
      <c r="E359">
        <v>0.25369999999999998</v>
      </c>
      <c r="F359">
        <v>3</v>
      </c>
      <c r="G359">
        <v>29</v>
      </c>
      <c r="H359">
        <v>32</v>
      </c>
      <c r="I359">
        <v>358</v>
      </c>
      <c r="J359" s="1">
        <v>40559</v>
      </c>
      <c r="K359">
        <v>1</v>
      </c>
      <c r="L359">
        <v>0</v>
      </c>
      <c r="M359">
        <v>1</v>
      </c>
      <c r="N359">
        <v>9</v>
      </c>
      <c r="O359" t="b">
        <v>0</v>
      </c>
      <c r="P359">
        <v>0</v>
      </c>
      <c r="Q359">
        <v>1</v>
      </c>
      <c r="R359">
        <v>0.22</v>
      </c>
    </row>
    <row r="360" spans="1:18" x14ac:dyDescent="0.25">
      <c r="A360">
        <v>358</v>
      </c>
      <c r="B360">
        <v>359</v>
      </c>
      <c r="C360">
        <v>0.21210000000000001</v>
      </c>
      <c r="D360">
        <v>0.51</v>
      </c>
      <c r="E360">
        <v>0.28360000000000002</v>
      </c>
      <c r="F360">
        <v>8</v>
      </c>
      <c r="G360">
        <v>71</v>
      </c>
      <c r="H360">
        <v>79</v>
      </c>
      <c r="I360">
        <v>359</v>
      </c>
      <c r="J360" s="1">
        <v>40559</v>
      </c>
      <c r="K360">
        <v>1</v>
      </c>
      <c r="L360">
        <v>0</v>
      </c>
      <c r="M360">
        <v>1</v>
      </c>
      <c r="N360">
        <v>10</v>
      </c>
      <c r="O360" t="b">
        <v>0</v>
      </c>
      <c r="P360">
        <v>0</v>
      </c>
      <c r="Q360">
        <v>1</v>
      </c>
      <c r="R360">
        <v>0.22</v>
      </c>
    </row>
    <row r="361" spans="1:18" x14ac:dyDescent="0.25">
      <c r="A361">
        <v>359</v>
      </c>
      <c r="B361">
        <v>360</v>
      </c>
      <c r="C361">
        <v>0.2273</v>
      </c>
      <c r="D361">
        <v>0.44</v>
      </c>
      <c r="E361">
        <v>0.25369999999999998</v>
      </c>
      <c r="F361">
        <v>23</v>
      </c>
      <c r="G361">
        <v>70</v>
      </c>
      <c r="H361">
        <v>93</v>
      </c>
      <c r="I361">
        <v>360</v>
      </c>
      <c r="J361" s="1">
        <v>40559</v>
      </c>
      <c r="K361">
        <v>1</v>
      </c>
      <c r="L361">
        <v>0</v>
      </c>
      <c r="M361">
        <v>1</v>
      </c>
      <c r="N361">
        <v>11</v>
      </c>
      <c r="O361" t="b">
        <v>0</v>
      </c>
      <c r="P361">
        <v>0</v>
      </c>
      <c r="Q361">
        <v>1</v>
      </c>
      <c r="R361">
        <v>0.24</v>
      </c>
    </row>
    <row r="362" spans="1:18" x14ac:dyDescent="0.25">
      <c r="A362">
        <v>360</v>
      </c>
      <c r="B362">
        <v>361</v>
      </c>
      <c r="C362">
        <v>0.21210000000000001</v>
      </c>
      <c r="D362">
        <v>0.41</v>
      </c>
      <c r="E362">
        <v>0.28360000000000002</v>
      </c>
      <c r="F362">
        <v>29</v>
      </c>
      <c r="G362">
        <v>75</v>
      </c>
      <c r="H362">
        <v>104</v>
      </c>
      <c r="I362">
        <v>361</v>
      </c>
      <c r="J362" s="1">
        <v>40559</v>
      </c>
      <c r="K362">
        <v>1</v>
      </c>
      <c r="L362">
        <v>0</v>
      </c>
      <c r="M362">
        <v>1</v>
      </c>
      <c r="N362">
        <v>12</v>
      </c>
      <c r="O362" t="b">
        <v>0</v>
      </c>
      <c r="P362">
        <v>0</v>
      </c>
      <c r="Q362">
        <v>1</v>
      </c>
      <c r="R362">
        <v>0.24</v>
      </c>
    </row>
    <row r="363" spans="1:18" x14ac:dyDescent="0.25">
      <c r="A363">
        <v>361</v>
      </c>
      <c r="B363">
        <v>362</v>
      </c>
      <c r="C363">
        <v>0.2273</v>
      </c>
      <c r="D363">
        <v>0.35</v>
      </c>
      <c r="E363">
        <v>0.29849999999999999</v>
      </c>
      <c r="F363">
        <v>23</v>
      </c>
      <c r="G363">
        <v>95</v>
      </c>
      <c r="H363">
        <v>118</v>
      </c>
      <c r="I363">
        <v>362</v>
      </c>
      <c r="J363" s="1">
        <v>40559</v>
      </c>
      <c r="K363">
        <v>1</v>
      </c>
      <c r="L363">
        <v>0</v>
      </c>
      <c r="M363">
        <v>1</v>
      </c>
      <c r="N363">
        <v>13</v>
      </c>
      <c r="O363" t="b">
        <v>0</v>
      </c>
      <c r="P363">
        <v>0</v>
      </c>
      <c r="Q363">
        <v>1</v>
      </c>
      <c r="R363">
        <v>0.26</v>
      </c>
    </row>
    <row r="364" spans="1:18" x14ac:dyDescent="0.25">
      <c r="A364">
        <v>362</v>
      </c>
      <c r="B364">
        <v>363</v>
      </c>
      <c r="C364">
        <v>0.2727</v>
      </c>
      <c r="D364">
        <v>0.36</v>
      </c>
      <c r="E364">
        <v>0.25369999999999998</v>
      </c>
      <c r="F364">
        <v>22</v>
      </c>
      <c r="G364">
        <v>69</v>
      </c>
      <c r="H364">
        <v>91</v>
      </c>
      <c r="I364">
        <v>363</v>
      </c>
      <c r="J364" s="1">
        <v>40559</v>
      </c>
      <c r="K364">
        <v>1</v>
      </c>
      <c r="L364">
        <v>0</v>
      </c>
      <c r="M364">
        <v>1</v>
      </c>
      <c r="N364">
        <v>14</v>
      </c>
      <c r="O364" t="b">
        <v>0</v>
      </c>
      <c r="P364">
        <v>0</v>
      </c>
      <c r="Q364">
        <v>1</v>
      </c>
      <c r="R364">
        <v>0.28000000000000003</v>
      </c>
    </row>
    <row r="365" spans="1:18" x14ac:dyDescent="0.25">
      <c r="A365">
        <v>363</v>
      </c>
      <c r="B365">
        <v>364</v>
      </c>
      <c r="C365">
        <v>0.2424</v>
      </c>
      <c r="D365">
        <v>0.38</v>
      </c>
      <c r="E365">
        <v>0.25369999999999998</v>
      </c>
      <c r="F365">
        <v>35</v>
      </c>
      <c r="G365">
        <v>78</v>
      </c>
      <c r="H365">
        <v>113</v>
      </c>
      <c r="I365">
        <v>364</v>
      </c>
      <c r="J365" s="1">
        <v>40559</v>
      </c>
      <c r="K365">
        <v>1</v>
      </c>
      <c r="L365">
        <v>0</v>
      </c>
      <c r="M365">
        <v>1</v>
      </c>
      <c r="N365">
        <v>15</v>
      </c>
      <c r="O365" t="b">
        <v>0</v>
      </c>
      <c r="P365">
        <v>0</v>
      </c>
      <c r="Q365">
        <v>1</v>
      </c>
      <c r="R365">
        <v>0.26</v>
      </c>
    </row>
    <row r="366" spans="1:18" x14ac:dyDescent="0.25">
      <c r="A366">
        <v>364</v>
      </c>
      <c r="B366">
        <v>365</v>
      </c>
      <c r="C366">
        <v>0.2273</v>
      </c>
      <c r="D366">
        <v>0.38</v>
      </c>
      <c r="E366">
        <v>0.22389999999999999</v>
      </c>
      <c r="F366">
        <v>22</v>
      </c>
      <c r="G366">
        <v>77</v>
      </c>
      <c r="H366">
        <v>99</v>
      </c>
      <c r="I366">
        <v>365</v>
      </c>
      <c r="J366" s="1">
        <v>40559</v>
      </c>
      <c r="K366">
        <v>1</v>
      </c>
      <c r="L366">
        <v>0</v>
      </c>
      <c r="M366">
        <v>1</v>
      </c>
      <c r="N366">
        <v>16</v>
      </c>
      <c r="O366" t="b">
        <v>0</v>
      </c>
      <c r="P366">
        <v>0</v>
      </c>
      <c r="Q366">
        <v>1</v>
      </c>
      <c r="R366">
        <v>0.24</v>
      </c>
    </row>
    <row r="367" spans="1:18" x14ac:dyDescent="0.25">
      <c r="A367">
        <v>365</v>
      </c>
      <c r="B367">
        <v>366</v>
      </c>
      <c r="C367">
        <v>0.21210000000000001</v>
      </c>
      <c r="D367">
        <v>0.37</v>
      </c>
      <c r="E367">
        <v>0.25369999999999998</v>
      </c>
      <c r="F367">
        <v>23</v>
      </c>
      <c r="G367">
        <v>82</v>
      </c>
      <c r="H367">
        <v>105</v>
      </c>
      <c r="I367">
        <v>366</v>
      </c>
      <c r="J367" s="1">
        <v>40559</v>
      </c>
      <c r="K367">
        <v>1</v>
      </c>
      <c r="L367">
        <v>0</v>
      </c>
      <c r="M367">
        <v>1</v>
      </c>
      <c r="N367">
        <v>17</v>
      </c>
      <c r="O367" t="b">
        <v>0</v>
      </c>
      <c r="P367">
        <v>0</v>
      </c>
      <c r="Q367">
        <v>1</v>
      </c>
      <c r="R367">
        <v>0.22</v>
      </c>
    </row>
    <row r="368" spans="1:18" x14ac:dyDescent="0.25">
      <c r="A368">
        <v>366</v>
      </c>
      <c r="B368">
        <v>367</v>
      </c>
      <c r="C368">
        <v>0.21210000000000001</v>
      </c>
      <c r="D368">
        <v>0.4</v>
      </c>
      <c r="E368">
        <v>0.16420000000000001</v>
      </c>
      <c r="F368">
        <v>11</v>
      </c>
      <c r="G368">
        <v>56</v>
      </c>
      <c r="H368">
        <v>67</v>
      </c>
      <c r="I368">
        <v>367</v>
      </c>
      <c r="J368" s="1">
        <v>40559</v>
      </c>
      <c r="K368">
        <v>1</v>
      </c>
      <c r="L368">
        <v>0</v>
      </c>
      <c r="M368">
        <v>1</v>
      </c>
      <c r="N368">
        <v>18</v>
      </c>
      <c r="O368" t="b">
        <v>0</v>
      </c>
      <c r="P368">
        <v>0</v>
      </c>
      <c r="Q368">
        <v>1</v>
      </c>
      <c r="R368">
        <v>0.2</v>
      </c>
    </row>
    <row r="369" spans="1:18" x14ac:dyDescent="0.25">
      <c r="A369">
        <v>367</v>
      </c>
      <c r="B369">
        <v>368</v>
      </c>
      <c r="C369">
        <v>0.19700000000000001</v>
      </c>
      <c r="D369">
        <v>0.47</v>
      </c>
      <c r="E369">
        <v>0.1343</v>
      </c>
      <c r="F369">
        <v>14</v>
      </c>
      <c r="G369">
        <v>47</v>
      </c>
      <c r="H369">
        <v>61</v>
      </c>
      <c r="I369">
        <v>368</v>
      </c>
      <c r="J369" s="1">
        <v>40559</v>
      </c>
      <c r="K369">
        <v>1</v>
      </c>
      <c r="L369">
        <v>0</v>
      </c>
      <c r="M369">
        <v>1</v>
      </c>
      <c r="N369">
        <v>19</v>
      </c>
      <c r="O369" t="b">
        <v>0</v>
      </c>
      <c r="P369">
        <v>0</v>
      </c>
      <c r="Q369">
        <v>1</v>
      </c>
      <c r="R369">
        <v>0.18</v>
      </c>
    </row>
    <row r="370" spans="1:18" x14ac:dyDescent="0.25">
      <c r="A370">
        <v>368</v>
      </c>
      <c r="B370">
        <v>369</v>
      </c>
      <c r="C370">
        <v>0.19700000000000001</v>
      </c>
      <c r="D370">
        <v>0.47</v>
      </c>
      <c r="E370">
        <v>0.16420000000000001</v>
      </c>
      <c r="F370">
        <v>7</v>
      </c>
      <c r="G370">
        <v>50</v>
      </c>
      <c r="H370">
        <v>57</v>
      </c>
      <c r="I370">
        <v>369</v>
      </c>
      <c r="J370" s="1">
        <v>40559</v>
      </c>
      <c r="K370">
        <v>1</v>
      </c>
      <c r="L370">
        <v>0</v>
      </c>
      <c r="M370">
        <v>1</v>
      </c>
      <c r="N370">
        <v>20</v>
      </c>
      <c r="O370" t="b">
        <v>0</v>
      </c>
      <c r="P370">
        <v>0</v>
      </c>
      <c r="Q370">
        <v>1</v>
      </c>
      <c r="R370">
        <v>0.18</v>
      </c>
    </row>
    <row r="371" spans="1:18" x14ac:dyDescent="0.25">
      <c r="A371">
        <v>369</v>
      </c>
      <c r="B371">
        <v>370</v>
      </c>
      <c r="C371">
        <v>0.19700000000000001</v>
      </c>
      <c r="D371">
        <v>0.51</v>
      </c>
      <c r="E371">
        <v>0.16420000000000001</v>
      </c>
      <c r="F371">
        <v>6</v>
      </c>
      <c r="G371">
        <v>22</v>
      </c>
      <c r="H371">
        <v>28</v>
      </c>
      <c r="I371">
        <v>370</v>
      </c>
      <c r="J371" s="1">
        <v>40559</v>
      </c>
      <c r="K371">
        <v>1</v>
      </c>
      <c r="L371">
        <v>0</v>
      </c>
      <c r="M371">
        <v>1</v>
      </c>
      <c r="N371">
        <v>21</v>
      </c>
      <c r="O371" t="b">
        <v>0</v>
      </c>
      <c r="P371">
        <v>0</v>
      </c>
      <c r="Q371">
        <v>1</v>
      </c>
      <c r="R371">
        <v>0.18</v>
      </c>
    </row>
    <row r="372" spans="1:18" x14ac:dyDescent="0.25">
      <c r="A372">
        <v>370</v>
      </c>
      <c r="B372">
        <v>371</v>
      </c>
      <c r="C372">
        <v>0.21210000000000001</v>
      </c>
      <c r="D372">
        <v>0.49</v>
      </c>
      <c r="E372">
        <v>0.1343</v>
      </c>
      <c r="F372">
        <v>2</v>
      </c>
      <c r="G372">
        <v>19</v>
      </c>
      <c r="H372">
        <v>21</v>
      </c>
      <c r="I372">
        <v>371</v>
      </c>
      <c r="J372" s="1">
        <v>40559</v>
      </c>
      <c r="K372">
        <v>1</v>
      </c>
      <c r="L372">
        <v>0</v>
      </c>
      <c r="M372">
        <v>1</v>
      </c>
      <c r="N372">
        <v>22</v>
      </c>
      <c r="O372" t="b">
        <v>0</v>
      </c>
      <c r="P372">
        <v>0</v>
      </c>
      <c r="Q372">
        <v>2</v>
      </c>
      <c r="R372">
        <v>0.2</v>
      </c>
    </row>
    <row r="373" spans="1:18" x14ac:dyDescent="0.25">
      <c r="A373">
        <v>371</v>
      </c>
      <c r="B373">
        <v>372</v>
      </c>
      <c r="C373">
        <v>0.2273</v>
      </c>
      <c r="D373">
        <v>0.4</v>
      </c>
      <c r="E373">
        <v>0.1045</v>
      </c>
      <c r="F373">
        <v>0</v>
      </c>
      <c r="G373">
        <v>18</v>
      </c>
      <c r="H373">
        <v>18</v>
      </c>
      <c r="I373">
        <v>372</v>
      </c>
      <c r="J373" s="1">
        <v>40559</v>
      </c>
      <c r="K373">
        <v>1</v>
      </c>
      <c r="L373">
        <v>0</v>
      </c>
      <c r="M373">
        <v>1</v>
      </c>
      <c r="N373">
        <v>23</v>
      </c>
      <c r="O373" t="b">
        <v>0</v>
      </c>
      <c r="P373">
        <v>0</v>
      </c>
      <c r="Q373">
        <v>2</v>
      </c>
      <c r="R373">
        <v>0.2</v>
      </c>
    </row>
    <row r="374" spans="1:18" x14ac:dyDescent="0.25">
      <c r="A374">
        <v>372</v>
      </c>
      <c r="B374">
        <v>373</v>
      </c>
      <c r="C374">
        <v>0.19700000000000001</v>
      </c>
      <c r="D374">
        <v>0.47</v>
      </c>
      <c r="E374">
        <v>0.22389999999999999</v>
      </c>
      <c r="F374">
        <v>1</v>
      </c>
      <c r="G374">
        <v>16</v>
      </c>
      <c r="H374">
        <v>17</v>
      </c>
      <c r="I374">
        <v>373</v>
      </c>
      <c r="J374" s="1">
        <v>40560</v>
      </c>
      <c r="K374">
        <v>1</v>
      </c>
      <c r="L374">
        <v>0</v>
      </c>
      <c r="M374">
        <v>1</v>
      </c>
      <c r="N374">
        <v>0</v>
      </c>
      <c r="O374" t="b">
        <v>1</v>
      </c>
      <c r="P374">
        <v>1</v>
      </c>
      <c r="Q374">
        <v>2</v>
      </c>
      <c r="R374">
        <v>0.2</v>
      </c>
    </row>
    <row r="375" spans="1:18" x14ac:dyDescent="0.25">
      <c r="A375">
        <v>373</v>
      </c>
      <c r="B375">
        <v>374</v>
      </c>
      <c r="C375">
        <v>0.19700000000000001</v>
      </c>
      <c r="D375">
        <v>0.44</v>
      </c>
      <c r="E375">
        <v>0.19400000000000001</v>
      </c>
      <c r="F375">
        <v>1</v>
      </c>
      <c r="G375">
        <v>15</v>
      </c>
      <c r="H375">
        <v>16</v>
      </c>
      <c r="I375">
        <v>374</v>
      </c>
      <c r="J375" s="1">
        <v>40560</v>
      </c>
      <c r="K375">
        <v>1</v>
      </c>
      <c r="L375">
        <v>0</v>
      </c>
      <c r="M375">
        <v>1</v>
      </c>
      <c r="N375">
        <v>1</v>
      </c>
      <c r="O375" t="b">
        <v>1</v>
      </c>
      <c r="P375">
        <v>1</v>
      </c>
      <c r="Q375">
        <v>2</v>
      </c>
      <c r="R375">
        <v>0.2</v>
      </c>
    </row>
    <row r="376" spans="1:18" x14ac:dyDescent="0.25">
      <c r="A376">
        <v>374</v>
      </c>
      <c r="B376">
        <v>375</v>
      </c>
      <c r="C376">
        <v>0.16669999999999999</v>
      </c>
      <c r="D376">
        <v>0.43</v>
      </c>
      <c r="E376">
        <v>0.25369999999999998</v>
      </c>
      <c r="F376">
        <v>0</v>
      </c>
      <c r="G376">
        <v>8</v>
      </c>
      <c r="H376">
        <v>8</v>
      </c>
      <c r="I376">
        <v>375</v>
      </c>
      <c r="J376" s="1">
        <v>40560</v>
      </c>
      <c r="K376">
        <v>1</v>
      </c>
      <c r="L376">
        <v>0</v>
      </c>
      <c r="M376">
        <v>1</v>
      </c>
      <c r="N376">
        <v>2</v>
      </c>
      <c r="O376" t="b">
        <v>1</v>
      </c>
      <c r="P376">
        <v>1</v>
      </c>
      <c r="Q376">
        <v>2</v>
      </c>
      <c r="R376">
        <v>0.18</v>
      </c>
    </row>
    <row r="377" spans="1:18" x14ac:dyDescent="0.25">
      <c r="A377">
        <v>375</v>
      </c>
      <c r="B377">
        <v>376</v>
      </c>
      <c r="C377">
        <v>0.18179999999999999</v>
      </c>
      <c r="D377">
        <v>0.43</v>
      </c>
      <c r="E377">
        <v>0.19400000000000001</v>
      </c>
      <c r="F377">
        <v>0</v>
      </c>
      <c r="G377">
        <v>2</v>
      </c>
      <c r="H377">
        <v>2</v>
      </c>
      <c r="I377">
        <v>376</v>
      </c>
      <c r="J377" s="1">
        <v>40560</v>
      </c>
      <c r="K377">
        <v>1</v>
      </c>
      <c r="L377">
        <v>0</v>
      </c>
      <c r="M377">
        <v>1</v>
      </c>
      <c r="N377">
        <v>3</v>
      </c>
      <c r="O377" t="b">
        <v>1</v>
      </c>
      <c r="P377">
        <v>1</v>
      </c>
      <c r="Q377">
        <v>2</v>
      </c>
      <c r="R377">
        <v>0.18</v>
      </c>
    </row>
    <row r="378" spans="1:18" x14ac:dyDescent="0.25">
      <c r="A378">
        <v>376</v>
      </c>
      <c r="B378">
        <v>377</v>
      </c>
      <c r="C378">
        <v>0.19700000000000001</v>
      </c>
      <c r="D378">
        <v>0.43</v>
      </c>
      <c r="E378">
        <v>0.1343</v>
      </c>
      <c r="F378">
        <v>1</v>
      </c>
      <c r="G378">
        <v>2</v>
      </c>
      <c r="H378">
        <v>3</v>
      </c>
      <c r="I378">
        <v>377</v>
      </c>
      <c r="J378" s="1">
        <v>40560</v>
      </c>
      <c r="K378">
        <v>1</v>
      </c>
      <c r="L378">
        <v>0</v>
      </c>
      <c r="M378">
        <v>1</v>
      </c>
      <c r="N378">
        <v>4</v>
      </c>
      <c r="O378" t="b">
        <v>1</v>
      </c>
      <c r="P378">
        <v>1</v>
      </c>
      <c r="Q378">
        <v>2</v>
      </c>
      <c r="R378">
        <v>0.18</v>
      </c>
    </row>
    <row r="379" spans="1:18" x14ac:dyDescent="0.25">
      <c r="A379">
        <v>377</v>
      </c>
      <c r="B379">
        <v>378</v>
      </c>
      <c r="C379">
        <v>0.19700000000000001</v>
      </c>
      <c r="D379">
        <v>0.43</v>
      </c>
      <c r="E379">
        <v>0.16420000000000001</v>
      </c>
      <c r="F379">
        <v>0</v>
      </c>
      <c r="G379">
        <v>1</v>
      </c>
      <c r="H379">
        <v>1</v>
      </c>
      <c r="I379">
        <v>378</v>
      </c>
      <c r="J379" s="1">
        <v>40560</v>
      </c>
      <c r="K379">
        <v>1</v>
      </c>
      <c r="L379">
        <v>0</v>
      </c>
      <c r="M379">
        <v>1</v>
      </c>
      <c r="N379">
        <v>5</v>
      </c>
      <c r="O379" t="b">
        <v>1</v>
      </c>
      <c r="P379">
        <v>1</v>
      </c>
      <c r="Q379">
        <v>2</v>
      </c>
      <c r="R379">
        <v>0.18</v>
      </c>
    </row>
    <row r="380" spans="1:18" x14ac:dyDescent="0.25">
      <c r="A380">
        <v>378</v>
      </c>
      <c r="B380">
        <v>379</v>
      </c>
      <c r="C380">
        <v>0.18179999999999999</v>
      </c>
      <c r="D380">
        <v>0.43</v>
      </c>
      <c r="E380">
        <v>0.19400000000000001</v>
      </c>
      <c r="F380">
        <v>0</v>
      </c>
      <c r="G380">
        <v>5</v>
      </c>
      <c r="H380">
        <v>5</v>
      </c>
      <c r="I380">
        <v>379</v>
      </c>
      <c r="J380" s="1">
        <v>40560</v>
      </c>
      <c r="K380">
        <v>1</v>
      </c>
      <c r="L380">
        <v>0</v>
      </c>
      <c r="M380">
        <v>1</v>
      </c>
      <c r="N380">
        <v>6</v>
      </c>
      <c r="O380" t="b">
        <v>1</v>
      </c>
      <c r="P380">
        <v>1</v>
      </c>
      <c r="Q380">
        <v>2</v>
      </c>
      <c r="R380">
        <v>0.18</v>
      </c>
    </row>
    <row r="381" spans="1:18" x14ac:dyDescent="0.25">
      <c r="A381">
        <v>379</v>
      </c>
      <c r="B381">
        <v>380</v>
      </c>
      <c r="C381">
        <v>0.18179999999999999</v>
      </c>
      <c r="D381">
        <v>0.5</v>
      </c>
      <c r="E381">
        <v>0.1343</v>
      </c>
      <c r="F381">
        <v>4</v>
      </c>
      <c r="G381">
        <v>9</v>
      </c>
      <c r="H381">
        <v>13</v>
      </c>
      <c r="I381">
        <v>380</v>
      </c>
      <c r="J381" s="1">
        <v>40560</v>
      </c>
      <c r="K381">
        <v>1</v>
      </c>
      <c r="L381">
        <v>0</v>
      </c>
      <c r="M381">
        <v>1</v>
      </c>
      <c r="N381">
        <v>7</v>
      </c>
      <c r="O381" t="b">
        <v>1</v>
      </c>
      <c r="P381">
        <v>1</v>
      </c>
      <c r="Q381">
        <v>2</v>
      </c>
      <c r="R381">
        <v>0.16</v>
      </c>
    </row>
    <row r="382" spans="1:18" x14ac:dyDescent="0.25">
      <c r="A382">
        <v>380</v>
      </c>
      <c r="B382">
        <v>381</v>
      </c>
      <c r="C382">
        <v>0.1515</v>
      </c>
      <c r="D382">
        <v>0.47</v>
      </c>
      <c r="E382">
        <v>0.22389999999999999</v>
      </c>
      <c r="F382">
        <v>3</v>
      </c>
      <c r="G382">
        <v>30</v>
      </c>
      <c r="H382">
        <v>33</v>
      </c>
      <c r="I382">
        <v>381</v>
      </c>
      <c r="J382" s="1">
        <v>40560</v>
      </c>
      <c r="K382">
        <v>1</v>
      </c>
      <c r="L382">
        <v>0</v>
      </c>
      <c r="M382">
        <v>1</v>
      </c>
      <c r="N382">
        <v>8</v>
      </c>
      <c r="O382" t="b">
        <v>1</v>
      </c>
      <c r="P382">
        <v>1</v>
      </c>
      <c r="Q382">
        <v>2</v>
      </c>
      <c r="R382">
        <v>0.16</v>
      </c>
    </row>
    <row r="383" spans="1:18" x14ac:dyDescent="0.25">
      <c r="A383">
        <v>381</v>
      </c>
      <c r="B383">
        <v>382</v>
      </c>
      <c r="C383">
        <v>0.1515</v>
      </c>
      <c r="D383">
        <v>0.47</v>
      </c>
      <c r="E383">
        <v>0.22389999999999999</v>
      </c>
      <c r="F383">
        <v>8</v>
      </c>
      <c r="G383">
        <v>39</v>
      </c>
      <c r="H383">
        <v>47</v>
      </c>
      <c r="I383">
        <v>382</v>
      </c>
      <c r="J383" s="1">
        <v>40560</v>
      </c>
      <c r="K383">
        <v>1</v>
      </c>
      <c r="L383">
        <v>0</v>
      </c>
      <c r="M383">
        <v>1</v>
      </c>
      <c r="N383">
        <v>9</v>
      </c>
      <c r="O383" t="b">
        <v>1</v>
      </c>
      <c r="P383">
        <v>1</v>
      </c>
      <c r="Q383">
        <v>2</v>
      </c>
      <c r="R383">
        <v>0.16</v>
      </c>
    </row>
    <row r="384" spans="1:18" x14ac:dyDescent="0.25">
      <c r="A384">
        <v>382</v>
      </c>
      <c r="B384">
        <v>383</v>
      </c>
      <c r="C384">
        <v>0.1515</v>
      </c>
      <c r="D384">
        <v>0.5</v>
      </c>
      <c r="E384">
        <v>0.25369999999999998</v>
      </c>
      <c r="F384">
        <v>7</v>
      </c>
      <c r="G384">
        <v>50</v>
      </c>
      <c r="H384">
        <v>57</v>
      </c>
      <c r="I384">
        <v>383</v>
      </c>
      <c r="J384" s="1">
        <v>40560</v>
      </c>
      <c r="K384">
        <v>1</v>
      </c>
      <c r="L384">
        <v>0</v>
      </c>
      <c r="M384">
        <v>1</v>
      </c>
      <c r="N384">
        <v>10</v>
      </c>
      <c r="O384" t="b">
        <v>1</v>
      </c>
      <c r="P384">
        <v>1</v>
      </c>
      <c r="Q384">
        <v>2</v>
      </c>
      <c r="R384">
        <v>0.16</v>
      </c>
    </row>
    <row r="385" spans="1:18" x14ac:dyDescent="0.25">
      <c r="A385">
        <v>383</v>
      </c>
      <c r="B385">
        <v>384</v>
      </c>
      <c r="C385">
        <v>0.1515</v>
      </c>
      <c r="D385">
        <v>0.55000000000000004</v>
      </c>
      <c r="E385">
        <v>0.19400000000000001</v>
      </c>
      <c r="F385">
        <v>9</v>
      </c>
      <c r="G385">
        <v>55</v>
      </c>
      <c r="H385">
        <v>64</v>
      </c>
      <c r="I385">
        <v>384</v>
      </c>
      <c r="J385" s="1">
        <v>40560</v>
      </c>
      <c r="K385">
        <v>1</v>
      </c>
      <c r="L385">
        <v>0</v>
      </c>
      <c r="M385">
        <v>1</v>
      </c>
      <c r="N385">
        <v>11</v>
      </c>
      <c r="O385" t="b">
        <v>1</v>
      </c>
      <c r="P385">
        <v>1</v>
      </c>
      <c r="Q385">
        <v>2</v>
      </c>
      <c r="R385">
        <v>0.16</v>
      </c>
    </row>
    <row r="386" spans="1:18" x14ac:dyDescent="0.25">
      <c r="A386">
        <v>384</v>
      </c>
      <c r="B386">
        <v>385</v>
      </c>
      <c r="C386">
        <v>0.19700000000000001</v>
      </c>
      <c r="D386">
        <v>0.47</v>
      </c>
      <c r="E386">
        <v>0.1343</v>
      </c>
      <c r="F386">
        <v>10</v>
      </c>
      <c r="G386">
        <v>70</v>
      </c>
      <c r="H386">
        <v>80</v>
      </c>
      <c r="I386">
        <v>385</v>
      </c>
      <c r="J386" s="1">
        <v>40560</v>
      </c>
      <c r="K386">
        <v>1</v>
      </c>
      <c r="L386">
        <v>0</v>
      </c>
      <c r="M386">
        <v>1</v>
      </c>
      <c r="N386">
        <v>12</v>
      </c>
      <c r="O386" t="b">
        <v>1</v>
      </c>
      <c r="P386">
        <v>1</v>
      </c>
      <c r="Q386">
        <v>2</v>
      </c>
      <c r="R386">
        <v>0.18</v>
      </c>
    </row>
    <row r="387" spans="1:18" x14ac:dyDescent="0.25">
      <c r="A387">
        <v>385</v>
      </c>
      <c r="B387">
        <v>386</v>
      </c>
      <c r="C387">
        <v>0.19700000000000001</v>
      </c>
      <c r="D387">
        <v>0.47</v>
      </c>
      <c r="E387">
        <v>0.1343</v>
      </c>
      <c r="F387">
        <v>13</v>
      </c>
      <c r="G387">
        <v>80</v>
      </c>
      <c r="H387">
        <v>93</v>
      </c>
      <c r="I387">
        <v>386</v>
      </c>
      <c r="J387" s="1">
        <v>40560</v>
      </c>
      <c r="K387">
        <v>1</v>
      </c>
      <c r="L387">
        <v>0</v>
      </c>
      <c r="M387">
        <v>1</v>
      </c>
      <c r="N387">
        <v>13</v>
      </c>
      <c r="O387" t="b">
        <v>1</v>
      </c>
      <c r="P387">
        <v>1</v>
      </c>
      <c r="Q387">
        <v>2</v>
      </c>
      <c r="R387">
        <v>0.18</v>
      </c>
    </row>
    <row r="388" spans="1:18" x14ac:dyDescent="0.25">
      <c r="A388">
        <v>386</v>
      </c>
      <c r="B388">
        <v>387</v>
      </c>
      <c r="C388">
        <v>0.21210000000000001</v>
      </c>
      <c r="D388">
        <v>0.43</v>
      </c>
      <c r="E388">
        <v>0.1045</v>
      </c>
      <c r="F388">
        <v>12</v>
      </c>
      <c r="G388">
        <v>74</v>
      </c>
      <c r="H388">
        <v>86</v>
      </c>
      <c r="I388">
        <v>387</v>
      </c>
      <c r="J388" s="1">
        <v>40560</v>
      </c>
      <c r="K388">
        <v>1</v>
      </c>
      <c r="L388">
        <v>0</v>
      </c>
      <c r="M388">
        <v>1</v>
      </c>
      <c r="N388">
        <v>14</v>
      </c>
      <c r="O388" t="b">
        <v>1</v>
      </c>
      <c r="P388">
        <v>1</v>
      </c>
      <c r="Q388">
        <v>2</v>
      </c>
      <c r="R388">
        <v>0.18</v>
      </c>
    </row>
    <row r="389" spans="1:18" x14ac:dyDescent="0.25">
      <c r="A389">
        <v>387</v>
      </c>
      <c r="B389">
        <v>388</v>
      </c>
      <c r="C389">
        <v>0.21210000000000001</v>
      </c>
      <c r="D389">
        <v>0.47</v>
      </c>
      <c r="E389">
        <v>0.16420000000000001</v>
      </c>
      <c r="F389">
        <v>21</v>
      </c>
      <c r="G389">
        <v>72</v>
      </c>
      <c r="H389">
        <v>93</v>
      </c>
      <c r="I389">
        <v>388</v>
      </c>
      <c r="J389" s="1">
        <v>40560</v>
      </c>
      <c r="K389">
        <v>1</v>
      </c>
      <c r="L389">
        <v>0</v>
      </c>
      <c r="M389">
        <v>1</v>
      </c>
      <c r="N389">
        <v>15</v>
      </c>
      <c r="O389" t="b">
        <v>1</v>
      </c>
      <c r="P389">
        <v>1</v>
      </c>
      <c r="Q389">
        <v>2</v>
      </c>
      <c r="R389">
        <v>0.2</v>
      </c>
    </row>
    <row r="390" spans="1:18" x14ac:dyDescent="0.25">
      <c r="A390">
        <v>388</v>
      </c>
      <c r="B390">
        <v>389</v>
      </c>
      <c r="C390">
        <v>0.21210000000000001</v>
      </c>
      <c r="D390">
        <v>0.47</v>
      </c>
      <c r="E390">
        <v>0.16420000000000001</v>
      </c>
      <c r="F390">
        <v>6</v>
      </c>
      <c r="G390">
        <v>76</v>
      </c>
      <c r="H390">
        <v>82</v>
      </c>
      <c r="I390">
        <v>389</v>
      </c>
      <c r="J390" s="1">
        <v>40560</v>
      </c>
      <c r="K390">
        <v>1</v>
      </c>
      <c r="L390">
        <v>0</v>
      </c>
      <c r="M390">
        <v>1</v>
      </c>
      <c r="N390">
        <v>16</v>
      </c>
      <c r="O390" t="b">
        <v>1</v>
      </c>
      <c r="P390">
        <v>1</v>
      </c>
      <c r="Q390">
        <v>2</v>
      </c>
      <c r="R390">
        <v>0.2</v>
      </c>
    </row>
    <row r="391" spans="1:18" x14ac:dyDescent="0.25">
      <c r="A391">
        <v>389</v>
      </c>
      <c r="B391">
        <v>390</v>
      </c>
      <c r="C391">
        <v>0.19700000000000001</v>
      </c>
      <c r="D391">
        <v>0.51</v>
      </c>
      <c r="E391">
        <v>0.19400000000000001</v>
      </c>
      <c r="F391">
        <v>4</v>
      </c>
      <c r="G391">
        <v>67</v>
      </c>
      <c r="H391">
        <v>71</v>
      </c>
      <c r="I391">
        <v>390</v>
      </c>
      <c r="J391" s="1">
        <v>40560</v>
      </c>
      <c r="K391">
        <v>1</v>
      </c>
      <c r="L391">
        <v>0</v>
      </c>
      <c r="M391">
        <v>1</v>
      </c>
      <c r="N391">
        <v>17</v>
      </c>
      <c r="O391" t="b">
        <v>1</v>
      </c>
      <c r="P391">
        <v>1</v>
      </c>
      <c r="Q391">
        <v>1</v>
      </c>
      <c r="R391">
        <v>0.2</v>
      </c>
    </row>
    <row r="392" spans="1:18" x14ac:dyDescent="0.25">
      <c r="A392">
        <v>390</v>
      </c>
      <c r="B392">
        <v>391</v>
      </c>
      <c r="C392">
        <v>0.16669999999999999</v>
      </c>
      <c r="D392">
        <v>0.55000000000000004</v>
      </c>
      <c r="E392">
        <v>0.25369999999999998</v>
      </c>
      <c r="F392">
        <v>7</v>
      </c>
      <c r="G392">
        <v>85</v>
      </c>
      <c r="H392">
        <v>92</v>
      </c>
      <c r="I392">
        <v>391</v>
      </c>
      <c r="J392" s="1">
        <v>40560</v>
      </c>
      <c r="K392">
        <v>1</v>
      </c>
      <c r="L392">
        <v>0</v>
      </c>
      <c r="M392">
        <v>1</v>
      </c>
      <c r="N392">
        <v>18</v>
      </c>
      <c r="O392" t="b">
        <v>1</v>
      </c>
      <c r="P392">
        <v>1</v>
      </c>
      <c r="Q392">
        <v>2</v>
      </c>
      <c r="R392">
        <v>0.18</v>
      </c>
    </row>
    <row r="393" spans="1:18" x14ac:dyDescent="0.25">
      <c r="A393">
        <v>391</v>
      </c>
      <c r="B393">
        <v>392</v>
      </c>
      <c r="C393">
        <v>0.18179999999999999</v>
      </c>
      <c r="D393">
        <v>0.59</v>
      </c>
      <c r="E393">
        <v>0.19400000000000001</v>
      </c>
      <c r="F393">
        <v>2</v>
      </c>
      <c r="G393">
        <v>58</v>
      </c>
      <c r="H393">
        <v>60</v>
      </c>
      <c r="I393">
        <v>392</v>
      </c>
      <c r="J393" s="1">
        <v>40560</v>
      </c>
      <c r="K393">
        <v>1</v>
      </c>
      <c r="L393">
        <v>0</v>
      </c>
      <c r="M393">
        <v>1</v>
      </c>
      <c r="N393">
        <v>19</v>
      </c>
      <c r="O393" t="b">
        <v>1</v>
      </c>
      <c r="P393">
        <v>1</v>
      </c>
      <c r="Q393">
        <v>3</v>
      </c>
      <c r="R393">
        <v>0.18</v>
      </c>
    </row>
    <row r="394" spans="1:18" x14ac:dyDescent="0.25">
      <c r="A394">
        <v>392</v>
      </c>
      <c r="B394">
        <v>393</v>
      </c>
      <c r="C394">
        <v>0.1515</v>
      </c>
      <c r="D394">
        <v>0.8</v>
      </c>
      <c r="E394">
        <v>0.19400000000000001</v>
      </c>
      <c r="F394">
        <v>4</v>
      </c>
      <c r="G394">
        <v>29</v>
      </c>
      <c r="H394">
        <v>33</v>
      </c>
      <c r="I394">
        <v>393</v>
      </c>
      <c r="J394" s="1">
        <v>40560</v>
      </c>
      <c r="K394">
        <v>1</v>
      </c>
      <c r="L394">
        <v>0</v>
      </c>
      <c r="M394">
        <v>1</v>
      </c>
      <c r="N394">
        <v>20</v>
      </c>
      <c r="O394" t="b">
        <v>1</v>
      </c>
      <c r="P394">
        <v>1</v>
      </c>
      <c r="Q394">
        <v>3</v>
      </c>
      <c r="R394">
        <v>0.16</v>
      </c>
    </row>
    <row r="395" spans="1:18" x14ac:dyDescent="0.25">
      <c r="A395">
        <v>393</v>
      </c>
      <c r="B395">
        <v>394</v>
      </c>
      <c r="C395">
        <v>0.1515</v>
      </c>
      <c r="D395">
        <v>0.8</v>
      </c>
      <c r="E395">
        <v>0.19400000000000001</v>
      </c>
      <c r="F395">
        <v>3</v>
      </c>
      <c r="G395">
        <v>24</v>
      </c>
      <c r="H395">
        <v>27</v>
      </c>
      <c r="I395">
        <v>394</v>
      </c>
      <c r="J395" s="1">
        <v>40560</v>
      </c>
      <c r="K395">
        <v>1</v>
      </c>
      <c r="L395">
        <v>0</v>
      </c>
      <c r="M395">
        <v>1</v>
      </c>
      <c r="N395">
        <v>21</v>
      </c>
      <c r="O395" t="b">
        <v>1</v>
      </c>
      <c r="P395">
        <v>1</v>
      </c>
      <c r="Q395">
        <v>3</v>
      </c>
      <c r="R395">
        <v>0.16</v>
      </c>
    </row>
    <row r="396" spans="1:18" x14ac:dyDescent="0.25">
      <c r="A396">
        <v>394</v>
      </c>
      <c r="B396">
        <v>395</v>
      </c>
      <c r="C396">
        <v>0.1212</v>
      </c>
      <c r="D396">
        <v>0.93</v>
      </c>
      <c r="E396">
        <v>0.25369999999999998</v>
      </c>
      <c r="F396">
        <v>0</v>
      </c>
      <c r="G396">
        <v>13</v>
      </c>
      <c r="H396">
        <v>13</v>
      </c>
      <c r="I396">
        <v>395</v>
      </c>
      <c r="J396" s="1">
        <v>40560</v>
      </c>
      <c r="K396">
        <v>1</v>
      </c>
      <c r="L396">
        <v>0</v>
      </c>
      <c r="M396">
        <v>1</v>
      </c>
      <c r="N396">
        <v>22</v>
      </c>
      <c r="O396" t="b">
        <v>1</v>
      </c>
      <c r="P396">
        <v>1</v>
      </c>
      <c r="Q396">
        <v>3</v>
      </c>
      <c r="R396">
        <v>0.14000000000000001</v>
      </c>
    </row>
    <row r="397" spans="1:18" x14ac:dyDescent="0.25">
      <c r="A397">
        <v>395</v>
      </c>
      <c r="B397">
        <v>396</v>
      </c>
      <c r="C397">
        <v>0.13639999999999999</v>
      </c>
      <c r="D397">
        <v>0.86</v>
      </c>
      <c r="E397">
        <v>0.28360000000000002</v>
      </c>
      <c r="F397">
        <v>1</v>
      </c>
      <c r="G397">
        <v>3</v>
      </c>
      <c r="H397">
        <v>4</v>
      </c>
      <c r="I397">
        <v>396</v>
      </c>
      <c r="J397" s="1">
        <v>40560</v>
      </c>
      <c r="K397">
        <v>1</v>
      </c>
      <c r="L397">
        <v>0</v>
      </c>
      <c r="M397">
        <v>1</v>
      </c>
      <c r="N397">
        <v>23</v>
      </c>
      <c r="O397" t="b">
        <v>1</v>
      </c>
      <c r="P397">
        <v>1</v>
      </c>
      <c r="Q397">
        <v>3</v>
      </c>
      <c r="R397">
        <v>0.16</v>
      </c>
    </row>
    <row r="398" spans="1:18" x14ac:dyDescent="0.25">
      <c r="A398">
        <v>396</v>
      </c>
      <c r="B398">
        <v>397</v>
      </c>
      <c r="C398">
        <v>0.18179999999999999</v>
      </c>
      <c r="D398">
        <v>0.86</v>
      </c>
      <c r="E398">
        <v>0.32840000000000003</v>
      </c>
      <c r="F398">
        <v>0</v>
      </c>
      <c r="G398">
        <v>3</v>
      </c>
      <c r="H398">
        <v>3</v>
      </c>
      <c r="I398">
        <v>397</v>
      </c>
      <c r="J398" s="1">
        <v>40561</v>
      </c>
      <c r="K398">
        <v>1</v>
      </c>
      <c r="L398">
        <v>0</v>
      </c>
      <c r="M398">
        <v>1</v>
      </c>
      <c r="N398">
        <v>12</v>
      </c>
      <c r="O398" t="b">
        <v>0</v>
      </c>
      <c r="P398">
        <v>2</v>
      </c>
      <c r="Q398">
        <v>2</v>
      </c>
      <c r="R398">
        <v>0.2</v>
      </c>
    </row>
    <row r="399" spans="1:18" x14ac:dyDescent="0.25">
      <c r="A399">
        <v>397</v>
      </c>
      <c r="B399">
        <v>398</v>
      </c>
      <c r="C399">
        <v>0.19700000000000001</v>
      </c>
      <c r="D399">
        <v>0.86</v>
      </c>
      <c r="E399">
        <v>0.22389999999999999</v>
      </c>
      <c r="F399">
        <v>0</v>
      </c>
      <c r="G399">
        <v>22</v>
      </c>
      <c r="H399">
        <v>22</v>
      </c>
      <c r="I399">
        <v>398</v>
      </c>
      <c r="J399" s="1">
        <v>40561</v>
      </c>
      <c r="K399">
        <v>1</v>
      </c>
      <c r="L399">
        <v>0</v>
      </c>
      <c r="M399">
        <v>1</v>
      </c>
      <c r="N399">
        <v>13</v>
      </c>
      <c r="O399" t="b">
        <v>0</v>
      </c>
      <c r="P399">
        <v>2</v>
      </c>
      <c r="Q399">
        <v>2</v>
      </c>
      <c r="R399">
        <v>0.2</v>
      </c>
    </row>
    <row r="400" spans="1:18" x14ac:dyDescent="0.25">
      <c r="A400">
        <v>398</v>
      </c>
      <c r="B400">
        <v>399</v>
      </c>
      <c r="C400">
        <v>0.2273</v>
      </c>
      <c r="D400">
        <v>0.8</v>
      </c>
      <c r="E400">
        <v>0.16420000000000001</v>
      </c>
      <c r="F400">
        <v>2</v>
      </c>
      <c r="G400">
        <v>26</v>
      </c>
      <c r="H400">
        <v>28</v>
      </c>
      <c r="I400">
        <v>399</v>
      </c>
      <c r="J400" s="1">
        <v>40561</v>
      </c>
      <c r="K400">
        <v>1</v>
      </c>
      <c r="L400">
        <v>0</v>
      </c>
      <c r="M400">
        <v>1</v>
      </c>
      <c r="N400">
        <v>14</v>
      </c>
      <c r="O400" t="b">
        <v>0</v>
      </c>
      <c r="P400">
        <v>2</v>
      </c>
      <c r="Q400">
        <v>2</v>
      </c>
      <c r="R400">
        <v>0.22</v>
      </c>
    </row>
    <row r="401" spans="1:18" x14ac:dyDescent="0.25">
      <c r="A401">
        <v>399</v>
      </c>
      <c r="B401">
        <v>400</v>
      </c>
      <c r="C401">
        <v>0.2273</v>
      </c>
      <c r="D401">
        <v>0.87</v>
      </c>
      <c r="E401">
        <v>0.16420000000000001</v>
      </c>
      <c r="F401">
        <v>3</v>
      </c>
      <c r="G401">
        <v>32</v>
      </c>
      <c r="H401">
        <v>35</v>
      </c>
      <c r="I401">
        <v>400</v>
      </c>
      <c r="J401" s="1">
        <v>40561</v>
      </c>
      <c r="K401">
        <v>1</v>
      </c>
      <c r="L401">
        <v>0</v>
      </c>
      <c r="M401">
        <v>1</v>
      </c>
      <c r="N401">
        <v>15</v>
      </c>
      <c r="O401" t="b">
        <v>0</v>
      </c>
      <c r="P401">
        <v>2</v>
      </c>
      <c r="Q401">
        <v>2</v>
      </c>
      <c r="R401">
        <v>0.22</v>
      </c>
    </row>
    <row r="402" spans="1:18" x14ac:dyDescent="0.25">
      <c r="A402">
        <v>400</v>
      </c>
      <c r="B402">
        <v>401</v>
      </c>
      <c r="C402">
        <v>0.2273</v>
      </c>
      <c r="D402">
        <v>0.87</v>
      </c>
      <c r="E402">
        <v>0.19400000000000001</v>
      </c>
      <c r="F402">
        <v>0</v>
      </c>
      <c r="G402">
        <v>61</v>
      </c>
      <c r="H402">
        <v>61</v>
      </c>
      <c r="I402">
        <v>401</v>
      </c>
      <c r="J402" s="1">
        <v>40561</v>
      </c>
      <c r="K402">
        <v>1</v>
      </c>
      <c r="L402">
        <v>0</v>
      </c>
      <c r="M402">
        <v>1</v>
      </c>
      <c r="N402">
        <v>16</v>
      </c>
      <c r="O402" t="b">
        <v>0</v>
      </c>
      <c r="P402">
        <v>2</v>
      </c>
      <c r="Q402">
        <v>2</v>
      </c>
      <c r="R402">
        <v>0.22</v>
      </c>
    </row>
    <row r="403" spans="1:18" x14ac:dyDescent="0.25">
      <c r="A403">
        <v>401</v>
      </c>
      <c r="B403">
        <v>402</v>
      </c>
      <c r="C403">
        <v>0.2273</v>
      </c>
      <c r="D403">
        <v>0.82</v>
      </c>
      <c r="E403">
        <v>0.19400000000000001</v>
      </c>
      <c r="F403">
        <v>1</v>
      </c>
      <c r="G403">
        <v>124</v>
      </c>
      <c r="H403">
        <v>125</v>
      </c>
      <c r="I403">
        <v>402</v>
      </c>
      <c r="J403" s="1">
        <v>40561</v>
      </c>
      <c r="K403">
        <v>1</v>
      </c>
      <c r="L403">
        <v>0</v>
      </c>
      <c r="M403">
        <v>1</v>
      </c>
      <c r="N403">
        <v>17</v>
      </c>
      <c r="O403" t="b">
        <v>0</v>
      </c>
      <c r="P403">
        <v>2</v>
      </c>
      <c r="Q403">
        <v>2</v>
      </c>
      <c r="R403">
        <v>0.22</v>
      </c>
    </row>
    <row r="404" spans="1:18" x14ac:dyDescent="0.25">
      <c r="A404">
        <v>402</v>
      </c>
      <c r="B404">
        <v>403</v>
      </c>
      <c r="C404">
        <v>0.2273</v>
      </c>
      <c r="D404">
        <v>0.8</v>
      </c>
      <c r="E404">
        <v>0.16420000000000001</v>
      </c>
      <c r="F404">
        <v>1</v>
      </c>
      <c r="G404">
        <v>132</v>
      </c>
      <c r="H404">
        <v>133</v>
      </c>
      <c r="I404">
        <v>403</v>
      </c>
      <c r="J404" s="1">
        <v>40561</v>
      </c>
      <c r="K404">
        <v>1</v>
      </c>
      <c r="L404">
        <v>0</v>
      </c>
      <c r="M404">
        <v>1</v>
      </c>
      <c r="N404">
        <v>18</v>
      </c>
      <c r="O404" t="b">
        <v>0</v>
      </c>
      <c r="P404">
        <v>2</v>
      </c>
      <c r="Q404">
        <v>2</v>
      </c>
      <c r="R404">
        <v>0.22</v>
      </c>
    </row>
    <row r="405" spans="1:18" x14ac:dyDescent="0.25">
      <c r="A405">
        <v>403</v>
      </c>
      <c r="B405">
        <v>404</v>
      </c>
      <c r="C405">
        <v>0.2273</v>
      </c>
      <c r="D405">
        <v>0.8</v>
      </c>
      <c r="E405">
        <v>0.1343</v>
      </c>
      <c r="F405">
        <v>1</v>
      </c>
      <c r="G405">
        <v>98</v>
      </c>
      <c r="H405">
        <v>99</v>
      </c>
      <c r="I405">
        <v>404</v>
      </c>
      <c r="J405" s="1">
        <v>40561</v>
      </c>
      <c r="K405">
        <v>1</v>
      </c>
      <c r="L405">
        <v>0</v>
      </c>
      <c r="M405">
        <v>1</v>
      </c>
      <c r="N405">
        <v>19</v>
      </c>
      <c r="O405" t="b">
        <v>0</v>
      </c>
      <c r="P405">
        <v>2</v>
      </c>
      <c r="Q405">
        <v>2</v>
      </c>
      <c r="R405">
        <v>0.22</v>
      </c>
    </row>
    <row r="406" spans="1:18" x14ac:dyDescent="0.25">
      <c r="A406">
        <v>404</v>
      </c>
      <c r="B406">
        <v>405</v>
      </c>
      <c r="C406">
        <v>0.2727</v>
      </c>
      <c r="D406">
        <v>0.87</v>
      </c>
      <c r="E406">
        <v>0</v>
      </c>
      <c r="F406">
        <v>0</v>
      </c>
      <c r="G406">
        <v>83</v>
      </c>
      <c r="H406">
        <v>83</v>
      </c>
      <c r="I406">
        <v>405</v>
      </c>
      <c r="J406" s="1">
        <v>40561</v>
      </c>
      <c r="K406">
        <v>1</v>
      </c>
      <c r="L406">
        <v>0</v>
      </c>
      <c r="M406">
        <v>1</v>
      </c>
      <c r="N406">
        <v>20</v>
      </c>
      <c r="O406" t="b">
        <v>0</v>
      </c>
      <c r="P406">
        <v>2</v>
      </c>
      <c r="Q406">
        <v>2</v>
      </c>
      <c r="R406">
        <v>0.22</v>
      </c>
    </row>
    <row r="407" spans="1:18" x14ac:dyDescent="0.25">
      <c r="A407">
        <v>405</v>
      </c>
      <c r="B407">
        <v>406</v>
      </c>
      <c r="C407">
        <v>0.2424</v>
      </c>
      <c r="D407">
        <v>0.93</v>
      </c>
      <c r="E407">
        <v>0.1045</v>
      </c>
      <c r="F407">
        <v>0</v>
      </c>
      <c r="G407">
        <v>41</v>
      </c>
      <c r="H407">
        <v>41</v>
      </c>
      <c r="I407">
        <v>406</v>
      </c>
      <c r="J407" s="1">
        <v>40561</v>
      </c>
      <c r="K407">
        <v>1</v>
      </c>
      <c r="L407">
        <v>0</v>
      </c>
      <c r="M407">
        <v>1</v>
      </c>
      <c r="N407">
        <v>21</v>
      </c>
      <c r="O407" t="b">
        <v>0</v>
      </c>
      <c r="P407">
        <v>2</v>
      </c>
      <c r="Q407">
        <v>2</v>
      </c>
      <c r="R407">
        <v>0.22</v>
      </c>
    </row>
    <row r="408" spans="1:18" x14ac:dyDescent="0.25">
      <c r="A408">
        <v>406</v>
      </c>
      <c r="B408">
        <v>407</v>
      </c>
      <c r="C408">
        <v>0.2576</v>
      </c>
      <c r="D408">
        <v>0.93</v>
      </c>
      <c r="E408">
        <v>8.9599999999999999E-2</v>
      </c>
      <c r="F408">
        <v>0</v>
      </c>
      <c r="G408">
        <v>33</v>
      </c>
      <c r="H408">
        <v>33</v>
      </c>
      <c r="I408">
        <v>407</v>
      </c>
      <c r="J408" s="1">
        <v>40561</v>
      </c>
      <c r="K408">
        <v>1</v>
      </c>
      <c r="L408">
        <v>0</v>
      </c>
      <c r="M408">
        <v>1</v>
      </c>
      <c r="N408">
        <v>22</v>
      </c>
      <c r="O408" t="b">
        <v>0</v>
      </c>
      <c r="P408">
        <v>2</v>
      </c>
      <c r="Q408">
        <v>2</v>
      </c>
      <c r="R408">
        <v>0.22</v>
      </c>
    </row>
    <row r="409" spans="1:18" x14ac:dyDescent="0.25">
      <c r="A409">
        <v>407</v>
      </c>
      <c r="B409">
        <v>408</v>
      </c>
      <c r="C409">
        <v>0.2727</v>
      </c>
      <c r="D409">
        <v>0.93</v>
      </c>
      <c r="E409">
        <v>0</v>
      </c>
      <c r="F409">
        <v>1</v>
      </c>
      <c r="G409">
        <v>19</v>
      </c>
      <c r="H409">
        <v>20</v>
      </c>
      <c r="I409">
        <v>408</v>
      </c>
      <c r="J409" s="1">
        <v>40561</v>
      </c>
      <c r="K409">
        <v>1</v>
      </c>
      <c r="L409">
        <v>0</v>
      </c>
      <c r="M409">
        <v>1</v>
      </c>
      <c r="N409">
        <v>23</v>
      </c>
      <c r="O409" t="b">
        <v>0</v>
      </c>
      <c r="P409">
        <v>2</v>
      </c>
      <c r="Q409">
        <v>2</v>
      </c>
      <c r="R409">
        <v>0.22</v>
      </c>
    </row>
    <row r="410" spans="1:18" x14ac:dyDescent="0.25">
      <c r="A410">
        <v>408</v>
      </c>
      <c r="B410">
        <v>409</v>
      </c>
      <c r="C410">
        <v>0.2727</v>
      </c>
      <c r="D410">
        <v>0.93</v>
      </c>
      <c r="E410">
        <v>0</v>
      </c>
      <c r="F410">
        <v>0</v>
      </c>
      <c r="G410">
        <v>3</v>
      </c>
      <c r="H410">
        <v>3</v>
      </c>
      <c r="I410">
        <v>409</v>
      </c>
      <c r="J410" s="1">
        <v>40562</v>
      </c>
      <c r="K410">
        <v>1</v>
      </c>
      <c r="L410">
        <v>0</v>
      </c>
      <c r="M410">
        <v>1</v>
      </c>
      <c r="N410">
        <v>0</v>
      </c>
      <c r="O410" t="b">
        <v>0</v>
      </c>
      <c r="P410">
        <v>3</v>
      </c>
      <c r="Q410">
        <v>2</v>
      </c>
      <c r="R410">
        <v>0.22</v>
      </c>
    </row>
    <row r="411" spans="1:18" x14ac:dyDescent="0.25">
      <c r="A411">
        <v>409</v>
      </c>
      <c r="B411">
        <v>410</v>
      </c>
      <c r="C411">
        <v>0.2273</v>
      </c>
      <c r="D411">
        <v>0.93</v>
      </c>
      <c r="E411">
        <v>0.1343</v>
      </c>
      <c r="F411">
        <v>1</v>
      </c>
      <c r="G411">
        <v>6</v>
      </c>
      <c r="H411">
        <v>7</v>
      </c>
      <c r="I411">
        <v>410</v>
      </c>
      <c r="J411" s="1">
        <v>40562</v>
      </c>
      <c r="K411">
        <v>1</v>
      </c>
      <c r="L411">
        <v>0</v>
      </c>
      <c r="M411">
        <v>1</v>
      </c>
      <c r="N411">
        <v>1</v>
      </c>
      <c r="O411" t="b">
        <v>0</v>
      </c>
      <c r="P411">
        <v>3</v>
      </c>
      <c r="Q411">
        <v>3</v>
      </c>
      <c r="R411">
        <v>0.22</v>
      </c>
    </row>
    <row r="412" spans="1:18" x14ac:dyDescent="0.25">
      <c r="A412">
        <v>410</v>
      </c>
      <c r="B412">
        <v>411</v>
      </c>
      <c r="C412">
        <v>0.2273</v>
      </c>
      <c r="D412">
        <v>0.93</v>
      </c>
      <c r="E412">
        <v>0.1343</v>
      </c>
      <c r="F412">
        <v>0</v>
      </c>
      <c r="G412">
        <v>3</v>
      </c>
      <c r="H412">
        <v>3</v>
      </c>
      <c r="I412">
        <v>411</v>
      </c>
      <c r="J412" s="1">
        <v>40562</v>
      </c>
      <c r="K412">
        <v>1</v>
      </c>
      <c r="L412">
        <v>0</v>
      </c>
      <c r="M412">
        <v>1</v>
      </c>
      <c r="N412">
        <v>2</v>
      </c>
      <c r="O412" t="b">
        <v>0</v>
      </c>
      <c r="P412">
        <v>3</v>
      </c>
      <c r="Q412">
        <v>3</v>
      </c>
      <c r="R412">
        <v>0.22</v>
      </c>
    </row>
    <row r="413" spans="1:18" x14ac:dyDescent="0.25">
      <c r="A413">
        <v>411</v>
      </c>
      <c r="B413">
        <v>412</v>
      </c>
      <c r="C413">
        <v>0.2273</v>
      </c>
      <c r="D413">
        <v>0.93</v>
      </c>
      <c r="E413">
        <v>0.1343</v>
      </c>
      <c r="F413">
        <v>1</v>
      </c>
      <c r="G413">
        <v>1</v>
      </c>
      <c r="H413">
        <v>2</v>
      </c>
      <c r="I413">
        <v>412</v>
      </c>
      <c r="J413" s="1">
        <v>40562</v>
      </c>
      <c r="K413">
        <v>1</v>
      </c>
      <c r="L413">
        <v>0</v>
      </c>
      <c r="M413">
        <v>1</v>
      </c>
      <c r="N413">
        <v>4</v>
      </c>
      <c r="O413" t="b">
        <v>0</v>
      </c>
      <c r="P413">
        <v>3</v>
      </c>
      <c r="Q413">
        <v>3</v>
      </c>
      <c r="R413">
        <v>0.22</v>
      </c>
    </row>
    <row r="414" spans="1:18" x14ac:dyDescent="0.25">
      <c r="A414">
        <v>412</v>
      </c>
      <c r="B414">
        <v>413</v>
      </c>
      <c r="C414">
        <v>0.2576</v>
      </c>
      <c r="D414">
        <v>0.93</v>
      </c>
      <c r="E414">
        <v>8.9599999999999999E-2</v>
      </c>
      <c r="F414">
        <v>0</v>
      </c>
      <c r="G414">
        <v>7</v>
      </c>
      <c r="H414">
        <v>7</v>
      </c>
      <c r="I414">
        <v>413</v>
      </c>
      <c r="J414" s="1">
        <v>40562</v>
      </c>
      <c r="K414">
        <v>1</v>
      </c>
      <c r="L414">
        <v>0</v>
      </c>
      <c r="M414">
        <v>1</v>
      </c>
      <c r="N414">
        <v>5</v>
      </c>
      <c r="O414" t="b">
        <v>0</v>
      </c>
      <c r="P414">
        <v>3</v>
      </c>
      <c r="Q414">
        <v>2</v>
      </c>
      <c r="R414">
        <v>0.22</v>
      </c>
    </row>
    <row r="415" spans="1:18" x14ac:dyDescent="0.25">
      <c r="A415">
        <v>413</v>
      </c>
      <c r="B415">
        <v>414</v>
      </c>
      <c r="C415">
        <v>0.2576</v>
      </c>
      <c r="D415">
        <v>0.93</v>
      </c>
      <c r="E415">
        <v>8.9599999999999999E-2</v>
      </c>
      <c r="F415">
        <v>0</v>
      </c>
      <c r="G415">
        <v>32</v>
      </c>
      <c r="H415">
        <v>32</v>
      </c>
      <c r="I415">
        <v>414</v>
      </c>
      <c r="J415" s="1">
        <v>40562</v>
      </c>
      <c r="K415">
        <v>1</v>
      </c>
      <c r="L415">
        <v>0</v>
      </c>
      <c r="M415">
        <v>1</v>
      </c>
      <c r="N415">
        <v>6</v>
      </c>
      <c r="O415" t="b">
        <v>0</v>
      </c>
      <c r="P415">
        <v>3</v>
      </c>
      <c r="Q415">
        <v>2</v>
      </c>
      <c r="R415">
        <v>0.22</v>
      </c>
    </row>
    <row r="416" spans="1:18" x14ac:dyDescent="0.25">
      <c r="A416">
        <v>414</v>
      </c>
      <c r="B416">
        <v>415</v>
      </c>
      <c r="C416">
        <v>0.2576</v>
      </c>
      <c r="D416">
        <v>0.92</v>
      </c>
      <c r="E416">
        <v>0.1045</v>
      </c>
      <c r="F416">
        <v>1</v>
      </c>
      <c r="G416">
        <v>89</v>
      </c>
      <c r="H416">
        <v>90</v>
      </c>
      <c r="I416">
        <v>415</v>
      </c>
      <c r="J416" s="1">
        <v>40562</v>
      </c>
      <c r="K416">
        <v>1</v>
      </c>
      <c r="L416">
        <v>0</v>
      </c>
      <c r="M416">
        <v>1</v>
      </c>
      <c r="N416">
        <v>7</v>
      </c>
      <c r="O416" t="b">
        <v>0</v>
      </c>
      <c r="P416">
        <v>3</v>
      </c>
      <c r="Q416">
        <v>2</v>
      </c>
      <c r="R416">
        <v>0.24</v>
      </c>
    </row>
    <row r="417" spans="1:18" x14ac:dyDescent="0.25">
      <c r="A417">
        <v>415</v>
      </c>
      <c r="B417">
        <v>416</v>
      </c>
      <c r="C417">
        <v>0.2576</v>
      </c>
      <c r="D417">
        <v>0.93</v>
      </c>
      <c r="E417">
        <v>0.1045</v>
      </c>
      <c r="F417">
        <v>1</v>
      </c>
      <c r="G417">
        <v>196</v>
      </c>
      <c r="H417">
        <v>197</v>
      </c>
      <c r="I417">
        <v>416</v>
      </c>
      <c r="J417" s="1">
        <v>40562</v>
      </c>
      <c r="K417">
        <v>1</v>
      </c>
      <c r="L417">
        <v>0</v>
      </c>
      <c r="M417">
        <v>1</v>
      </c>
      <c r="N417">
        <v>8</v>
      </c>
      <c r="O417" t="b">
        <v>0</v>
      </c>
      <c r="P417">
        <v>3</v>
      </c>
      <c r="Q417">
        <v>2</v>
      </c>
      <c r="R417">
        <v>0.24</v>
      </c>
    </row>
    <row r="418" spans="1:18" x14ac:dyDescent="0.25">
      <c r="A418">
        <v>416</v>
      </c>
      <c r="B418">
        <v>417</v>
      </c>
      <c r="C418">
        <v>0.2576</v>
      </c>
      <c r="D418">
        <v>0.93</v>
      </c>
      <c r="E418">
        <v>0.1045</v>
      </c>
      <c r="F418">
        <v>2</v>
      </c>
      <c r="G418">
        <v>107</v>
      </c>
      <c r="H418">
        <v>109</v>
      </c>
      <c r="I418">
        <v>417</v>
      </c>
      <c r="J418" s="1">
        <v>40562</v>
      </c>
      <c r="K418">
        <v>1</v>
      </c>
      <c r="L418">
        <v>0</v>
      </c>
      <c r="M418">
        <v>1</v>
      </c>
      <c r="N418">
        <v>9</v>
      </c>
      <c r="O418" t="b">
        <v>0</v>
      </c>
      <c r="P418">
        <v>3</v>
      </c>
      <c r="Q418">
        <v>2</v>
      </c>
      <c r="R418">
        <v>0.24</v>
      </c>
    </row>
    <row r="419" spans="1:18" x14ac:dyDescent="0.25">
      <c r="A419">
        <v>417</v>
      </c>
      <c r="B419">
        <v>418</v>
      </c>
      <c r="C419">
        <v>0.2727</v>
      </c>
      <c r="D419">
        <v>0.93</v>
      </c>
      <c r="E419">
        <v>0.1343</v>
      </c>
      <c r="F419">
        <v>1</v>
      </c>
      <c r="G419">
        <v>46</v>
      </c>
      <c r="H419">
        <v>47</v>
      </c>
      <c r="I419">
        <v>418</v>
      </c>
      <c r="J419" s="1">
        <v>40562</v>
      </c>
      <c r="K419">
        <v>1</v>
      </c>
      <c r="L419">
        <v>0</v>
      </c>
      <c r="M419">
        <v>1</v>
      </c>
      <c r="N419">
        <v>10</v>
      </c>
      <c r="O419" t="b">
        <v>0</v>
      </c>
      <c r="P419">
        <v>3</v>
      </c>
      <c r="Q419">
        <v>2</v>
      </c>
      <c r="R419">
        <v>0.26</v>
      </c>
    </row>
    <row r="420" spans="1:18" x14ac:dyDescent="0.25">
      <c r="A420">
        <v>418</v>
      </c>
      <c r="B420">
        <v>419</v>
      </c>
      <c r="C420">
        <v>0.30299999999999999</v>
      </c>
      <c r="D420">
        <v>0.87</v>
      </c>
      <c r="E420">
        <v>8.9599999999999999E-2</v>
      </c>
      <c r="F420">
        <v>5</v>
      </c>
      <c r="G420">
        <v>47</v>
      </c>
      <c r="H420">
        <v>52</v>
      </c>
      <c r="I420">
        <v>419</v>
      </c>
      <c r="J420" s="1">
        <v>40562</v>
      </c>
      <c r="K420">
        <v>1</v>
      </c>
      <c r="L420">
        <v>0</v>
      </c>
      <c r="M420">
        <v>1</v>
      </c>
      <c r="N420">
        <v>11</v>
      </c>
      <c r="O420" t="b">
        <v>0</v>
      </c>
      <c r="P420">
        <v>3</v>
      </c>
      <c r="Q420">
        <v>2</v>
      </c>
      <c r="R420">
        <v>0.28000000000000003</v>
      </c>
    </row>
    <row r="421" spans="1:18" x14ac:dyDescent="0.25">
      <c r="A421">
        <v>419</v>
      </c>
      <c r="B421">
        <v>420</v>
      </c>
      <c r="C421">
        <v>0.31819999999999998</v>
      </c>
      <c r="D421">
        <v>0.81</v>
      </c>
      <c r="E421">
        <v>8.9599999999999999E-2</v>
      </c>
      <c r="F421">
        <v>5</v>
      </c>
      <c r="G421">
        <v>65</v>
      </c>
      <c r="H421">
        <v>70</v>
      </c>
      <c r="I421">
        <v>420</v>
      </c>
      <c r="J421" s="1">
        <v>40562</v>
      </c>
      <c r="K421">
        <v>1</v>
      </c>
      <c r="L421">
        <v>0</v>
      </c>
      <c r="M421">
        <v>1</v>
      </c>
      <c r="N421">
        <v>12</v>
      </c>
      <c r="O421" t="b">
        <v>0</v>
      </c>
      <c r="P421">
        <v>3</v>
      </c>
      <c r="Q421">
        <v>2</v>
      </c>
      <c r="R421">
        <v>0.3</v>
      </c>
    </row>
    <row r="422" spans="1:18" x14ac:dyDescent="0.25">
      <c r="A422">
        <v>420</v>
      </c>
      <c r="B422">
        <v>421</v>
      </c>
      <c r="C422">
        <v>0.40910000000000002</v>
      </c>
      <c r="D422">
        <v>0.62</v>
      </c>
      <c r="E422">
        <v>0.28360000000000002</v>
      </c>
      <c r="F422">
        <v>11</v>
      </c>
      <c r="G422">
        <v>67</v>
      </c>
      <c r="H422">
        <v>78</v>
      </c>
      <c r="I422">
        <v>421</v>
      </c>
      <c r="J422" s="1">
        <v>40562</v>
      </c>
      <c r="K422">
        <v>1</v>
      </c>
      <c r="L422">
        <v>0</v>
      </c>
      <c r="M422">
        <v>1</v>
      </c>
      <c r="N422">
        <v>13</v>
      </c>
      <c r="O422" t="b">
        <v>0</v>
      </c>
      <c r="P422">
        <v>3</v>
      </c>
      <c r="Q422">
        <v>1</v>
      </c>
      <c r="R422">
        <v>0.4</v>
      </c>
    </row>
    <row r="423" spans="1:18" x14ac:dyDescent="0.25">
      <c r="A423">
        <v>421</v>
      </c>
      <c r="B423">
        <v>422</v>
      </c>
      <c r="C423">
        <v>0.40910000000000002</v>
      </c>
      <c r="D423">
        <v>0.57999999999999996</v>
      </c>
      <c r="E423">
        <v>0.25369999999999998</v>
      </c>
      <c r="F423">
        <v>7</v>
      </c>
      <c r="G423">
        <v>68</v>
      </c>
      <c r="H423">
        <v>75</v>
      </c>
      <c r="I423">
        <v>422</v>
      </c>
      <c r="J423" s="1">
        <v>40562</v>
      </c>
      <c r="K423">
        <v>1</v>
      </c>
      <c r="L423">
        <v>0</v>
      </c>
      <c r="M423">
        <v>1</v>
      </c>
      <c r="N423">
        <v>14</v>
      </c>
      <c r="O423" t="b">
        <v>0</v>
      </c>
      <c r="P423">
        <v>3</v>
      </c>
      <c r="Q423">
        <v>1</v>
      </c>
      <c r="R423">
        <v>0.4</v>
      </c>
    </row>
    <row r="424" spans="1:18" x14ac:dyDescent="0.25">
      <c r="A424">
        <v>422</v>
      </c>
      <c r="B424">
        <v>423</v>
      </c>
      <c r="C424">
        <v>0.40910000000000002</v>
      </c>
      <c r="D424">
        <v>0.54</v>
      </c>
      <c r="E424">
        <v>0.28360000000000002</v>
      </c>
      <c r="F424">
        <v>4</v>
      </c>
      <c r="G424">
        <v>78</v>
      </c>
      <c r="H424">
        <v>82</v>
      </c>
      <c r="I424">
        <v>423</v>
      </c>
      <c r="J424" s="1">
        <v>40562</v>
      </c>
      <c r="K424">
        <v>1</v>
      </c>
      <c r="L424">
        <v>0</v>
      </c>
      <c r="M424">
        <v>1</v>
      </c>
      <c r="N424">
        <v>15</v>
      </c>
      <c r="O424" t="b">
        <v>0</v>
      </c>
      <c r="P424">
        <v>3</v>
      </c>
      <c r="Q424">
        <v>1</v>
      </c>
      <c r="R424">
        <v>0.4</v>
      </c>
    </row>
    <row r="425" spans="1:18" x14ac:dyDescent="0.25">
      <c r="A425">
        <v>423</v>
      </c>
      <c r="B425">
        <v>424</v>
      </c>
      <c r="C425">
        <v>0.39389999999999997</v>
      </c>
      <c r="D425">
        <v>0.57999999999999996</v>
      </c>
      <c r="E425">
        <v>0.3881</v>
      </c>
      <c r="F425">
        <v>10</v>
      </c>
      <c r="G425">
        <v>94</v>
      </c>
      <c r="H425">
        <v>104</v>
      </c>
      <c r="I425">
        <v>424</v>
      </c>
      <c r="J425" s="1">
        <v>40562</v>
      </c>
      <c r="K425">
        <v>1</v>
      </c>
      <c r="L425">
        <v>0</v>
      </c>
      <c r="M425">
        <v>1</v>
      </c>
      <c r="N425">
        <v>16</v>
      </c>
      <c r="O425" t="b">
        <v>0</v>
      </c>
      <c r="P425">
        <v>3</v>
      </c>
      <c r="Q425">
        <v>1</v>
      </c>
      <c r="R425">
        <v>0.38</v>
      </c>
    </row>
    <row r="426" spans="1:18" x14ac:dyDescent="0.25">
      <c r="A426">
        <v>424</v>
      </c>
      <c r="B426">
        <v>425</v>
      </c>
      <c r="C426">
        <v>0.33329999999999999</v>
      </c>
      <c r="D426">
        <v>0.56999999999999995</v>
      </c>
      <c r="E426">
        <v>0.32840000000000003</v>
      </c>
      <c r="F426">
        <v>7</v>
      </c>
      <c r="G426">
        <v>190</v>
      </c>
      <c r="H426">
        <v>197</v>
      </c>
      <c r="I426">
        <v>425</v>
      </c>
      <c r="J426" s="1">
        <v>40562</v>
      </c>
      <c r="K426">
        <v>1</v>
      </c>
      <c r="L426">
        <v>0</v>
      </c>
      <c r="M426">
        <v>1</v>
      </c>
      <c r="N426">
        <v>17</v>
      </c>
      <c r="O426" t="b">
        <v>0</v>
      </c>
      <c r="P426">
        <v>3</v>
      </c>
      <c r="Q426">
        <v>1</v>
      </c>
      <c r="R426">
        <v>0.36</v>
      </c>
    </row>
    <row r="427" spans="1:18" x14ac:dyDescent="0.25">
      <c r="A427">
        <v>425</v>
      </c>
      <c r="B427">
        <v>426</v>
      </c>
      <c r="C427">
        <v>0.31819999999999998</v>
      </c>
      <c r="D427">
        <v>0.61</v>
      </c>
      <c r="E427">
        <v>0.28360000000000002</v>
      </c>
      <c r="F427">
        <v>5</v>
      </c>
      <c r="G427">
        <v>156</v>
      </c>
      <c r="H427">
        <v>161</v>
      </c>
      <c r="I427">
        <v>426</v>
      </c>
      <c r="J427" s="1">
        <v>40562</v>
      </c>
      <c r="K427">
        <v>1</v>
      </c>
      <c r="L427">
        <v>0</v>
      </c>
      <c r="M427">
        <v>1</v>
      </c>
      <c r="N427">
        <v>18</v>
      </c>
      <c r="O427" t="b">
        <v>0</v>
      </c>
      <c r="P427">
        <v>3</v>
      </c>
      <c r="Q427">
        <v>1</v>
      </c>
      <c r="R427">
        <v>0.34</v>
      </c>
    </row>
    <row r="428" spans="1:18" x14ac:dyDescent="0.25">
      <c r="A428">
        <v>426</v>
      </c>
      <c r="B428">
        <v>427</v>
      </c>
      <c r="C428">
        <v>0.28789999999999999</v>
      </c>
      <c r="D428">
        <v>0.56999999999999995</v>
      </c>
      <c r="E428">
        <v>0.41789999999999999</v>
      </c>
      <c r="F428">
        <v>4</v>
      </c>
      <c r="G428">
        <v>108</v>
      </c>
      <c r="H428">
        <v>112</v>
      </c>
      <c r="I428">
        <v>427</v>
      </c>
      <c r="J428" s="1">
        <v>40562</v>
      </c>
      <c r="K428">
        <v>1</v>
      </c>
      <c r="L428">
        <v>0</v>
      </c>
      <c r="M428">
        <v>1</v>
      </c>
      <c r="N428">
        <v>19</v>
      </c>
      <c r="O428" t="b">
        <v>0</v>
      </c>
      <c r="P428">
        <v>3</v>
      </c>
      <c r="Q428">
        <v>1</v>
      </c>
      <c r="R428">
        <v>0.32</v>
      </c>
    </row>
    <row r="429" spans="1:18" x14ac:dyDescent="0.25">
      <c r="A429">
        <v>427</v>
      </c>
      <c r="B429">
        <v>428</v>
      </c>
      <c r="C429">
        <v>0.30299999999999999</v>
      </c>
      <c r="D429">
        <v>0.49</v>
      </c>
      <c r="E429">
        <v>0.29849999999999999</v>
      </c>
      <c r="F429">
        <v>2</v>
      </c>
      <c r="G429">
        <v>74</v>
      </c>
      <c r="H429">
        <v>76</v>
      </c>
      <c r="I429">
        <v>428</v>
      </c>
      <c r="J429" s="1">
        <v>40562</v>
      </c>
      <c r="K429">
        <v>1</v>
      </c>
      <c r="L429">
        <v>0</v>
      </c>
      <c r="M429">
        <v>1</v>
      </c>
      <c r="N429">
        <v>20</v>
      </c>
      <c r="O429" t="b">
        <v>0</v>
      </c>
      <c r="P429">
        <v>3</v>
      </c>
      <c r="Q429">
        <v>1</v>
      </c>
      <c r="R429">
        <v>0.32</v>
      </c>
    </row>
    <row r="430" spans="1:18" x14ac:dyDescent="0.25">
      <c r="A430">
        <v>428</v>
      </c>
      <c r="B430">
        <v>429</v>
      </c>
      <c r="C430">
        <v>0.28789999999999999</v>
      </c>
      <c r="D430">
        <v>0.49</v>
      </c>
      <c r="E430">
        <v>0.41789999999999999</v>
      </c>
      <c r="F430">
        <v>4</v>
      </c>
      <c r="G430">
        <v>55</v>
      </c>
      <c r="H430">
        <v>59</v>
      </c>
      <c r="I430">
        <v>429</v>
      </c>
      <c r="J430" s="1">
        <v>40562</v>
      </c>
      <c r="K430">
        <v>1</v>
      </c>
      <c r="L430">
        <v>0</v>
      </c>
      <c r="M430">
        <v>1</v>
      </c>
      <c r="N430">
        <v>21</v>
      </c>
      <c r="O430" t="b">
        <v>0</v>
      </c>
      <c r="P430">
        <v>3</v>
      </c>
      <c r="Q430">
        <v>1</v>
      </c>
      <c r="R430">
        <v>0.32</v>
      </c>
    </row>
    <row r="431" spans="1:18" x14ac:dyDescent="0.25">
      <c r="A431">
        <v>429</v>
      </c>
      <c r="B431">
        <v>430</v>
      </c>
      <c r="C431">
        <v>0.30299999999999999</v>
      </c>
      <c r="D431">
        <v>0.52</v>
      </c>
      <c r="E431">
        <v>0.16420000000000001</v>
      </c>
      <c r="F431">
        <v>6</v>
      </c>
      <c r="G431">
        <v>53</v>
      </c>
      <c r="H431">
        <v>59</v>
      </c>
      <c r="I431">
        <v>430</v>
      </c>
      <c r="J431" s="1">
        <v>40562</v>
      </c>
      <c r="K431">
        <v>1</v>
      </c>
      <c r="L431">
        <v>0</v>
      </c>
      <c r="M431">
        <v>1</v>
      </c>
      <c r="N431">
        <v>22</v>
      </c>
      <c r="O431" t="b">
        <v>0</v>
      </c>
      <c r="P431">
        <v>3</v>
      </c>
      <c r="Q431">
        <v>1</v>
      </c>
      <c r="R431">
        <v>0.3</v>
      </c>
    </row>
    <row r="432" spans="1:18" x14ac:dyDescent="0.25">
      <c r="A432">
        <v>430</v>
      </c>
      <c r="B432">
        <v>431</v>
      </c>
      <c r="C432">
        <v>0.2727</v>
      </c>
      <c r="D432">
        <v>0.52</v>
      </c>
      <c r="E432">
        <v>0.4627</v>
      </c>
      <c r="F432">
        <v>1</v>
      </c>
      <c r="G432">
        <v>27</v>
      </c>
      <c r="H432">
        <v>28</v>
      </c>
      <c r="I432">
        <v>431</v>
      </c>
      <c r="J432" s="1">
        <v>40562</v>
      </c>
      <c r="K432">
        <v>1</v>
      </c>
      <c r="L432">
        <v>0</v>
      </c>
      <c r="M432">
        <v>1</v>
      </c>
      <c r="N432">
        <v>23</v>
      </c>
      <c r="O432" t="b">
        <v>0</v>
      </c>
      <c r="P432">
        <v>3</v>
      </c>
      <c r="Q432">
        <v>1</v>
      </c>
      <c r="R432">
        <v>0.3</v>
      </c>
    </row>
    <row r="433" spans="1:18" x14ac:dyDescent="0.25">
      <c r="A433">
        <v>431</v>
      </c>
      <c r="B433">
        <v>432</v>
      </c>
      <c r="C433">
        <v>0.2273</v>
      </c>
      <c r="D433">
        <v>0.56000000000000005</v>
      </c>
      <c r="E433">
        <v>0.3881</v>
      </c>
      <c r="F433">
        <v>5</v>
      </c>
      <c r="G433">
        <v>8</v>
      </c>
      <c r="H433">
        <v>13</v>
      </c>
      <c r="I433">
        <v>432</v>
      </c>
      <c r="J433" s="1">
        <v>40563</v>
      </c>
      <c r="K433">
        <v>1</v>
      </c>
      <c r="L433">
        <v>0</v>
      </c>
      <c r="M433">
        <v>1</v>
      </c>
      <c r="N433">
        <v>0</v>
      </c>
      <c r="O433" t="b">
        <v>0</v>
      </c>
      <c r="P433">
        <v>4</v>
      </c>
      <c r="Q433">
        <v>1</v>
      </c>
      <c r="R433">
        <v>0.26</v>
      </c>
    </row>
    <row r="434" spans="1:18" x14ac:dyDescent="0.25">
      <c r="A434">
        <v>432</v>
      </c>
      <c r="B434">
        <v>433</v>
      </c>
      <c r="C434">
        <v>0.2727</v>
      </c>
      <c r="D434">
        <v>0.56000000000000005</v>
      </c>
      <c r="E434">
        <v>0</v>
      </c>
      <c r="F434">
        <v>2</v>
      </c>
      <c r="G434">
        <v>3</v>
      </c>
      <c r="H434">
        <v>5</v>
      </c>
      <c r="I434">
        <v>433</v>
      </c>
      <c r="J434" s="1">
        <v>40563</v>
      </c>
      <c r="K434">
        <v>1</v>
      </c>
      <c r="L434">
        <v>0</v>
      </c>
      <c r="M434">
        <v>1</v>
      </c>
      <c r="N434">
        <v>1</v>
      </c>
      <c r="O434" t="b">
        <v>0</v>
      </c>
      <c r="P434">
        <v>4</v>
      </c>
      <c r="Q434">
        <v>1</v>
      </c>
      <c r="R434">
        <v>0.26</v>
      </c>
    </row>
    <row r="435" spans="1:18" x14ac:dyDescent="0.25">
      <c r="A435">
        <v>433</v>
      </c>
      <c r="B435">
        <v>434</v>
      </c>
      <c r="C435">
        <v>0.2727</v>
      </c>
      <c r="D435">
        <v>0.56000000000000005</v>
      </c>
      <c r="E435">
        <v>0</v>
      </c>
      <c r="F435">
        <v>0</v>
      </c>
      <c r="G435">
        <v>2</v>
      </c>
      <c r="H435">
        <v>2</v>
      </c>
      <c r="I435">
        <v>434</v>
      </c>
      <c r="J435" s="1">
        <v>40563</v>
      </c>
      <c r="K435">
        <v>1</v>
      </c>
      <c r="L435">
        <v>0</v>
      </c>
      <c r="M435">
        <v>1</v>
      </c>
      <c r="N435">
        <v>2</v>
      </c>
      <c r="O435" t="b">
        <v>0</v>
      </c>
      <c r="P435">
        <v>4</v>
      </c>
      <c r="Q435">
        <v>1</v>
      </c>
      <c r="R435">
        <v>0.26</v>
      </c>
    </row>
    <row r="436" spans="1:18" x14ac:dyDescent="0.25">
      <c r="A436">
        <v>434</v>
      </c>
      <c r="B436">
        <v>435</v>
      </c>
      <c r="C436">
        <v>0.2576</v>
      </c>
      <c r="D436">
        <v>0.56000000000000005</v>
      </c>
      <c r="E436">
        <v>0.16420000000000001</v>
      </c>
      <c r="F436">
        <v>0</v>
      </c>
      <c r="G436">
        <v>1</v>
      </c>
      <c r="H436">
        <v>1</v>
      </c>
      <c r="I436">
        <v>435</v>
      </c>
      <c r="J436" s="1">
        <v>40563</v>
      </c>
      <c r="K436">
        <v>1</v>
      </c>
      <c r="L436">
        <v>0</v>
      </c>
      <c r="M436">
        <v>1</v>
      </c>
      <c r="N436">
        <v>3</v>
      </c>
      <c r="O436" t="b">
        <v>0</v>
      </c>
      <c r="P436">
        <v>4</v>
      </c>
      <c r="Q436">
        <v>1</v>
      </c>
      <c r="R436">
        <v>0.26</v>
      </c>
    </row>
    <row r="437" spans="1:18" x14ac:dyDescent="0.25">
      <c r="A437">
        <v>435</v>
      </c>
      <c r="B437">
        <v>436</v>
      </c>
      <c r="C437">
        <v>0.2576</v>
      </c>
      <c r="D437">
        <v>0.56000000000000005</v>
      </c>
      <c r="E437">
        <v>0.16420000000000001</v>
      </c>
      <c r="F437">
        <v>0</v>
      </c>
      <c r="G437">
        <v>1</v>
      </c>
      <c r="H437">
        <v>1</v>
      </c>
      <c r="I437">
        <v>436</v>
      </c>
      <c r="J437" s="1">
        <v>40563</v>
      </c>
      <c r="K437">
        <v>1</v>
      </c>
      <c r="L437">
        <v>0</v>
      </c>
      <c r="M437">
        <v>1</v>
      </c>
      <c r="N437">
        <v>4</v>
      </c>
      <c r="O437" t="b">
        <v>0</v>
      </c>
      <c r="P437">
        <v>4</v>
      </c>
      <c r="Q437">
        <v>1</v>
      </c>
      <c r="R437">
        <v>0.26</v>
      </c>
    </row>
    <row r="438" spans="1:18" x14ac:dyDescent="0.25">
      <c r="A438">
        <v>436</v>
      </c>
      <c r="B438">
        <v>437</v>
      </c>
      <c r="C438">
        <v>0.2273</v>
      </c>
      <c r="D438">
        <v>0.6</v>
      </c>
      <c r="E438">
        <v>0.22389999999999999</v>
      </c>
      <c r="F438">
        <v>0</v>
      </c>
      <c r="G438">
        <v>6</v>
      </c>
      <c r="H438">
        <v>6</v>
      </c>
      <c r="I438">
        <v>437</v>
      </c>
      <c r="J438" s="1">
        <v>40563</v>
      </c>
      <c r="K438">
        <v>1</v>
      </c>
      <c r="L438">
        <v>0</v>
      </c>
      <c r="M438">
        <v>1</v>
      </c>
      <c r="N438">
        <v>5</v>
      </c>
      <c r="O438" t="b">
        <v>0</v>
      </c>
      <c r="P438">
        <v>4</v>
      </c>
      <c r="Q438">
        <v>1</v>
      </c>
      <c r="R438">
        <v>0.24</v>
      </c>
    </row>
    <row r="439" spans="1:18" x14ac:dyDescent="0.25">
      <c r="A439">
        <v>437</v>
      </c>
      <c r="B439">
        <v>438</v>
      </c>
      <c r="C439">
        <v>0.21210000000000001</v>
      </c>
      <c r="D439">
        <v>0.6</v>
      </c>
      <c r="E439">
        <v>0.22389999999999999</v>
      </c>
      <c r="F439">
        <v>0</v>
      </c>
      <c r="G439">
        <v>35</v>
      </c>
      <c r="H439">
        <v>35</v>
      </c>
      <c r="I439">
        <v>438</v>
      </c>
      <c r="J439" s="1">
        <v>40563</v>
      </c>
      <c r="K439">
        <v>1</v>
      </c>
      <c r="L439">
        <v>0</v>
      </c>
      <c r="M439">
        <v>1</v>
      </c>
      <c r="N439">
        <v>6</v>
      </c>
      <c r="O439" t="b">
        <v>0</v>
      </c>
      <c r="P439">
        <v>4</v>
      </c>
      <c r="Q439">
        <v>1</v>
      </c>
      <c r="R439">
        <v>0.22</v>
      </c>
    </row>
    <row r="440" spans="1:18" x14ac:dyDescent="0.25">
      <c r="A440">
        <v>438</v>
      </c>
      <c r="B440">
        <v>439</v>
      </c>
      <c r="C440">
        <v>0.21210000000000001</v>
      </c>
      <c r="D440">
        <v>0.55000000000000004</v>
      </c>
      <c r="E440">
        <v>0.22389999999999999</v>
      </c>
      <c r="F440">
        <v>1</v>
      </c>
      <c r="G440">
        <v>100</v>
      </c>
      <c r="H440">
        <v>101</v>
      </c>
      <c r="I440">
        <v>439</v>
      </c>
      <c r="J440" s="1">
        <v>40563</v>
      </c>
      <c r="K440">
        <v>1</v>
      </c>
      <c r="L440">
        <v>0</v>
      </c>
      <c r="M440">
        <v>1</v>
      </c>
      <c r="N440">
        <v>7</v>
      </c>
      <c r="O440" t="b">
        <v>0</v>
      </c>
      <c r="P440">
        <v>4</v>
      </c>
      <c r="Q440">
        <v>1</v>
      </c>
      <c r="R440">
        <v>0.22</v>
      </c>
    </row>
    <row r="441" spans="1:18" x14ac:dyDescent="0.25">
      <c r="A441">
        <v>439</v>
      </c>
      <c r="B441">
        <v>440</v>
      </c>
      <c r="C441">
        <v>0.21210000000000001</v>
      </c>
      <c r="D441">
        <v>0.55000000000000004</v>
      </c>
      <c r="E441">
        <v>0.28360000000000002</v>
      </c>
      <c r="F441">
        <v>2</v>
      </c>
      <c r="G441">
        <v>247</v>
      </c>
      <c r="H441">
        <v>249</v>
      </c>
      <c r="I441">
        <v>440</v>
      </c>
      <c r="J441" s="1">
        <v>40563</v>
      </c>
      <c r="K441">
        <v>1</v>
      </c>
      <c r="L441">
        <v>0</v>
      </c>
      <c r="M441">
        <v>1</v>
      </c>
      <c r="N441">
        <v>8</v>
      </c>
      <c r="O441" t="b">
        <v>0</v>
      </c>
      <c r="P441">
        <v>4</v>
      </c>
      <c r="Q441">
        <v>1</v>
      </c>
      <c r="R441">
        <v>0.22</v>
      </c>
    </row>
    <row r="442" spans="1:18" x14ac:dyDescent="0.25">
      <c r="A442">
        <v>440</v>
      </c>
      <c r="B442">
        <v>441</v>
      </c>
      <c r="C442">
        <v>0.2273</v>
      </c>
      <c r="D442">
        <v>0.52</v>
      </c>
      <c r="E442">
        <v>0.22389999999999999</v>
      </c>
      <c r="F442">
        <v>3</v>
      </c>
      <c r="G442">
        <v>140</v>
      </c>
      <c r="H442">
        <v>143</v>
      </c>
      <c r="I442">
        <v>441</v>
      </c>
      <c r="J442" s="1">
        <v>40563</v>
      </c>
      <c r="K442">
        <v>1</v>
      </c>
      <c r="L442">
        <v>0</v>
      </c>
      <c r="M442">
        <v>1</v>
      </c>
      <c r="N442">
        <v>9</v>
      </c>
      <c r="O442" t="b">
        <v>0</v>
      </c>
      <c r="P442">
        <v>4</v>
      </c>
      <c r="Q442">
        <v>2</v>
      </c>
      <c r="R442">
        <v>0.24</v>
      </c>
    </row>
    <row r="443" spans="1:18" x14ac:dyDescent="0.25">
      <c r="A443">
        <v>441</v>
      </c>
      <c r="B443">
        <v>442</v>
      </c>
      <c r="C443">
        <v>0.2273</v>
      </c>
      <c r="D443">
        <v>0.48</v>
      </c>
      <c r="E443">
        <v>0.29849999999999999</v>
      </c>
      <c r="F443">
        <v>1</v>
      </c>
      <c r="G443">
        <v>56</v>
      </c>
      <c r="H443">
        <v>57</v>
      </c>
      <c r="I443">
        <v>442</v>
      </c>
      <c r="J443" s="1">
        <v>40563</v>
      </c>
      <c r="K443">
        <v>1</v>
      </c>
      <c r="L443">
        <v>0</v>
      </c>
      <c r="M443">
        <v>1</v>
      </c>
      <c r="N443">
        <v>10</v>
      </c>
      <c r="O443" t="b">
        <v>0</v>
      </c>
      <c r="P443">
        <v>4</v>
      </c>
      <c r="Q443">
        <v>1</v>
      </c>
      <c r="R443">
        <v>0.26</v>
      </c>
    </row>
    <row r="444" spans="1:18" x14ac:dyDescent="0.25">
      <c r="A444">
        <v>442</v>
      </c>
      <c r="B444">
        <v>443</v>
      </c>
      <c r="C444">
        <v>0.2727</v>
      </c>
      <c r="D444">
        <v>0.45</v>
      </c>
      <c r="E444">
        <v>0.16420000000000001</v>
      </c>
      <c r="F444">
        <v>5</v>
      </c>
      <c r="G444">
        <v>63</v>
      </c>
      <c r="H444">
        <v>68</v>
      </c>
      <c r="I444">
        <v>443</v>
      </c>
      <c r="J444" s="1">
        <v>40563</v>
      </c>
      <c r="K444">
        <v>1</v>
      </c>
      <c r="L444">
        <v>0</v>
      </c>
      <c r="M444">
        <v>1</v>
      </c>
      <c r="N444">
        <v>11</v>
      </c>
      <c r="O444" t="b">
        <v>0</v>
      </c>
      <c r="P444">
        <v>4</v>
      </c>
      <c r="Q444">
        <v>2</v>
      </c>
      <c r="R444">
        <v>0.28000000000000003</v>
      </c>
    </row>
    <row r="445" spans="1:18" x14ac:dyDescent="0.25">
      <c r="A445">
        <v>443</v>
      </c>
      <c r="B445">
        <v>444</v>
      </c>
      <c r="C445">
        <v>0.33329999999999999</v>
      </c>
      <c r="D445">
        <v>0.42</v>
      </c>
      <c r="E445">
        <v>0</v>
      </c>
      <c r="F445">
        <v>7</v>
      </c>
      <c r="G445">
        <v>77</v>
      </c>
      <c r="H445">
        <v>84</v>
      </c>
      <c r="I445">
        <v>444</v>
      </c>
      <c r="J445" s="1">
        <v>40563</v>
      </c>
      <c r="K445">
        <v>1</v>
      </c>
      <c r="L445">
        <v>0</v>
      </c>
      <c r="M445">
        <v>1</v>
      </c>
      <c r="N445">
        <v>12</v>
      </c>
      <c r="O445" t="b">
        <v>0</v>
      </c>
      <c r="P445">
        <v>4</v>
      </c>
      <c r="Q445">
        <v>2</v>
      </c>
      <c r="R445">
        <v>0.3</v>
      </c>
    </row>
    <row r="446" spans="1:18" x14ac:dyDescent="0.25">
      <c r="A446">
        <v>444</v>
      </c>
      <c r="B446">
        <v>445</v>
      </c>
      <c r="C446">
        <v>0.28789999999999999</v>
      </c>
      <c r="D446">
        <v>0.45</v>
      </c>
      <c r="E446">
        <v>0.1045</v>
      </c>
      <c r="F446">
        <v>12</v>
      </c>
      <c r="G446">
        <v>86</v>
      </c>
      <c r="H446">
        <v>98</v>
      </c>
      <c r="I446">
        <v>445</v>
      </c>
      <c r="J446" s="1">
        <v>40563</v>
      </c>
      <c r="K446">
        <v>1</v>
      </c>
      <c r="L446">
        <v>0</v>
      </c>
      <c r="M446">
        <v>1</v>
      </c>
      <c r="N446">
        <v>13</v>
      </c>
      <c r="O446" t="b">
        <v>0</v>
      </c>
      <c r="P446">
        <v>4</v>
      </c>
      <c r="Q446">
        <v>2</v>
      </c>
      <c r="R446">
        <v>0.28000000000000003</v>
      </c>
    </row>
    <row r="447" spans="1:18" x14ac:dyDescent="0.25">
      <c r="A447">
        <v>445</v>
      </c>
      <c r="B447">
        <v>446</v>
      </c>
      <c r="C447">
        <v>0.30299999999999999</v>
      </c>
      <c r="D447">
        <v>0.45</v>
      </c>
      <c r="E447">
        <v>0.1343</v>
      </c>
      <c r="F447">
        <v>6</v>
      </c>
      <c r="G447">
        <v>75</v>
      </c>
      <c r="H447">
        <v>81</v>
      </c>
      <c r="I447">
        <v>446</v>
      </c>
      <c r="J447" s="1">
        <v>40563</v>
      </c>
      <c r="K447">
        <v>1</v>
      </c>
      <c r="L447">
        <v>0</v>
      </c>
      <c r="M447">
        <v>1</v>
      </c>
      <c r="N447">
        <v>14</v>
      </c>
      <c r="O447" t="b">
        <v>0</v>
      </c>
      <c r="P447">
        <v>4</v>
      </c>
      <c r="Q447">
        <v>2</v>
      </c>
      <c r="R447">
        <v>0.3</v>
      </c>
    </row>
    <row r="448" spans="1:18" x14ac:dyDescent="0.25">
      <c r="A448">
        <v>446</v>
      </c>
      <c r="B448">
        <v>447</v>
      </c>
      <c r="C448">
        <v>0.31819999999999998</v>
      </c>
      <c r="D448">
        <v>0.45</v>
      </c>
      <c r="E448">
        <v>0.19400000000000001</v>
      </c>
      <c r="F448">
        <v>8</v>
      </c>
      <c r="G448">
        <v>62</v>
      </c>
      <c r="H448">
        <v>70</v>
      </c>
      <c r="I448">
        <v>447</v>
      </c>
      <c r="J448" s="1">
        <v>40563</v>
      </c>
      <c r="K448">
        <v>1</v>
      </c>
      <c r="L448">
        <v>0</v>
      </c>
      <c r="M448">
        <v>1</v>
      </c>
      <c r="N448">
        <v>15</v>
      </c>
      <c r="O448" t="b">
        <v>0</v>
      </c>
      <c r="P448">
        <v>4</v>
      </c>
      <c r="Q448">
        <v>2</v>
      </c>
      <c r="R448">
        <v>0.32</v>
      </c>
    </row>
    <row r="449" spans="1:18" x14ac:dyDescent="0.25">
      <c r="A449">
        <v>447</v>
      </c>
      <c r="B449">
        <v>448</v>
      </c>
      <c r="C449">
        <v>0.30299999999999999</v>
      </c>
      <c r="D449">
        <v>0.49</v>
      </c>
      <c r="E449">
        <v>0.1343</v>
      </c>
      <c r="F449">
        <v>8</v>
      </c>
      <c r="G449">
        <v>83</v>
      </c>
      <c r="H449">
        <v>91</v>
      </c>
      <c r="I449">
        <v>448</v>
      </c>
      <c r="J449" s="1">
        <v>40563</v>
      </c>
      <c r="K449">
        <v>1</v>
      </c>
      <c r="L449">
        <v>0</v>
      </c>
      <c r="M449">
        <v>1</v>
      </c>
      <c r="N449">
        <v>16</v>
      </c>
      <c r="O449" t="b">
        <v>0</v>
      </c>
      <c r="P449">
        <v>4</v>
      </c>
      <c r="Q449">
        <v>2</v>
      </c>
      <c r="R449">
        <v>0.3</v>
      </c>
    </row>
    <row r="450" spans="1:18" x14ac:dyDescent="0.25">
      <c r="A450">
        <v>448</v>
      </c>
      <c r="B450">
        <v>449</v>
      </c>
      <c r="C450">
        <v>0.31819999999999998</v>
      </c>
      <c r="D450">
        <v>0.49</v>
      </c>
      <c r="E450">
        <v>0.1045</v>
      </c>
      <c r="F450">
        <v>8</v>
      </c>
      <c r="G450">
        <v>207</v>
      </c>
      <c r="H450">
        <v>215</v>
      </c>
      <c r="I450">
        <v>449</v>
      </c>
      <c r="J450" s="1">
        <v>40563</v>
      </c>
      <c r="K450">
        <v>1</v>
      </c>
      <c r="L450">
        <v>0</v>
      </c>
      <c r="M450">
        <v>1</v>
      </c>
      <c r="N450">
        <v>17</v>
      </c>
      <c r="O450" t="b">
        <v>0</v>
      </c>
      <c r="P450">
        <v>4</v>
      </c>
      <c r="Q450">
        <v>2</v>
      </c>
      <c r="R450">
        <v>0.3</v>
      </c>
    </row>
    <row r="451" spans="1:18" x14ac:dyDescent="0.25">
      <c r="A451">
        <v>449</v>
      </c>
      <c r="B451">
        <v>450</v>
      </c>
      <c r="C451">
        <v>0.2576</v>
      </c>
      <c r="D451">
        <v>0.56000000000000005</v>
      </c>
      <c r="E451">
        <v>0.19400000000000001</v>
      </c>
      <c r="F451">
        <v>1</v>
      </c>
      <c r="G451">
        <v>184</v>
      </c>
      <c r="H451">
        <v>185</v>
      </c>
      <c r="I451">
        <v>450</v>
      </c>
      <c r="J451" s="1">
        <v>40563</v>
      </c>
      <c r="K451">
        <v>1</v>
      </c>
      <c r="L451">
        <v>0</v>
      </c>
      <c r="M451">
        <v>1</v>
      </c>
      <c r="N451">
        <v>18</v>
      </c>
      <c r="O451" t="b">
        <v>0</v>
      </c>
      <c r="P451">
        <v>4</v>
      </c>
      <c r="Q451">
        <v>2</v>
      </c>
      <c r="R451">
        <v>0.26</v>
      </c>
    </row>
    <row r="452" spans="1:18" x14ac:dyDescent="0.25">
      <c r="A452">
        <v>450</v>
      </c>
      <c r="B452">
        <v>451</v>
      </c>
      <c r="C452">
        <v>0.2273</v>
      </c>
      <c r="D452">
        <v>0.56000000000000005</v>
      </c>
      <c r="E452">
        <v>0.32840000000000003</v>
      </c>
      <c r="F452">
        <v>6</v>
      </c>
      <c r="G452">
        <v>146</v>
      </c>
      <c r="H452">
        <v>152</v>
      </c>
      <c r="I452">
        <v>451</v>
      </c>
      <c r="J452" s="1">
        <v>40563</v>
      </c>
      <c r="K452">
        <v>1</v>
      </c>
      <c r="L452">
        <v>0</v>
      </c>
      <c r="M452">
        <v>1</v>
      </c>
      <c r="N452">
        <v>19</v>
      </c>
      <c r="O452" t="b">
        <v>0</v>
      </c>
      <c r="P452">
        <v>4</v>
      </c>
      <c r="Q452">
        <v>1</v>
      </c>
      <c r="R452">
        <v>0.26</v>
      </c>
    </row>
    <row r="453" spans="1:18" x14ac:dyDescent="0.25">
      <c r="A453">
        <v>451</v>
      </c>
      <c r="B453">
        <v>452</v>
      </c>
      <c r="C453">
        <v>0.2424</v>
      </c>
      <c r="D453">
        <v>0.6</v>
      </c>
      <c r="E453">
        <v>0.28360000000000002</v>
      </c>
      <c r="F453">
        <v>2</v>
      </c>
      <c r="G453">
        <v>124</v>
      </c>
      <c r="H453">
        <v>126</v>
      </c>
      <c r="I453">
        <v>452</v>
      </c>
      <c r="J453" s="1">
        <v>40563</v>
      </c>
      <c r="K453">
        <v>1</v>
      </c>
      <c r="L453">
        <v>0</v>
      </c>
      <c r="M453">
        <v>1</v>
      </c>
      <c r="N453">
        <v>20</v>
      </c>
      <c r="O453" t="b">
        <v>0</v>
      </c>
      <c r="P453">
        <v>4</v>
      </c>
      <c r="Q453">
        <v>2</v>
      </c>
      <c r="R453">
        <v>0.26</v>
      </c>
    </row>
    <row r="454" spans="1:18" x14ac:dyDescent="0.25">
      <c r="A454">
        <v>452</v>
      </c>
      <c r="B454">
        <v>453</v>
      </c>
      <c r="C454">
        <v>0.2273</v>
      </c>
      <c r="D454">
        <v>0.6</v>
      </c>
      <c r="E454">
        <v>0.25369999999999998</v>
      </c>
      <c r="F454">
        <v>3</v>
      </c>
      <c r="G454">
        <v>54</v>
      </c>
      <c r="H454">
        <v>57</v>
      </c>
      <c r="I454">
        <v>453</v>
      </c>
      <c r="J454" s="1">
        <v>40563</v>
      </c>
      <c r="K454">
        <v>1</v>
      </c>
      <c r="L454">
        <v>0</v>
      </c>
      <c r="M454">
        <v>1</v>
      </c>
      <c r="N454">
        <v>21</v>
      </c>
      <c r="O454" t="b">
        <v>0</v>
      </c>
      <c r="P454">
        <v>4</v>
      </c>
      <c r="Q454">
        <v>2</v>
      </c>
      <c r="R454">
        <v>0.24</v>
      </c>
    </row>
    <row r="455" spans="1:18" x14ac:dyDescent="0.25">
      <c r="A455">
        <v>453</v>
      </c>
      <c r="B455">
        <v>454</v>
      </c>
      <c r="C455">
        <v>0.21210000000000001</v>
      </c>
      <c r="D455">
        <v>0.65</v>
      </c>
      <c r="E455">
        <v>0.28360000000000002</v>
      </c>
      <c r="F455">
        <v>0</v>
      </c>
      <c r="G455">
        <v>56</v>
      </c>
      <c r="H455">
        <v>56</v>
      </c>
      <c r="I455">
        <v>454</v>
      </c>
      <c r="J455" s="1">
        <v>40563</v>
      </c>
      <c r="K455">
        <v>1</v>
      </c>
      <c r="L455">
        <v>0</v>
      </c>
      <c r="M455">
        <v>1</v>
      </c>
      <c r="N455">
        <v>22</v>
      </c>
      <c r="O455" t="b">
        <v>0</v>
      </c>
      <c r="P455">
        <v>4</v>
      </c>
      <c r="Q455">
        <v>2</v>
      </c>
      <c r="R455">
        <v>0.24</v>
      </c>
    </row>
    <row r="456" spans="1:18" x14ac:dyDescent="0.25">
      <c r="A456">
        <v>454</v>
      </c>
      <c r="B456">
        <v>455</v>
      </c>
      <c r="C456">
        <v>0.21210000000000001</v>
      </c>
      <c r="D456">
        <v>0.65</v>
      </c>
      <c r="E456">
        <v>0.32840000000000003</v>
      </c>
      <c r="F456">
        <v>3</v>
      </c>
      <c r="G456">
        <v>28</v>
      </c>
      <c r="H456">
        <v>31</v>
      </c>
      <c r="I456">
        <v>455</v>
      </c>
      <c r="J456" s="1">
        <v>40563</v>
      </c>
      <c r="K456">
        <v>1</v>
      </c>
      <c r="L456">
        <v>0</v>
      </c>
      <c r="M456">
        <v>1</v>
      </c>
      <c r="N456">
        <v>23</v>
      </c>
      <c r="O456" t="b">
        <v>0</v>
      </c>
      <c r="P456">
        <v>4</v>
      </c>
      <c r="Q456">
        <v>2</v>
      </c>
      <c r="R456">
        <v>0.24</v>
      </c>
    </row>
    <row r="457" spans="1:18" x14ac:dyDescent="0.25">
      <c r="A457">
        <v>455</v>
      </c>
      <c r="B457">
        <v>456</v>
      </c>
      <c r="C457">
        <v>0.2273</v>
      </c>
      <c r="D457">
        <v>0.7</v>
      </c>
      <c r="E457">
        <v>0.25369999999999998</v>
      </c>
      <c r="F457">
        <v>1</v>
      </c>
      <c r="G457">
        <v>20</v>
      </c>
      <c r="H457">
        <v>21</v>
      </c>
      <c r="I457">
        <v>456</v>
      </c>
      <c r="J457" s="1">
        <v>40564</v>
      </c>
      <c r="K457">
        <v>1</v>
      </c>
      <c r="L457">
        <v>0</v>
      </c>
      <c r="M457">
        <v>1</v>
      </c>
      <c r="N457">
        <v>0</v>
      </c>
      <c r="O457" t="b">
        <v>0</v>
      </c>
      <c r="P457">
        <v>5</v>
      </c>
      <c r="Q457">
        <v>2</v>
      </c>
      <c r="R457">
        <v>0.24</v>
      </c>
    </row>
    <row r="458" spans="1:18" x14ac:dyDescent="0.25">
      <c r="A458">
        <v>456</v>
      </c>
      <c r="B458">
        <v>457</v>
      </c>
      <c r="C458">
        <v>0.2273</v>
      </c>
      <c r="D458">
        <v>0.7</v>
      </c>
      <c r="E458">
        <v>0.25369999999999998</v>
      </c>
      <c r="F458">
        <v>0</v>
      </c>
      <c r="G458">
        <v>6</v>
      </c>
      <c r="H458">
        <v>6</v>
      </c>
      <c r="I458">
        <v>457</v>
      </c>
      <c r="J458" s="1">
        <v>40564</v>
      </c>
      <c r="K458">
        <v>1</v>
      </c>
      <c r="L458">
        <v>0</v>
      </c>
      <c r="M458">
        <v>1</v>
      </c>
      <c r="N458">
        <v>1</v>
      </c>
      <c r="O458" t="b">
        <v>0</v>
      </c>
      <c r="P458">
        <v>5</v>
      </c>
      <c r="Q458">
        <v>2</v>
      </c>
      <c r="R458">
        <v>0.24</v>
      </c>
    </row>
    <row r="459" spans="1:18" x14ac:dyDescent="0.25">
      <c r="A459">
        <v>457</v>
      </c>
      <c r="B459">
        <v>458</v>
      </c>
      <c r="C459">
        <v>0.2424</v>
      </c>
      <c r="D459">
        <v>0.75</v>
      </c>
      <c r="E459">
        <v>0.16420000000000001</v>
      </c>
      <c r="F459">
        <v>0</v>
      </c>
      <c r="G459">
        <v>2</v>
      </c>
      <c r="H459">
        <v>2</v>
      </c>
      <c r="I459">
        <v>458</v>
      </c>
      <c r="J459" s="1">
        <v>40564</v>
      </c>
      <c r="K459">
        <v>1</v>
      </c>
      <c r="L459">
        <v>0</v>
      </c>
      <c r="M459">
        <v>1</v>
      </c>
      <c r="N459">
        <v>2</v>
      </c>
      <c r="O459" t="b">
        <v>0</v>
      </c>
      <c r="P459">
        <v>5</v>
      </c>
      <c r="Q459">
        <v>3</v>
      </c>
      <c r="R459">
        <v>0.24</v>
      </c>
    </row>
    <row r="460" spans="1:18" x14ac:dyDescent="0.25">
      <c r="A460">
        <v>458</v>
      </c>
      <c r="B460">
        <v>459</v>
      </c>
      <c r="C460">
        <v>0.21210000000000001</v>
      </c>
      <c r="D460">
        <v>0.8</v>
      </c>
      <c r="E460">
        <v>0.29849999999999999</v>
      </c>
      <c r="F460">
        <v>0</v>
      </c>
      <c r="G460">
        <v>1</v>
      </c>
      <c r="H460">
        <v>1</v>
      </c>
      <c r="I460">
        <v>459</v>
      </c>
      <c r="J460" s="1">
        <v>40564</v>
      </c>
      <c r="K460">
        <v>1</v>
      </c>
      <c r="L460">
        <v>0</v>
      </c>
      <c r="M460">
        <v>1</v>
      </c>
      <c r="N460">
        <v>3</v>
      </c>
      <c r="O460" t="b">
        <v>0</v>
      </c>
      <c r="P460">
        <v>5</v>
      </c>
      <c r="Q460">
        <v>3</v>
      </c>
      <c r="R460">
        <v>0.22</v>
      </c>
    </row>
    <row r="461" spans="1:18" x14ac:dyDescent="0.25">
      <c r="A461">
        <v>459</v>
      </c>
      <c r="B461">
        <v>460</v>
      </c>
      <c r="C461">
        <v>0.2576</v>
      </c>
      <c r="D461">
        <v>0.87</v>
      </c>
      <c r="E461">
        <v>8.9599999999999999E-2</v>
      </c>
      <c r="F461">
        <v>0</v>
      </c>
      <c r="G461">
        <v>1</v>
      </c>
      <c r="H461">
        <v>1</v>
      </c>
      <c r="I461">
        <v>460</v>
      </c>
      <c r="J461" s="1">
        <v>40564</v>
      </c>
      <c r="K461">
        <v>1</v>
      </c>
      <c r="L461">
        <v>0</v>
      </c>
      <c r="M461">
        <v>1</v>
      </c>
      <c r="N461">
        <v>4</v>
      </c>
      <c r="O461" t="b">
        <v>0</v>
      </c>
      <c r="P461">
        <v>5</v>
      </c>
      <c r="Q461">
        <v>2</v>
      </c>
      <c r="R461">
        <v>0.22</v>
      </c>
    </row>
    <row r="462" spans="1:18" x14ac:dyDescent="0.25">
      <c r="A462">
        <v>460</v>
      </c>
      <c r="B462">
        <v>461</v>
      </c>
      <c r="C462">
        <v>0.19700000000000001</v>
      </c>
      <c r="D462">
        <v>0.6</v>
      </c>
      <c r="E462">
        <v>0.41789999999999999</v>
      </c>
      <c r="F462">
        <v>1</v>
      </c>
      <c r="G462">
        <v>4</v>
      </c>
      <c r="H462">
        <v>5</v>
      </c>
      <c r="I462">
        <v>461</v>
      </c>
      <c r="J462" s="1">
        <v>40564</v>
      </c>
      <c r="K462">
        <v>1</v>
      </c>
      <c r="L462">
        <v>0</v>
      </c>
      <c r="M462">
        <v>1</v>
      </c>
      <c r="N462">
        <v>5</v>
      </c>
      <c r="O462" t="b">
        <v>0</v>
      </c>
      <c r="P462">
        <v>5</v>
      </c>
      <c r="Q462">
        <v>1</v>
      </c>
      <c r="R462">
        <v>0.24</v>
      </c>
    </row>
    <row r="463" spans="1:18" x14ac:dyDescent="0.25">
      <c r="A463">
        <v>461</v>
      </c>
      <c r="B463">
        <v>462</v>
      </c>
      <c r="C463">
        <v>0.21210000000000001</v>
      </c>
      <c r="D463">
        <v>0.55000000000000004</v>
      </c>
      <c r="E463">
        <v>0.25369999999999998</v>
      </c>
      <c r="F463">
        <v>0</v>
      </c>
      <c r="G463">
        <v>27</v>
      </c>
      <c r="H463">
        <v>27</v>
      </c>
      <c r="I463">
        <v>462</v>
      </c>
      <c r="J463" s="1">
        <v>40564</v>
      </c>
      <c r="K463">
        <v>1</v>
      </c>
      <c r="L463">
        <v>0</v>
      </c>
      <c r="M463">
        <v>1</v>
      </c>
      <c r="N463">
        <v>6</v>
      </c>
      <c r="O463" t="b">
        <v>0</v>
      </c>
      <c r="P463">
        <v>5</v>
      </c>
      <c r="Q463">
        <v>1</v>
      </c>
      <c r="R463">
        <v>0.22</v>
      </c>
    </row>
    <row r="464" spans="1:18" x14ac:dyDescent="0.25">
      <c r="A464">
        <v>462</v>
      </c>
      <c r="B464">
        <v>463</v>
      </c>
      <c r="C464">
        <v>0.18179999999999999</v>
      </c>
      <c r="D464">
        <v>0.51</v>
      </c>
      <c r="E464">
        <v>0.28360000000000002</v>
      </c>
      <c r="F464">
        <v>2</v>
      </c>
      <c r="G464">
        <v>66</v>
      </c>
      <c r="H464">
        <v>68</v>
      </c>
      <c r="I464">
        <v>463</v>
      </c>
      <c r="J464" s="1">
        <v>40564</v>
      </c>
      <c r="K464">
        <v>1</v>
      </c>
      <c r="L464">
        <v>0</v>
      </c>
      <c r="M464">
        <v>1</v>
      </c>
      <c r="N464">
        <v>7</v>
      </c>
      <c r="O464" t="b">
        <v>0</v>
      </c>
      <c r="P464">
        <v>5</v>
      </c>
      <c r="Q464">
        <v>1</v>
      </c>
      <c r="R464">
        <v>0.2</v>
      </c>
    </row>
    <row r="465" spans="1:18" x14ac:dyDescent="0.25">
      <c r="A465">
        <v>463</v>
      </c>
      <c r="B465">
        <v>464</v>
      </c>
      <c r="C465">
        <v>0.18179999999999999</v>
      </c>
      <c r="D465">
        <v>0.47</v>
      </c>
      <c r="E465">
        <v>0.32840000000000003</v>
      </c>
      <c r="F465">
        <v>7</v>
      </c>
      <c r="G465">
        <v>210</v>
      </c>
      <c r="H465">
        <v>217</v>
      </c>
      <c r="I465">
        <v>464</v>
      </c>
      <c r="J465" s="1">
        <v>40564</v>
      </c>
      <c r="K465">
        <v>1</v>
      </c>
      <c r="L465">
        <v>0</v>
      </c>
      <c r="M465">
        <v>1</v>
      </c>
      <c r="N465">
        <v>8</v>
      </c>
      <c r="O465" t="b">
        <v>0</v>
      </c>
      <c r="P465">
        <v>5</v>
      </c>
      <c r="Q465">
        <v>1</v>
      </c>
      <c r="R465">
        <v>0.2</v>
      </c>
    </row>
    <row r="466" spans="1:18" x14ac:dyDescent="0.25">
      <c r="A466">
        <v>464</v>
      </c>
      <c r="B466">
        <v>465</v>
      </c>
      <c r="C466">
        <v>0.18179999999999999</v>
      </c>
      <c r="D466">
        <v>0.51</v>
      </c>
      <c r="E466">
        <v>0.35820000000000002</v>
      </c>
      <c r="F466">
        <v>7</v>
      </c>
      <c r="G466">
        <v>159</v>
      </c>
      <c r="H466">
        <v>166</v>
      </c>
      <c r="I466">
        <v>465</v>
      </c>
      <c r="J466" s="1">
        <v>40564</v>
      </c>
      <c r="K466">
        <v>1</v>
      </c>
      <c r="L466">
        <v>0</v>
      </c>
      <c r="M466">
        <v>1</v>
      </c>
      <c r="N466">
        <v>9</v>
      </c>
      <c r="O466" t="b">
        <v>0</v>
      </c>
      <c r="P466">
        <v>5</v>
      </c>
      <c r="Q466">
        <v>1</v>
      </c>
      <c r="R466">
        <v>0.2</v>
      </c>
    </row>
    <row r="467" spans="1:18" x14ac:dyDescent="0.25">
      <c r="A467">
        <v>465</v>
      </c>
      <c r="B467">
        <v>466</v>
      </c>
      <c r="C467">
        <v>0.16669999999999999</v>
      </c>
      <c r="D467">
        <v>0.47</v>
      </c>
      <c r="E467">
        <v>0.4627</v>
      </c>
      <c r="F467">
        <v>6</v>
      </c>
      <c r="G467">
        <v>57</v>
      </c>
      <c r="H467">
        <v>63</v>
      </c>
      <c r="I467">
        <v>466</v>
      </c>
      <c r="J467" s="1">
        <v>40564</v>
      </c>
      <c r="K467">
        <v>1</v>
      </c>
      <c r="L467">
        <v>0</v>
      </c>
      <c r="M467">
        <v>1</v>
      </c>
      <c r="N467">
        <v>10</v>
      </c>
      <c r="O467" t="b">
        <v>0</v>
      </c>
      <c r="P467">
        <v>5</v>
      </c>
      <c r="Q467">
        <v>1</v>
      </c>
      <c r="R467">
        <v>0.2</v>
      </c>
    </row>
    <row r="468" spans="1:18" x14ac:dyDescent="0.25">
      <c r="A468">
        <v>466</v>
      </c>
      <c r="B468">
        <v>467</v>
      </c>
      <c r="C468">
        <v>0.18179999999999999</v>
      </c>
      <c r="D468">
        <v>0.41</v>
      </c>
      <c r="E468">
        <v>0.4627</v>
      </c>
      <c r="F468">
        <v>6</v>
      </c>
      <c r="G468">
        <v>53</v>
      </c>
      <c r="H468">
        <v>59</v>
      </c>
      <c r="I468">
        <v>467</v>
      </c>
      <c r="J468" s="1">
        <v>40564</v>
      </c>
      <c r="K468">
        <v>1</v>
      </c>
      <c r="L468">
        <v>0</v>
      </c>
      <c r="M468">
        <v>1</v>
      </c>
      <c r="N468">
        <v>11</v>
      </c>
      <c r="O468" t="b">
        <v>0</v>
      </c>
      <c r="P468">
        <v>5</v>
      </c>
      <c r="Q468">
        <v>1</v>
      </c>
      <c r="R468">
        <v>0.22</v>
      </c>
    </row>
    <row r="469" spans="1:18" x14ac:dyDescent="0.25">
      <c r="A469">
        <v>467</v>
      </c>
      <c r="B469">
        <v>468</v>
      </c>
      <c r="C469">
        <v>0.18179999999999999</v>
      </c>
      <c r="D469">
        <v>0.27</v>
      </c>
      <c r="E469">
        <v>0.58209999999999995</v>
      </c>
      <c r="F469">
        <v>11</v>
      </c>
      <c r="G469">
        <v>67</v>
      </c>
      <c r="H469">
        <v>78</v>
      </c>
      <c r="I469">
        <v>468</v>
      </c>
      <c r="J469" s="1">
        <v>40564</v>
      </c>
      <c r="K469">
        <v>1</v>
      </c>
      <c r="L469">
        <v>0</v>
      </c>
      <c r="M469">
        <v>1</v>
      </c>
      <c r="N469">
        <v>12</v>
      </c>
      <c r="O469" t="b">
        <v>0</v>
      </c>
      <c r="P469">
        <v>5</v>
      </c>
      <c r="Q469">
        <v>1</v>
      </c>
      <c r="R469">
        <v>0.22</v>
      </c>
    </row>
    <row r="470" spans="1:18" x14ac:dyDescent="0.25">
      <c r="A470">
        <v>468</v>
      </c>
      <c r="B470">
        <v>469</v>
      </c>
      <c r="C470">
        <v>0.1515</v>
      </c>
      <c r="D470">
        <v>0.21</v>
      </c>
      <c r="E470">
        <v>0.58209999999999995</v>
      </c>
      <c r="F470">
        <v>8</v>
      </c>
      <c r="G470">
        <v>65</v>
      </c>
      <c r="H470">
        <v>73</v>
      </c>
      <c r="I470">
        <v>469</v>
      </c>
      <c r="J470" s="1">
        <v>40564</v>
      </c>
      <c r="K470">
        <v>1</v>
      </c>
      <c r="L470">
        <v>0</v>
      </c>
      <c r="M470">
        <v>1</v>
      </c>
      <c r="N470">
        <v>13</v>
      </c>
      <c r="O470" t="b">
        <v>0</v>
      </c>
      <c r="P470">
        <v>5</v>
      </c>
      <c r="Q470">
        <v>1</v>
      </c>
      <c r="R470">
        <v>0.2</v>
      </c>
    </row>
    <row r="471" spans="1:18" x14ac:dyDescent="0.25">
      <c r="A471">
        <v>469</v>
      </c>
      <c r="B471">
        <v>470</v>
      </c>
      <c r="C471">
        <v>0.1515</v>
      </c>
      <c r="D471">
        <v>0.25</v>
      </c>
      <c r="E471">
        <v>0.52239999999999998</v>
      </c>
      <c r="F471">
        <v>6</v>
      </c>
      <c r="G471">
        <v>56</v>
      </c>
      <c r="H471">
        <v>62</v>
      </c>
      <c r="I471">
        <v>470</v>
      </c>
      <c r="J471" s="1">
        <v>40564</v>
      </c>
      <c r="K471">
        <v>1</v>
      </c>
      <c r="L471">
        <v>0</v>
      </c>
      <c r="M471">
        <v>1</v>
      </c>
      <c r="N471">
        <v>14</v>
      </c>
      <c r="O471" t="b">
        <v>0</v>
      </c>
      <c r="P471">
        <v>5</v>
      </c>
      <c r="Q471">
        <v>1</v>
      </c>
      <c r="R471">
        <v>0.2</v>
      </c>
    </row>
    <row r="472" spans="1:18" x14ac:dyDescent="0.25">
      <c r="A472">
        <v>470</v>
      </c>
      <c r="B472">
        <v>471</v>
      </c>
      <c r="C472">
        <v>0.1212</v>
      </c>
      <c r="D472">
        <v>0.26</v>
      </c>
      <c r="E472">
        <v>0.44779999999999998</v>
      </c>
      <c r="F472">
        <v>4</v>
      </c>
      <c r="G472">
        <v>61</v>
      </c>
      <c r="H472">
        <v>65</v>
      </c>
      <c r="I472">
        <v>471</v>
      </c>
      <c r="J472" s="1">
        <v>40564</v>
      </c>
      <c r="K472">
        <v>1</v>
      </c>
      <c r="L472">
        <v>0</v>
      </c>
      <c r="M472">
        <v>1</v>
      </c>
      <c r="N472">
        <v>15</v>
      </c>
      <c r="O472" t="b">
        <v>0</v>
      </c>
      <c r="P472">
        <v>5</v>
      </c>
      <c r="Q472">
        <v>1</v>
      </c>
      <c r="R472">
        <v>0.16</v>
      </c>
    </row>
    <row r="473" spans="1:18" x14ac:dyDescent="0.25">
      <c r="A473">
        <v>471</v>
      </c>
      <c r="B473">
        <v>472</v>
      </c>
      <c r="C473">
        <v>0.13639999999999999</v>
      </c>
      <c r="D473">
        <v>0.26</v>
      </c>
      <c r="E473">
        <v>0.35820000000000002</v>
      </c>
      <c r="F473">
        <v>0</v>
      </c>
      <c r="G473">
        <v>97</v>
      </c>
      <c r="H473">
        <v>97</v>
      </c>
      <c r="I473">
        <v>472</v>
      </c>
      <c r="J473" s="1">
        <v>40564</v>
      </c>
      <c r="K473">
        <v>1</v>
      </c>
      <c r="L473">
        <v>0</v>
      </c>
      <c r="M473">
        <v>1</v>
      </c>
      <c r="N473">
        <v>16</v>
      </c>
      <c r="O473" t="b">
        <v>0</v>
      </c>
      <c r="P473">
        <v>5</v>
      </c>
      <c r="Q473">
        <v>1</v>
      </c>
      <c r="R473">
        <v>0.16</v>
      </c>
    </row>
    <row r="474" spans="1:18" x14ac:dyDescent="0.25">
      <c r="A474">
        <v>472</v>
      </c>
      <c r="B474">
        <v>473</v>
      </c>
      <c r="C474">
        <v>0.1212</v>
      </c>
      <c r="D474">
        <v>0.28000000000000003</v>
      </c>
      <c r="E474">
        <v>0.35820000000000002</v>
      </c>
      <c r="F474">
        <v>10</v>
      </c>
      <c r="G474">
        <v>151</v>
      </c>
      <c r="H474">
        <v>161</v>
      </c>
      <c r="I474">
        <v>473</v>
      </c>
      <c r="J474" s="1">
        <v>40564</v>
      </c>
      <c r="K474">
        <v>1</v>
      </c>
      <c r="L474">
        <v>0</v>
      </c>
      <c r="M474">
        <v>1</v>
      </c>
      <c r="N474">
        <v>17</v>
      </c>
      <c r="O474" t="b">
        <v>0</v>
      </c>
      <c r="P474">
        <v>5</v>
      </c>
      <c r="Q474">
        <v>1</v>
      </c>
      <c r="R474">
        <v>0.14000000000000001</v>
      </c>
    </row>
    <row r="475" spans="1:18" x14ac:dyDescent="0.25">
      <c r="A475">
        <v>473</v>
      </c>
      <c r="B475">
        <v>474</v>
      </c>
      <c r="C475">
        <v>0.1212</v>
      </c>
      <c r="D475">
        <v>0.3</v>
      </c>
      <c r="E475">
        <v>0.25369999999999998</v>
      </c>
      <c r="F475">
        <v>1</v>
      </c>
      <c r="G475">
        <v>119</v>
      </c>
      <c r="H475">
        <v>120</v>
      </c>
      <c r="I475">
        <v>474</v>
      </c>
      <c r="J475" s="1">
        <v>40564</v>
      </c>
      <c r="K475">
        <v>1</v>
      </c>
      <c r="L475">
        <v>0</v>
      </c>
      <c r="M475">
        <v>1</v>
      </c>
      <c r="N475">
        <v>18</v>
      </c>
      <c r="O475" t="b">
        <v>0</v>
      </c>
      <c r="P475">
        <v>5</v>
      </c>
      <c r="Q475">
        <v>1</v>
      </c>
      <c r="R475">
        <v>0.12</v>
      </c>
    </row>
    <row r="476" spans="1:18" x14ac:dyDescent="0.25">
      <c r="A476">
        <v>474</v>
      </c>
      <c r="B476">
        <v>475</v>
      </c>
      <c r="C476">
        <v>0.1061</v>
      </c>
      <c r="D476">
        <v>0.3</v>
      </c>
      <c r="E476">
        <v>0.32840000000000003</v>
      </c>
      <c r="F476">
        <v>3</v>
      </c>
      <c r="G476">
        <v>93</v>
      </c>
      <c r="H476">
        <v>96</v>
      </c>
      <c r="I476">
        <v>475</v>
      </c>
      <c r="J476" s="1">
        <v>40564</v>
      </c>
      <c r="K476">
        <v>1</v>
      </c>
      <c r="L476">
        <v>0</v>
      </c>
      <c r="M476">
        <v>1</v>
      </c>
      <c r="N476">
        <v>19</v>
      </c>
      <c r="O476" t="b">
        <v>0</v>
      </c>
      <c r="P476">
        <v>5</v>
      </c>
      <c r="Q476">
        <v>1</v>
      </c>
      <c r="R476">
        <v>0.12</v>
      </c>
    </row>
    <row r="477" spans="1:18" x14ac:dyDescent="0.25">
      <c r="A477">
        <v>475</v>
      </c>
      <c r="B477">
        <v>476</v>
      </c>
      <c r="C477">
        <v>7.5800000000000006E-2</v>
      </c>
      <c r="D477">
        <v>0.33</v>
      </c>
      <c r="E477">
        <v>0.41789999999999999</v>
      </c>
      <c r="F477">
        <v>1</v>
      </c>
      <c r="G477">
        <v>52</v>
      </c>
      <c r="H477">
        <v>53</v>
      </c>
      <c r="I477">
        <v>476</v>
      </c>
      <c r="J477" s="1">
        <v>40564</v>
      </c>
      <c r="K477">
        <v>1</v>
      </c>
      <c r="L477">
        <v>0</v>
      </c>
      <c r="M477">
        <v>1</v>
      </c>
      <c r="N477">
        <v>20</v>
      </c>
      <c r="O477" t="b">
        <v>0</v>
      </c>
      <c r="P477">
        <v>5</v>
      </c>
      <c r="Q477">
        <v>1</v>
      </c>
      <c r="R477">
        <v>0.1</v>
      </c>
    </row>
    <row r="478" spans="1:18" x14ac:dyDescent="0.25">
      <c r="A478">
        <v>476</v>
      </c>
      <c r="B478">
        <v>477</v>
      </c>
      <c r="C478">
        <v>7.5800000000000006E-2</v>
      </c>
      <c r="D478">
        <v>0.38</v>
      </c>
      <c r="E478">
        <v>0.28360000000000002</v>
      </c>
      <c r="F478">
        <v>0</v>
      </c>
      <c r="G478">
        <v>41</v>
      </c>
      <c r="H478">
        <v>41</v>
      </c>
      <c r="I478">
        <v>477</v>
      </c>
      <c r="J478" s="1">
        <v>40564</v>
      </c>
      <c r="K478">
        <v>1</v>
      </c>
      <c r="L478">
        <v>0</v>
      </c>
      <c r="M478">
        <v>1</v>
      </c>
      <c r="N478">
        <v>21</v>
      </c>
      <c r="O478" t="b">
        <v>0</v>
      </c>
      <c r="P478">
        <v>5</v>
      </c>
      <c r="Q478">
        <v>1</v>
      </c>
      <c r="R478">
        <v>0.08</v>
      </c>
    </row>
    <row r="479" spans="1:18" x14ac:dyDescent="0.25">
      <c r="A479">
        <v>477</v>
      </c>
      <c r="B479">
        <v>478</v>
      </c>
      <c r="C479">
        <v>3.0300000000000001E-2</v>
      </c>
      <c r="D479">
        <v>0.41</v>
      </c>
      <c r="E479">
        <v>0.3881</v>
      </c>
      <c r="F479">
        <v>1</v>
      </c>
      <c r="G479">
        <v>33</v>
      </c>
      <c r="H479">
        <v>34</v>
      </c>
      <c r="I479">
        <v>478</v>
      </c>
      <c r="J479" s="1">
        <v>40564</v>
      </c>
      <c r="K479">
        <v>1</v>
      </c>
      <c r="L479">
        <v>0</v>
      </c>
      <c r="M479">
        <v>1</v>
      </c>
      <c r="N479">
        <v>22</v>
      </c>
      <c r="O479" t="b">
        <v>0</v>
      </c>
      <c r="P479">
        <v>5</v>
      </c>
      <c r="Q479">
        <v>1</v>
      </c>
      <c r="R479">
        <v>0.06</v>
      </c>
    </row>
    <row r="480" spans="1:18" x14ac:dyDescent="0.25">
      <c r="A480">
        <v>478</v>
      </c>
      <c r="B480">
        <v>479</v>
      </c>
      <c r="C480">
        <v>4.5499999999999999E-2</v>
      </c>
      <c r="D480">
        <v>0.38</v>
      </c>
      <c r="E480">
        <v>0.32840000000000003</v>
      </c>
      <c r="F480">
        <v>0</v>
      </c>
      <c r="G480">
        <v>27</v>
      </c>
      <c r="H480">
        <v>27</v>
      </c>
      <c r="I480">
        <v>479</v>
      </c>
      <c r="J480" s="1">
        <v>40564</v>
      </c>
      <c r="K480">
        <v>1</v>
      </c>
      <c r="L480">
        <v>0</v>
      </c>
      <c r="M480">
        <v>1</v>
      </c>
      <c r="N480">
        <v>23</v>
      </c>
      <c r="O480" t="b">
        <v>0</v>
      </c>
      <c r="P480">
        <v>5</v>
      </c>
      <c r="Q480">
        <v>1</v>
      </c>
      <c r="R480">
        <v>0.06</v>
      </c>
    </row>
    <row r="481" spans="1:18" x14ac:dyDescent="0.25">
      <c r="A481">
        <v>479</v>
      </c>
      <c r="B481">
        <v>480</v>
      </c>
      <c r="C481">
        <v>3.0300000000000001E-2</v>
      </c>
      <c r="D481">
        <v>0.45</v>
      </c>
      <c r="E481">
        <v>0.25369999999999998</v>
      </c>
      <c r="F481">
        <v>0</v>
      </c>
      <c r="G481">
        <v>13</v>
      </c>
      <c r="H481">
        <v>13</v>
      </c>
      <c r="I481">
        <v>480</v>
      </c>
      <c r="J481" s="1">
        <v>40565</v>
      </c>
      <c r="K481">
        <v>1</v>
      </c>
      <c r="L481">
        <v>0</v>
      </c>
      <c r="M481">
        <v>1</v>
      </c>
      <c r="N481">
        <v>0</v>
      </c>
      <c r="O481" t="b">
        <v>0</v>
      </c>
      <c r="P481">
        <v>6</v>
      </c>
      <c r="Q481">
        <v>1</v>
      </c>
      <c r="R481">
        <v>0.04</v>
      </c>
    </row>
    <row r="482" spans="1:18" x14ac:dyDescent="0.25">
      <c r="A482">
        <v>480</v>
      </c>
      <c r="B482">
        <v>481</v>
      </c>
      <c r="C482">
        <v>0</v>
      </c>
      <c r="D482">
        <v>0.41</v>
      </c>
      <c r="E482">
        <v>0.3881</v>
      </c>
      <c r="F482">
        <v>3</v>
      </c>
      <c r="G482">
        <v>9</v>
      </c>
      <c r="H482">
        <v>12</v>
      </c>
      <c r="I482">
        <v>481</v>
      </c>
      <c r="J482" s="1">
        <v>40565</v>
      </c>
      <c r="K482">
        <v>1</v>
      </c>
      <c r="L482">
        <v>0</v>
      </c>
      <c r="M482">
        <v>1</v>
      </c>
      <c r="N482">
        <v>1</v>
      </c>
      <c r="O482" t="b">
        <v>0</v>
      </c>
      <c r="P482">
        <v>6</v>
      </c>
      <c r="Q482">
        <v>2</v>
      </c>
      <c r="R482">
        <v>0.04</v>
      </c>
    </row>
    <row r="483" spans="1:18" x14ac:dyDescent="0.25">
      <c r="A483">
        <v>481</v>
      </c>
      <c r="B483">
        <v>482</v>
      </c>
      <c r="C483">
        <v>3.0300000000000001E-2</v>
      </c>
      <c r="D483">
        <v>0.41</v>
      </c>
      <c r="E483">
        <v>0.25369999999999998</v>
      </c>
      <c r="F483">
        <v>0</v>
      </c>
      <c r="G483">
        <v>11</v>
      </c>
      <c r="H483">
        <v>11</v>
      </c>
      <c r="I483">
        <v>482</v>
      </c>
      <c r="J483" s="1">
        <v>40565</v>
      </c>
      <c r="K483">
        <v>1</v>
      </c>
      <c r="L483">
        <v>0</v>
      </c>
      <c r="M483">
        <v>1</v>
      </c>
      <c r="N483">
        <v>2</v>
      </c>
      <c r="O483" t="b">
        <v>0</v>
      </c>
      <c r="P483">
        <v>6</v>
      </c>
      <c r="Q483">
        <v>2</v>
      </c>
      <c r="R483">
        <v>0.04</v>
      </c>
    </row>
    <row r="484" spans="1:18" x14ac:dyDescent="0.25">
      <c r="A484">
        <v>482</v>
      </c>
      <c r="B484">
        <v>483</v>
      </c>
      <c r="C484">
        <v>3.0300000000000001E-2</v>
      </c>
      <c r="D484">
        <v>0.41</v>
      </c>
      <c r="E484">
        <v>0.28360000000000002</v>
      </c>
      <c r="F484">
        <v>1</v>
      </c>
      <c r="G484">
        <v>6</v>
      </c>
      <c r="H484">
        <v>7</v>
      </c>
      <c r="I484">
        <v>483</v>
      </c>
      <c r="J484" s="1">
        <v>40565</v>
      </c>
      <c r="K484">
        <v>1</v>
      </c>
      <c r="L484">
        <v>0</v>
      </c>
      <c r="M484">
        <v>1</v>
      </c>
      <c r="N484">
        <v>3</v>
      </c>
      <c r="O484" t="b">
        <v>0</v>
      </c>
      <c r="P484">
        <v>6</v>
      </c>
      <c r="Q484">
        <v>2</v>
      </c>
      <c r="R484">
        <v>0.04</v>
      </c>
    </row>
    <row r="485" spans="1:18" x14ac:dyDescent="0.25">
      <c r="A485">
        <v>483</v>
      </c>
      <c r="B485">
        <v>484</v>
      </c>
      <c r="C485">
        <v>1.52E-2</v>
      </c>
      <c r="D485">
        <v>0.48</v>
      </c>
      <c r="E485">
        <v>0.29849999999999999</v>
      </c>
      <c r="F485">
        <v>0</v>
      </c>
      <c r="G485">
        <v>3</v>
      </c>
      <c r="H485">
        <v>3</v>
      </c>
      <c r="I485">
        <v>484</v>
      </c>
      <c r="J485" s="1">
        <v>40565</v>
      </c>
      <c r="K485">
        <v>1</v>
      </c>
      <c r="L485">
        <v>0</v>
      </c>
      <c r="M485">
        <v>1</v>
      </c>
      <c r="N485">
        <v>4</v>
      </c>
      <c r="O485" t="b">
        <v>0</v>
      </c>
      <c r="P485">
        <v>6</v>
      </c>
      <c r="Q485">
        <v>2</v>
      </c>
      <c r="R485">
        <v>0.02</v>
      </c>
    </row>
    <row r="486" spans="1:18" x14ac:dyDescent="0.25">
      <c r="A486">
        <v>484</v>
      </c>
      <c r="B486">
        <v>485</v>
      </c>
      <c r="C486">
        <v>3.0300000000000001E-2</v>
      </c>
      <c r="D486">
        <v>0.44</v>
      </c>
      <c r="E486">
        <v>0.22389999999999999</v>
      </c>
      <c r="F486">
        <v>0</v>
      </c>
      <c r="G486">
        <v>2</v>
      </c>
      <c r="H486">
        <v>2</v>
      </c>
      <c r="I486">
        <v>485</v>
      </c>
      <c r="J486" s="1">
        <v>40565</v>
      </c>
      <c r="K486">
        <v>1</v>
      </c>
      <c r="L486">
        <v>0</v>
      </c>
      <c r="M486">
        <v>1</v>
      </c>
      <c r="N486">
        <v>6</v>
      </c>
      <c r="O486" t="b">
        <v>0</v>
      </c>
      <c r="P486">
        <v>6</v>
      </c>
      <c r="Q486">
        <v>2</v>
      </c>
      <c r="R486">
        <v>0.02</v>
      </c>
    </row>
    <row r="487" spans="1:18" x14ac:dyDescent="0.25">
      <c r="A487">
        <v>485</v>
      </c>
      <c r="B487">
        <v>486</v>
      </c>
      <c r="C487">
        <v>1.52E-2</v>
      </c>
      <c r="D487">
        <v>0.44</v>
      </c>
      <c r="E487">
        <v>0.28360000000000002</v>
      </c>
      <c r="F487">
        <v>0</v>
      </c>
      <c r="G487">
        <v>8</v>
      </c>
      <c r="H487">
        <v>8</v>
      </c>
      <c r="I487">
        <v>486</v>
      </c>
      <c r="J487" s="1">
        <v>40565</v>
      </c>
      <c r="K487">
        <v>1</v>
      </c>
      <c r="L487">
        <v>0</v>
      </c>
      <c r="M487">
        <v>1</v>
      </c>
      <c r="N487">
        <v>7</v>
      </c>
      <c r="O487" t="b">
        <v>0</v>
      </c>
      <c r="P487">
        <v>6</v>
      </c>
      <c r="Q487">
        <v>1</v>
      </c>
      <c r="R487">
        <v>0.02</v>
      </c>
    </row>
    <row r="488" spans="1:18" x14ac:dyDescent="0.25">
      <c r="A488">
        <v>486</v>
      </c>
      <c r="B488">
        <v>487</v>
      </c>
      <c r="C488">
        <v>0</v>
      </c>
      <c r="D488">
        <v>0.44</v>
      </c>
      <c r="E488">
        <v>0.32840000000000003</v>
      </c>
      <c r="F488">
        <v>1</v>
      </c>
      <c r="G488">
        <v>26</v>
      </c>
      <c r="H488">
        <v>27</v>
      </c>
      <c r="I488">
        <v>487</v>
      </c>
      <c r="J488" s="1">
        <v>40565</v>
      </c>
      <c r="K488">
        <v>1</v>
      </c>
      <c r="L488">
        <v>0</v>
      </c>
      <c r="M488">
        <v>1</v>
      </c>
      <c r="N488">
        <v>8</v>
      </c>
      <c r="O488" t="b">
        <v>0</v>
      </c>
      <c r="P488">
        <v>6</v>
      </c>
      <c r="Q488">
        <v>1</v>
      </c>
      <c r="R488">
        <v>0.02</v>
      </c>
    </row>
    <row r="489" spans="1:18" x14ac:dyDescent="0.25">
      <c r="A489">
        <v>487</v>
      </c>
      <c r="B489">
        <v>488</v>
      </c>
      <c r="C489">
        <v>3.0300000000000001E-2</v>
      </c>
      <c r="D489">
        <v>0.41</v>
      </c>
      <c r="E489">
        <v>0.25369999999999998</v>
      </c>
      <c r="F489">
        <v>3</v>
      </c>
      <c r="G489">
        <v>37</v>
      </c>
      <c r="H489">
        <v>40</v>
      </c>
      <c r="I489">
        <v>488</v>
      </c>
      <c r="J489" s="1">
        <v>40565</v>
      </c>
      <c r="K489">
        <v>1</v>
      </c>
      <c r="L489">
        <v>0</v>
      </c>
      <c r="M489">
        <v>1</v>
      </c>
      <c r="N489">
        <v>9</v>
      </c>
      <c r="O489" t="b">
        <v>0</v>
      </c>
      <c r="P489">
        <v>6</v>
      </c>
      <c r="Q489">
        <v>1</v>
      </c>
      <c r="R489">
        <v>0.04</v>
      </c>
    </row>
    <row r="490" spans="1:18" x14ac:dyDescent="0.25">
      <c r="A490">
        <v>488</v>
      </c>
      <c r="B490">
        <v>489</v>
      </c>
      <c r="C490">
        <v>6.0600000000000001E-2</v>
      </c>
      <c r="D490">
        <v>0.41</v>
      </c>
      <c r="E490">
        <v>0.16420000000000001</v>
      </c>
      <c r="F490">
        <v>3</v>
      </c>
      <c r="G490">
        <v>50</v>
      </c>
      <c r="H490">
        <v>53</v>
      </c>
      <c r="I490">
        <v>489</v>
      </c>
      <c r="J490" s="1">
        <v>40565</v>
      </c>
      <c r="K490">
        <v>1</v>
      </c>
      <c r="L490">
        <v>0</v>
      </c>
      <c r="M490">
        <v>1</v>
      </c>
      <c r="N490">
        <v>10</v>
      </c>
      <c r="O490" t="b">
        <v>0</v>
      </c>
      <c r="P490">
        <v>6</v>
      </c>
      <c r="Q490">
        <v>2</v>
      </c>
      <c r="R490">
        <v>0.04</v>
      </c>
    </row>
    <row r="491" spans="1:18" x14ac:dyDescent="0.25">
      <c r="A491">
        <v>489</v>
      </c>
      <c r="B491">
        <v>490</v>
      </c>
      <c r="C491">
        <v>7.5800000000000006E-2</v>
      </c>
      <c r="D491">
        <v>0.38</v>
      </c>
      <c r="E491">
        <v>0.1343</v>
      </c>
      <c r="F491">
        <v>4</v>
      </c>
      <c r="G491">
        <v>59</v>
      </c>
      <c r="H491">
        <v>63</v>
      </c>
      <c r="I491">
        <v>490</v>
      </c>
      <c r="J491" s="1">
        <v>40565</v>
      </c>
      <c r="K491">
        <v>1</v>
      </c>
      <c r="L491">
        <v>0</v>
      </c>
      <c r="M491">
        <v>1</v>
      </c>
      <c r="N491">
        <v>11</v>
      </c>
      <c r="O491" t="b">
        <v>0</v>
      </c>
      <c r="P491">
        <v>6</v>
      </c>
      <c r="Q491">
        <v>2</v>
      </c>
      <c r="R491">
        <v>0.06</v>
      </c>
    </row>
    <row r="492" spans="1:18" x14ac:dyDescent="0.25">
      <c r="A492">
        <v>490</v>
      </c>
      <c r="B492">
        <v>491</v>
      </c>
      <c r="C492">
        <v>0.1061</v>
      </c>
      <c r="D492">
        <v>0.38</v>
      </c>
      <c r="E492">
        <v>0.1045</v>
      </c>
      <c r="F492">
        <v>10</v>
      </c>
      <c r="G492">
        <v>60</v>
      </c>
      <c r="H492">
        <v>70</v>
      </c>
      <c r="I492">
        <v>491</v>
      </c>
      <c r="J492" s="1">
        <v>40565</v>
      </c>
      <c r="K492">
        <v>1</v>
      </c>
      <c r="L492">
        <v>0</v>
      </c>
      <c r="M492">
        <v>1</v>
      </c>
      <c r="N492">
        <v>12</v>
      </c>
      <c r="O492" t="b">
        <v>0</v>
      </c>
      <c r="P492">
        <v>6</v>
      </c>
      <c r="Q492">
        <v>2</v>
      </c>
      <c r="R492">
        <v>0.06</v>
      </c>
    </row>
    <row r="493" spans="1:18" x14ac:dyDescent="0.25">
      <c r="A493">
        <v>491</v>
      </c>
      <c r="B493">
        <v>492</v>
      </c>
      <c r="C493">
        <v>0.16669999999999999</v>
      </c>
      <c r="D493">
        <v>0.35</v>
      </c>
      <c r="E493">
        <v>0</v>
      </c>
      <c r="F493">
        <v>12</v>
      </c>
      <c r="G493">
        <v>72</v>
      </c>
      <c r="H493">
        <v>84</v>
      </c>
      <c r="I493">
        <v>492</v>
      </c>
      <c r="J493" s="1">
        <v>40565</v>
      </c>
      <c r="K493">
        <v>1</v>
      </c>
      <c r="L493">
        <v>0</v>
      </c>
      <c r="M493">
        <v>1</v>
      </c>
      <c r="N493">
        <v>13</v>
      </c>
      <c r="O493" t="b">
        <v>0</v>
      </c>
      <c r="P493">
        <v>6</v>
      </c>
      <c r="Q493">
        <v>1</v>
      </c>
      <c r="R493">
        <v>0.08</v>
      </c>
    </row>
    <row r="494" spans="1:18" x14ac:dyDescent="0.25">
      <c r="A494">
        <v>492</v>
      </c>
      <c r="B494">
        <v>493</v>
      </c>
      <c r="C494">
        <v>0.13639999999999999</v>
      </c>
      <c r="D494">
        <v>0.33</v>
      </c>
      <c r="E494">
        <v>0.1045</v>
      </c>
      <c r="F494">
        <v>11</v>
      </c>
      <c r="G494">
        <v>64</v>
      </c>
      <c r="H494">
        <v>75</v>
      </c>
      <c r="I494">
        <v>493</v>
      </c>
      <c r="J494" s="1">
        <v>40565</v>
      </c>
      <c r="K494">
        <v>1</v>
      </c>
      <c r="L494">
        <v>0</v>
      </c>
      <c r="M494">
        <v>1</v>
      </c>
      <c r="N494">
        <v>14</v>
      </c>
      <c r="O494" t="b">
        <v>0</v>
      </c>
      <c r="P494">
        <v>6</v>
      </c>
      <c r="Q494">
        <v>1</v>
      </c>
      <c r="R494">
        <v>0.1</v>
      </c>
    </row>
    <row r="495" spans="1:18" x14ac:dyDescent="0.25">
      <c r="A495">
        <v>493</v>
      </c>
      <c r="B495">
        <v>494</v>
      </c>
      <c r="C495">
        <v>0.1515</v>
      </c>
      <c r="D495">
        <v>0.28000000000000003</v>
      </c>
      <c r="E495">
        <v>0</v>
      </c>
      <c r="F495">
        <v>10</v>
      </c>
      <c r="G495">
        <v>93</v>
      </c>
      <c r="H495">
        <v>103</v>
      </c>
      <c r="I495">
        <v>494</v>
      </c>
      <c r="J495" s="1">
        <v>40565</v>
      </c>
      <c r="K495">
        <v>1</v>
      </c>
      <c r="L495">
        <v>0</v>
      </c>
      <c r="M495">
        <v>1</v>
      </c>
      <c r="N495">
        <v>15</v>
      </c>
      <c r="O495" t="b">
        <v>0</v>
      </c>
      <c r="P495">
        <v>6</v>
      </c>
      <c r="Q495">
        <v>1</v>
      </c>
      <c r="R495">
        <v>0.12</v>
      </c>
    </row>
    <row r="496" spans="1:18" x14ac:dyDescent="0.25">
      <c r="A496">
        <v>494</v>
      </c>
      <c r="B496">
        <v>495</v>
      </c>
      <c r="C496">
        <v>0.13639999999999999</v>
      </c>
      <c r="D496">
        <v>0.28000000000000003</v>
      </c>
      <c r="E496">
        <v>0.19400000000000001</v>
      </c>
      <c r="F496">
        <v>11</v>
      </c>
      <c r="G496">
        <v>72</v>
      </c>
      <c r="H496">
        <v>83</v>
      </c>
      <c r="I496">
        <v>495</v>
      </c>
      <c r="J496" s="1">
        <v>40565</v>
      </c>
      <c r="K496">
        <v>1</v>
      </c>
      <c r="L496">
        <v>0</v>
      </c>
      <c r="M496">
        <v>1</v>
      </c>
      <c r="N496">
        <v>16</v>
      </c>
      <c r="O496" t="b">
        <v>0</v>
      </c>
      <c r="P496">
        <v>6</v>
      </c>
      <c r="Q496">
        <v>1</v>
      </c>
      <c r="R496">
        <v>0.12</v>
      </c>
    </row>
    <row r="497" spans="1:18" x14ac:dyDescent="0.25">
      <c r="A497">
        <v>495</v>
      </c>
      <c r="B497">
        <v>496</v>
      </c>
      <c r="C497">
        <v>0.19700000000000001</v>
      </c>
      <c r="D497">
        <v>0.28000000000000003</v>
      </c>
      <c r="E497">
        <v>0</v>
      </c>
      <c r="F497">
        <v>8</v>
      </c>
      <c r="G497">
        <v>59</v>
      </c>
      <c r="H497">
        <v>67</v>
      </c>
      <c r="I497">
        <v>496</v>
      </c>
      <c r="J497" s="1">
        <v>40565</v>
      </c>
      <c r="K497">
        <v>1</v>
      </c>
      <c r="L497">
        <v>0</v>
      </c>
      <c r="M497">
        <v>1</v>
      </c>
      <c r="N497">
        <v>17</v>
      </c>
      <c r="O497" t="b">
        <v>0</v>
      </c>
      <c r="P497">
        <v>6</v>
      </c>
      <c r="Q497">
        <v>1</v>
      </c>
      <c r="R497">
        <v>0.12</v>
      </c>
    </row>
    <row r="498" spans="1:18" x14ac:dyDescent="0.25">
      <c r="A498">
        <v>496</v>
      </c>
      <c r="B498">
        <v>497</v>
      </c>
      <c r="C498">
        <v>9.0899999999999995E-2</v>
      </c>
      <c r="D498">
        <v>0.35</v>
      </c>
      <c r="E498">
        <v>0.19400000000000001</v>
      </c>
      <c r="F498">
        <v>0</v>
      </c>
      <c r="G498">
        <v>54</v>
      </c>
      <c r="H498">
        <v>54</v>
      </c>
      <c r="I498">
        <v>497</v>
      </c>
      <c r="J498" s="1">
        <v>40565</v>
      </c>
      <c r="K498">
        <v>1</v>
      </c>
      <c r="L498">
        <v>0</v>
      </c>
      <c r="M498">
        <v>1</v>
      </c>
      <c r="N498">
        <v>18</v>
      </c>
      <c r="O498" t="b">
        <v>0</v>
      </c>
      <c r="P498">
        <v>6</v>
      </c>
      <c r="Q498">
        <v>1</v>
      </c>
      <c r="R498">
        <v>0.08</v>
      </c>
    </row>
    <row r="499" spans="1:18" x14ac:dyDescent="0.25">
      <c r="A499">
        <v>497</v>
      </c>
      <c r="B499">
        <v>498</v>
      </c>
      <c r="C499">
        <v>0.1061</v>
      </c>
      <c r="D499">
        <v>0.35</v>
      </c>
      <c r="E499">
        <v>0.1343</v>
      </c>
      <c r="F499">
        <v>6</v>
      </c>
      <c r="G499">
        <v>53</v>
      </c>
      <c r="H499">
        <v>59</v>
      </c>
      <c r="I499">
        <v>498</v>
      </c>
      <c r="J499" s="1">
        <v>40565</v>
      </c>
      <c r="K499">
        <v>1</v>
      </c>
      <c r="L499">
        <v>0</v>
      </c>
      <c r="M499">
        <v>1</v>
      </c>
      <c r="N499">
        <v>19</v>
      </c>
      <c r="O499" t="b">
        <v>0</v>
      </c>
      <c r="P499">
        <v>6</v>
      </c>
      <c r="Q499">
        <v>1</v>
      </c>
      <c r="R499">
        <v>0.08</v>
      </c>
    </row>
    <row r="500" spans="1:18" x14ac:dyDescent="0.25">
      <c r="A500">
        <v>498</v>
      </c>
      <c r="B500">
        <v>499</v>
      </c>
      <c r="C500">
        <v>7.5800000000000006E-2</v>
      </c>
      <c r="D500">
        <v>0.45</v>
      </c>
      <c r="E500">
        <v>0.16420000000000001</v>
      </c>
      <c r="F500">
        <v>1</v>
      </c>
      <c r="G500">
        <v>44</v>
      </c>
      <c r="H500">
        <v>45</v>
      </c>
      <c r="I500">
        <v>499</v>
      </c>
      <c r="J500" s="1">
        <v>40565</v>
      </c>
      <c r="K500">
        <v>1</v>
      </c>
      <c r="L500">
        <v>0</v>
      </c>
      <c r="M500">
        <v>1</v>
      </c>
      <c r="N500">
        <v>20</v>
      </c>
      <c r="O500" t="b">
        <v>0</v>
      </c>
      <c r="P500">
        <v>6</v>
      </c>
      <c r="Q500">
        <v>1</v>
      </c>
      <c r="R500">
        <v>0.06</v>
      </c>
    </row>
    <row r="501" spans="1:18" x14ac:dyDescent="0.25">
      <c r="A501">
        <v>499</v>
      </c>
      <c r="B501">
        <v>500</v>
      </c>
      <c r="C501">
        <v>0.1061</v>
      </c>
      <c r="D501">
        <v>0.41</v>
      </c>
      <c r="E501">
        <v>8.9599999999999999E-2</v>
      </c>
      <c r="F501">
        <v>0</v>
      </c>
      <c r="G501">
        <v>39</v>
      </c>
      <c r="H501">
        <v>39</v>
      </c>
      <c r="I501">
        <v>500</v>
      </c>
      <c r="J501" s="1">
        <v>40565</v>
      </c>
      <c r="K501">
        <v>1</v>
      </c>
      <c r="L501">
        <v>0</v>
      </c>
      <c r="M501">
        <v>1</v>
      </c>
      <c r="N501">
        <v>21</v>
      </c>
      <c r="O501" t="b">
        <v>0</v>
      </c>
      <c r="P501">
        <v>6</v>
      </c>
      <c r="Q501">
        <v>1</v>
      </c>
      <c r="R501">
        <v>0.06</v>
      </c>
    </row>
    <row r="502" spans="1:18" x14ac:dyDescent="0.25">
      <c r="A502">
        <v>500</v>
      </c>
      <c r="B502">
        <v>501</v>
      </c>
      <c r="C502">
        <v>0.1515</v>
      </c>
      <c r="D502">
        <v>0.49</v>
      </c>
      <c r="E502">
        <v>0</v>
      </c>
      <c r="F502">
        <v>7</v>
      </c>
      <c r="G502">
        <v>23</v>
      </c>
      <c r="H502">
        <v>30</v>
      </c>
      <c r="I502">
        <v>501</v>
      </c>
      <c r="J502" s="1">
        <v>40565</v>
      </c>
      <c r="K502">
        <v>1</v>
      </c>
      <c r="L502">
        <v>0</v>
      </c>
      <c r="M502">
        <v>1</v>
      </c>
      <c r="N502">
        <v>22</v>
      </c>
      <c r="O502" t="b">
        <v>0</v>
      </c>
      <c r="P502">
        <v>6</v>
      </c>
      <c r="Q502">
        <v>1</v>
      </c>
      <c r="R502">
        <v>0.06</v>
      </c>
    </row>
    <row r="503" spans="1:18" x14ac:dyDescent="0.25">
      <c r="A503">
        <v>501</v>
      </c>
      <c r="B503">
        <v>502</v>
      </c>
      <c r="C503">
        <v>7.5800000000000006E-2</v>
      </c>
      <c r="D503">
        <v>0.56999999999999995</v>
      </c>
      <c r="E503">
        <v>0.1045</v>
      </c>
      <c r="F503">
        <v>2</v>
      </c>
      <c r="G503">
        <v>31</v>
      </c>
      <c r="H503">
        <v>33</v>
      </c>
      <c r="I503">
        <v>502</v>
      </c>
      <c r="J503" s="1">
        <v>40565</v>
      </c>
      <c r="K503">
        <v>1</v>
      </c>
      <c r="L503">
        <v>0</v>
      </c>
      <c r="M503">
        <v>1</v>
      </c>
      <c r="N503">
        <v>23</v>
      </c>
      <c r="O503" t="b">
        <v>0</v>
      </c>
      <c r="P503">
        <v>6</v>
      </c>
      <c r="Q503">
        <v>1</v>
      </c>
      <c r="R503">
        <v>0.04</v>
      </c>
    </row>
    <row r="504" spans="1:18" x14ac:dyDescent="0.25">
      <c r="A504">
        <v>502</v>
      </c>
      <c r="B504">
        <v>503</v>
      </c>
      <c r="C504">
        <v>7.5800000000000006E-2</v>
      </c>
      <c r="D504">
        <v>0.56999999999999995</v>
      </c>
      <c r="E504">
        <v>0.1045</v>
      </c>
      <c r="F504">
        <v>2</v>
      </c>
      <c r="G504">
        <v>20</v>
      </c>
      <c r="H504">
        <v>22</v>
      </c>
      <c r="I504">
        <v>503</v>
      </c>
      <c r="J504" s="1">
        <v>40566</v>
      </c>
      <c r="K504">
        <v>1</v>
      </c>
      <c r="L504">
        <v>0</v>
      </c>
      <c r="M504">
        <v>1</v>
      </c>
      <c r="N504">
        <v>0</v>
      </c>
      <c r="O504" t="b">
        <v>0</v>
      </c>
      <c r="P504">
        <v>0</v>
      </c>
      <c r="Q504">
        <v>1</v>
      </c>
      <c r="R504">
        <v>0.04</v>
      </c>
    </row>
    <row r="505" spans="1:18" x14ac:dyDescent="0.25">
      <c r="A505">
        <v>503</v>
      </c>
      <c r="B505">
        <v>504</v>
      </c>
      <c r="C505">
        <v>7.5800000000000006E-2</v>
      </c>
      <c r="D505">
        <v>0.56999999999999995</v>
      </c>
      <c r="E505">
        <v>0.1045</v>
      </c>
      <c r="F505">
        <v>1</v>
      </c>
      <c r="G505">
        <v>12</v>
      </c>
      <c r="H505">
        <v>13</v>
      </c>
      <c r="I505">
        <v>504</v>
      </c>
      <c r="J505" s="1">
        <v>40566</v>
      </c>
      <c r="K505">
        <v>1</v>
      </c>
      <c r="L505">
        <v>0</v>
      </c>
      <c r="M505">
        <v>1</v>
      </c>
      <c r="N505">
        <v>1</v>
      </c>
      <c r="O505" t="b">
        <v>0</v>
      </c>
      <c r="P505">
        <v>0</v>
      </c>
      <c r="Q505">
        <v>1</v>
      </c>
      <c r="R505">
        <v>0.04</v>
      </c>
    </row>
    <row r="506" spans="1:18" x14ac:dyDescent="0.25">
      <c r="A506">
        <v>504</v>
      </c>
      <c r="B506">
        <v>505</v>
      </c>
      <c r="C506">
        <v>6.0600000000000001E-2</v>
      </c>
      <c r="D506">
        <v>0.62</v>
      </c>
      <c r="E506">
        <v>0.1343</v>
      </c>
      <c r="F506">
        <v>3</v>
      </c>
      <c r="G506">
        <v>15</v>
      </c>
      <c r="H506">
        <v>18</v>
      </c>
      <c r="I506">
        <v>505</v>
      </c>
      <c r="J506" s="1">
        <v>40566</v>
      </c>
      <c r="K506">
        <v>1</v>
      </c>
      <c r="L506">
        <v>0</v>
      </c>
      <c r="M506">
        <v>1</v>
      </c>
      <c r="N506">
        <v>2</v>
      </c>
      <c r="O506" t="b">
        <v>0</v>
      </c>
      <c r="P506">
        <v>0</v>
      </c>
      <c r="Q506">
        <v>1</v>
      </c>
      <c r="R506">
        <v>0.02</v>
      </c>
    </row>
    <row r="507" spans="1:18" x14ac:dyDescent="0.25">
      <c r="A507">
        <v>505</v>
      </c>
      <c r="B507">
        <v>506</v>
      </c>
      <c r="C507">
        <v>6.0600000000000001E-2</v>
      </c>
      <c r="D507">
        <v>0.62</v>
      </c>
      <c r="E507">
        <v>0.1343</v>
      </c>
      <c r="F507">
        <v>1</v>
      </c>
      <c r="G507">
        <v>4</v>
      </c>
      <c r="H507">
        <v>5</v>
      </c>
      <c r="I507">
        <v>506</v>
      </c>
      <c r="J507" s="1">
        <v>40566</v>
      </c>
      <c r="K507">
        <v>1</v>
      </c>
      <c r="L507">
        <v>0</v>
      </c>
      <c r="M507">
        <v>1</v>
      </c>
      <c r="N507">
        <v>3</v>
      </c>
      <c r="O507" t="b">
        <v>0</v>
      </c>
      <c r="P507">
        <v>0</v>
      </c>
      <c r="Q507">
        <v>1</v>
      </c>
      <c r="R507">
        <v>0.02</v>
      </c>
    </row>
    <row r="508" spans="1:18" x14ac:dyDescent="0.25">
      <c r="A508">
        <v>506</v>
      </c>
      <c r="B508">
        <v>507</v>
      </c>
      <c r="C508">
        <v>7.5800000000000006E-2</v>
      </c>
      <c r="D508">
        <v>0.56999999999999995</v>
      </c>
      <c r="E508">
        <v>0.1045</v>
      </c>
      <c r="F508">
        <v>0</v>
      </c>
      <c r="G508">
        <v>3</v>
      </c>
      <c r="H508">
        <v>3</v>
      </c>
      <c r="I508">
        <v>507</v>
      </c>
      <c r="J508" s="1">
        <v>40566</v>
      </c>
      <c r="K508">
        <v>1</v>
      </c>
      <c r="L508">
        <v>0</v>
      </c>
      <c r="M508">
        <v>1</v>
      </c>
      <c r="N508">
        <v>5</v>
      </c>
      <c r="O508" t="b">
        <v>0</v>
      </c>
      <c r="P508">
        <v>0</v>
      </c>
      <c r="Q508">
        <v>2</v>
      </c>
      <c r="R508">
        <v>0.04</v>
      </c>
    </row>
    <row r="509" spans="1:18" x14ac:dyDescent="0.25">
      <c r="A509">
        <v>507</v>
      </c>
      <c r="B509">
        <v>508</v>
      </c>
      <c r="C509">
        <v>7.5800000000000006E-2</v>
      </c>
      <c r="D509">
        <v>0.56999999999999995</v>
      </c>
      <c r="E509">
        <v>0.1045</v>
      </c>
      <c r="F509">
        <v>0</v>
      </c>
      <c r="G509">
        <v>1</v>
      </c>
      <c r="H509">
        <v>1</v>
      </c>
      <c r="I509">
        <v>508</v>
      </c>
      <c r="J509" s="1">
        <v>40566</v>
      </c>
      <c r="K509">
        <v>1</v>
      </c>
      <c r="L509">
        <v>0</v>
      </c>
      <c r="M509">
        <v>1</v>
      </c>
      <c r="N509">
        <v>6</v>
      </c>
      <c r="O509" t="b">
        <v>0</v>
      </c>
      <c r="P509">
        <v>0</v>
      </c>
      <c r="Q509">
        <v>2</v>
      </c>
      <c r="R509">
        <v>0.04</v>
      </c>
    </row>
    <row r="510" spans="1:18" x14ac:dyDescent="0.25">
      <c r="A510">
        <v>508</v>
      </c>
      <c r="B510">
        <v>509</v>
      </c>
      <c r="C510">
        <v>0.1061</v>
      </c>
      <c r="D510">
        <v>0.57999999999999996</v>
      </c>
      <c r="E510">
        <v>0.16420000000000001</v>
      </c>
      <c r="F510">
        <v>1</v>
      </c>
      <c r="G510">
        <v>1</v>
      </c>
      <c r="H510">
        <v>2</v>
      </c>
      <c r="I510">
        <v>509</v>
      </c>
      <c r="J510" s="1">
        <v>40566</v>
      </c>
      <c r="K510">
        <v>1</v>
      </c>
      <c r="L510">
        <v>0</v>
      </c>
      <c r="M510">
        <v>1</v>
      </c>
      <c r="N510">
        <v>7</v>
      </c>
      <c r="O510" t="b">
        <v>0</v>
      </c>
      <c r="P510">
        <v>0</v>
      </c>
      <c r="Q510">
        <v>1</v>
      </c>
      <c r="R510">
        <v>0.08</v>
      </c>
    </row>
    <row r="511" spans="1:18" x14ac:dyDescent="0.25">
      <c r="A511">
        <v>509</v>
      </c>
      <c r="B511">
        <v>510</v>
      </c>
      <c r="C511">
        <v>7.5800000000000006E-2</v>
      </c>
      <c r="D511">
        <v>0.62</v>
      </c>
      <c r="E511">
        <v>0.16420000000000001</v>
      </c>
      <c r="F511">
        <v>2</v>
      </c>
      <c r="G511">
        <v>17</v>
      </c>
      <c r="H511">
        <v>19</v>
      </c>
      <c r="I511">
        <v>510</v>
      </c>
      <c r="J511" s="1">
        <v>40566</v>
      </c>
      <c r="K511">
        <v>1</v>
      </c>
      <c r="L511">
        <v>0</v>
      </c>
      <c r="M511">
        <v>1</v>
      </c>
      <c r="N511">
        <v>8</v>
      </c>
      <c r="O511" t="b">
        <v>0</v>
      </c>
      <c r="P511">
        <v>0</v>
      </c>
      <c r="Q511">
        <v>1</v>
      </c>
      <c r="R511">
        <v>0.06</v>
      </c>
    </row>
    <row r="512" spans="1:18" x14ac:dyDescent="0.25">
      <c r="A512">
        <v>510</v>
      </c>
      <c r="B512">
        <v>511</v>
      </c>
      <c r="C512">
        <v>7.5800000000000006E-2</v>
      </c>
      <c r="D512">
        <v>0.54</v>
      </c>
      <c r="E512">
        <v>0.35820000000000002</v>
      </c>
      <c r="F512">
        <v>3</v>
      </c>
      <c r="G512">
        <v>25</v>
      </c>
      <c r="H512">
        <v>28</v>
      </c>
      <c r="I512">
        <v>511</v>
      </c>
      <c r="J512" s="1">
        <v>40566</v>
      </c>
      <c r="K512">
        <v>1</v>
      </c>
      <c r="L512">
        <v>0</v>
      </c>
      <c r="M512">
        <v>1</v>
      </c>
      <c r="N512">
        <v>9</v>
      </c>
      <c r="O512" t="b">
        <v>0</v>
      </c>
      <c r="P512">
        <v>0</v>
      </c>
      <c r="Q512">
        <v>1</v>
      </c>
      <c r="R512">
        <v>0.1</v>
      </c>
    </row>
    <row r="513" spans="1:18" x14ac:dyDescent="0.25">
      <c r="A513">
        <v>511</v>
      </c>
      <c r="B513">
        <v>512</v>
      </c>
      <c r="C513">
        <v>0.1061</v>
      </c>
      <c r="D513">
        <v>0.46</v>
      </c>
      <c r="E513">
        <v>0.3881</v>
      </c>
      <c r="F513">
        <v>7</v>
      </c>
      <c r="G513">
        <v>51</v>
      </c>
      <c r="H513">
        <v>58</v>
      </c>
      <c r="I513">
        <v>512</v>
      </c>
      <c r="J513" s="1">
        <v>40566</v>
      </c>
      <c r="K513">
        <v>1</v>
      </c>
      <c r="L513">
        <v>0</v>
      </c>
      <c r="M513">
        <v>1</v>
      </c>
      <c r="N513">
        <v>10</v>
      </c>
      <c r="O513" t="b">
        <v>0</v>
      </c>
      <c r="P513">
        <v>0</v>
      </c>
      <c r="Q513">
        <v>1</v>
      </c>
      <c r="R513">
        <v>0.14000000000000001</v>
      </c>
    </row>
    <row r="514" spans="1:18" x14ac:dyDescent="0.25">
      <c r="A514">
        <v>512</v>
      </c>
      <c r="B514">
        <v>513</v>
      </c>
      <c r="C514">
        <v>0.13639999999999999</v>
      </c>
      <c r="D514">
        <v>0.43</v>
      </c>
      <c r="E514">
        <v>0.22389999999999999</v>
      </c>
      <c r="F514">
        <v>22</v>
      </c>
      <c r="G514">
        <v>77</v>
      </c>
      <c r="H514">
        <v>99</v>
      </c>
      <c r="I514">
        <v>513</v>
      </c>
      <c r="J514" s="1">
        <v>40566</v>
      </c>
      <c r="K514">
        <v>1</v>
      </c>
      <c r="L514">
        <v>0</v>
      </c>
      <c r="M514">
        <v>1</v>
      </c>
      <c r="N514">
        <v>11</v>
      </c>
      <c r="O514" t="b">
        <v>0</v>
      </c>
      <c r="P514">
        <v>0</v>
      </c>
      <c r="Q514">
        <v>1</v>
      </c>
      <c r="R514">
        <v>0.14000000000000001</v>
      </c>
    </row>
    <row r="515" spans="1:18" x14ac:dyDescent="0.25">
      <c r="A515">
        <v>513</v>
      </c>
      <c r="B515">
        <v>514</v>
      </c>
      <c r="C515">
        <v>0.1212</v>
      </c>
      <c r="D515">
        <v>0.37</v>
      </c>
      <c r="E515">
        <v>0.4627</v>
      </c>
      <c r="F515">
        <v>24</v>
      </c>
      <c r="G515">
        <v>92</v>
      </c>
      <c r="H515">
        <v>116</v>
      </c>
      <c r="I515">
        <v>514</v>
      </c>
      <c r="J515" s="1">
        <v>40566</v>
      </c>
      <c r="K515">
        <v>1</v>
      </c>
      <c r="L515">
        <v>0</v>
      </c>
      <c r="M515">
        <v>1</v>
      </c>
      <c r="N515">
        <v>12</v>
      </c>
      <c r="O515" t="b">
        <v>0</v>
      </c>
      <c r="P515">
        <v>0</v>
      </c>
      <c r="Q515">
        <v>1</v>
      </c>
      <c r="R515">
        <v>0.16</v>
      </c>
    </row>
    <row r="516" spans="1:18" x14ac:dyDescent="0.25">
      <c r="A516">
        <v>514</v>
      </c>
      <c r="B516">
        <v>515</v>
      </c>
      <c r="C516">
        <v>0.1061</v>
      </c>
      <c r="D516">
        <v>0.33</v>
      </c>
      <c r="E516">
        <v>0.3881</v>
      </c>
      <c r="F516">
        <v>12</v>
      </c>
      <c r="G516">
        <v>75</v>
      </c>
      <c r="H516">
        <v>87</v>
      </c>
      <c r="I516">
        <v>515</v>
      </c>
      <c r="J516" s="1">
        <v>40566</v>
      </c>
      <c r="K516">
        <v>1</v>
      </c>
      <c r="L516">
        <v>0</v>
      </c>
      <c r="M516">
        <v>1</v>
      </c>
      <c r="N516">
        <v>13</v>
      </c>
      <c r="O516" t="b">
        <v>0</v>
      </c>
      <c r="P516">
        <v>0</v>
      </c>
      <c r="Q516">
        <v>1</v>
      </c>
      <c r="R516">
        <v>0.14000000000000001</v>
      </c>
    </row>
    <row r="517" spans="1:18" x14ac:dyDescent="0.25">
      <c r="A517">
        <v>515</v>
      </c>
      <c r="B517">
        <v>516</v>
      </c>
      <c r="C517">
        <v>0.13639999999999999</v>
      </c>
      <c r="D517">
        <v>0.28000000000000003</v>
      </c>
      <c r="E517">
        <v>0.35820000000000002</v>
      </c>
      <c r="F517">
        <v>17</v>
      </c>
      <c r="G517">
        <v>93</v>
      </c>
      <c r="H517">
        <v>110</v>
      </c>
      <c r="I517">
        <v>516</v>
      </c>
      <c r="J517" s="1">
        <v>40566</v>
      </c>
      <c r="K517">
        <v>1</v>
      </c>
      <c r="L517">
        <v>0</v>
      </c>
      <c r="M517">
        <v>1</v>
      </c>
      <c r="N517">
        <v>14</v>
      </c>
      <c r="O517" t="b">
        <v>0</v>
      </c>
      <c r="P517">
        <v>0</v>
      </c>
      <c r="Q517">
        <v>1</v>
      </c>
      <c r="R517">
        <v>0.16</v>
      </c>
    </row>
    <row r="518" spans="1:18" x14ac:dyDescent="0.25">
      <c r="A518">
        <v>516</v>
      </c>
      <c r="B518">
        <v>517</v>
      </c>
      <c r="C518">
        <v>0.13639999999999999</v>
      </c>
      <c r="D518">
        <v>0.28000000000000003</v>
      </c>
      <c r="E518">
        <v>0.35820000000000002</v>
      </c>
      <c r="F518">
        <v>13</v>
      </c>
      <c r="G518">
        <v>64</v>
      </c>
      <c r="H518">
        <v>77</v>
      </c>
      <c r="I518">
        <v>517</v>
      </c>
      <c r="J518" s="1">
        <v>40566</v>
      </c>
      <c r="K518">
        <v>1</v>
      </c>
      <c r="L518">
        <v>0</v>
      </c>
      <c r="M518">
        <v>1</v>
      </c>
      <c r="N518">
        <v>15</v>
      </c>
      <c r="O518" t="b">
        <v>0</v>
      </c>
      <c r="P518">
        <v>0</v>
      </c>
      <c r="Q518">
        <v>1</v>
      </c>
      <c r="R518">
        <v>0.16</v>
      </c>
    </row>
    <row r="519" spans="1:18" x14ac:dyDescent="0.25">
      <c r="A519">
        <v>517</v>
      </c>
      <c r="B519">
        <v>518</v>
      </c>
      <c r="C519">
        <v>0.13639999999999999</v>
      </c>
      <c r="D519">
        <v>0.26</v>
      </c>
      <c r="E519">
        <v>0.32840000000000003</v>
      </c>
      <c r="F519">
        <v>9</v>
      </c>
      <c r="G519">
        <v>56</v>
      </c>
      <c r="H519">
        <v>65</v>
      </c>
      <c r="I519">
        <v>518</v>
      </c>
      <c r="J519" s="1">
        <v>40566</v>
      </c>
      <c r="K519">
        <v>1</v>
      </c>
      <c r="L519">
        <v>0</v>
      </c>
      <c r="M519">
        <v>1</v>
      </c>
      <c r="N519">
        <v>16</v>
      </c>
      <c r="O519" t="b">
        <v>0</v>
      </c>
      <c r="P519">
        <v>0</v>
      </c>
      <c r="Q519">
        <v>1</v>
      </c>
      <c r="R519">
        <v>0.16</v>
      </c>
    </row>
    <row r="520" spans="1:18" x14ac:dyDescent="0.25">
      <c r="A520">
        <v>518</v>
      </c>
      <c r="B520">
        <v>519</v>
      </c>
      <c r="C520">
        <v>0.1061</v>
      </c>
      <c r="D520">
        <v>0.26</v>
      </c>
      <c r="E520">
        <v>0.3881</v>
      </c>
      <c r="F520">
        <v>5</v>
      </c>
      <c r="G520">
        <v>50</v>
      </c>
      <c r="H520">
        <v>55</v>
      </c>
      <c r="I520">
        <v>519</v>
      </c>
      <c r="J520" s="1">
        <v>40566</v>
      </c>
      <c r="K520">
        <v>1</v>
      </c>
      <c r="L520">
        <v>0</v>
      </c>
      <c r="M520">
        <v>1</v>
      </c>
      <c r="N520">
        <v>17</v>
      </c>
      <c r="O520" t="b">
        <v>0</v>
      </c>
      <c r="P520">
        <v>0</v>
      </c>
      <c r="Q520">
        <v>1</v>
      </c>
      <c r="R520">
        <v>0.14000000000000001</v>
      </c>
    </row>
    <row r="521" spans="1:18" x14ac:dyDescent="0.25">
      <c r="A521">
        <v>519</v>
      </c>
      <c r="B521">
        <v>520</v>
      </c>
      <c r="C521">
        <v>0.1212</v>
      </c>
      <c r="D521">
        <v>0.3</v>
      </c>
      <c r="E521">
        <v>0.25369999999999998</v>
      </c>
      <c r="F521">
        <v>5</v>
      </c>
      <c r="G521">
        <v>44</v>
      </c>
      <c r="H521">
        <v>49</v>
      </c>
      <c r="I521">
        <v>520</v>
      </c>
      <c r="J521" s="1">
        <v>40566</v>
      </c>
      <c r="K521">
        <v>1</v>
      </c>
      <c r="L521">
        <v>0</v>
      </c>
      <c r="M521">
        <v>1</v>
      </c>
      <c r="N521">
        <v>18</v>
      </c>
      <c r="O521" t="b">
        <v>0</v>
      </c>
      <c r="P521">
        <v>0</v>
      </c>
      <c r="Q521">
        <v>1</v>
      </c>
      <c r="R521">
        <v>0.12</v>
      </c>
    </row>
    <row r="522" spans="1:18" x14ac:dyDescent="0.25">
      <c r="A522">
        <v>520</v>
      </c>
      <c r="B522">
        <v>521</v>
      </c>
      <c r="C522">
        <v>0.1212</v>
      </c>
      <c r="D522">
        <v>0.3</v>
      </c>
      <c r="E522">
        <v>0.28360000000000002</v>
      </c>
      <c r="F522">
        <v>5</v>
      </c>
      <c r="G522">
        <v>45</v>
      </c>
      <c r="H522">
        <v>50</v>
      </c>
      <c r="I522">
        <v>521</v>
      </c>
      <c r="J522" s="1">
        <v>40566</v>
      </c>
      <c r="K522">
        <v>1</v>
      </c>
      <c r="L522">
        <v>0</v>
      </c>
      <c r="M522">
        <v>1</v>
      </c>
      <c r="N522">
        <v>19</v>
      </c>
      <c r="O522" t="b">
        <v>0</v>
      </c>
      <c r="P522">
        <v>0</v>
      </c>
      <c r="Q522">
        <v>1</v>
      </c>
      <c r="R522">
        <v>0.12</v>
      </c>
    </row>
    <row r="523" spans="1:18" x14ac:dyDescent="0.25">
      <c r="A523">
        <v>521</v>
      </c>
      <c r="B523">
        <v>522</v>
      </c>
      <c r="C523">
        <v>0.1061</v>
      </c>
      <c r="D523">
        <v>0.36</v>
      </c>
      <c r="E523">
        <v>0.25369999999999998</v>
      </c>
      <c r="F523">
        <v>4</v>
      </c>
      <c r="G523">
        <v>31</v>
      </c>
      <c r="H523">
        <v>35</v>
      </c>
      <c r="I523">
        <v>522</v>
      </c>
      <c r="J523" s="1">
        <v>40566</v>
      </c>
      <c r="K523">
        <v>1</v>
      </c>
      <c r="L523">
        <v>0</v>
      </c>
      <c r="M523">
        <v>1</v>
      </c>
      <c r="N523">
        <v>20</v>
      </c>
      <c r="O523" t="b">
        <v>0</v>
      </c>
      <c r="P523">
        <v>0</v>
      </c>
      <c r="Q523">
        <v>1</v>
      </c>
      <c r="R523">
        <v>0.1</v>
      </c>
    </row>
    <row r="524" spans="1:18" x14ac:dyDescent="0.25">
      <c r="A524">
        <v>522</v>
      </c>
      <c r="B524">
        <v>523</v>
      </c>
      <c r="C524">
        <v>0.1061</v>
      </c>
      <c r="D524">
        <v>0.36</v>
      </c>
      <c r="E524">
        <v>0.19400000000000001</v>
      </c>
      <c r="F524">
        <v>5</v>
      </c>
      <c r="G524">
        <v>20</v>
      </c>
      <c r="H524">
        <v>25</v>
      </c>
      <c r="I524">
        <v>523</v>
      </c>
      <c r="J524" s="1">
        <v>40566</v>
      </c>
      <c r="K524">
        <v>1</v>
      </c>
      <c r="L524">
        <v>0</v>
      </c>
      <c r="M524">
        <v>1</v>
      </c>
      <c r="N524">
        <v>21</v>
      </c>
      <c r="O524" t="b">
        <v>0</v>
      </c>
      <c r="P524">
        <v>0</v>
      </c>
      <c r="Q524">
        <v>1</v>
      </c>
      <c r="R524">
        <v>0.1</v>
      </c>
    </row>
    <row r="525" spans="1:18" x14ac:dyDescent="0.25">
      <c r="A525">
        <v>523</v>
      </c>
      <c r="B525">
        <v>524</v>
      </c>
      <c r="C525">
        <v>9.0899999999999995E-2</v>
      </c>
      <c r="D525">
        <v>0.38</v>
      </c>
      <c r="E525">
        <v>0.19400000000000001</v>
      </c>
      <c r="F525">
        <v>5</v>
      </c>
      <c r="G525">
        <v>23</v>
      </c>
      <c r="H525">
        <v>28</v>
      </c>
      <c r="I525">
        <v>524</v>
      </c>
      <c r="J525" s="1">
        <v>40566</v>
      </c>
      <c r="K525">
        <v>1</v>
      </c>
      <c r="L525">
        <v>0</v>
      </c>
      <c r="M525">
        <v>1</v>
      </c>
      <c r="N525">
        <v>22</v>
      </c>
      <c r="O525" t="b">
        <v>0</v>
      </c>
      <c r="P525">
        <v>0</v>
      </c>
      <c r="Q525">
        <v>1</v>
      </c>
      <c r="R525">
        <v>0.08</v>
      </c>
    </row>
    <row r="526" spans="1:18" x14ac:dyDescent="0.25">
      <c r="A526">
        <v>524</v>
      </c>
      <c r="B526">
        <v>525</v>
      </c>
      <c r="C526">
        <v>6.0600000000000001E-2</v>
      </c>
      <c r="D526">
        <v>0.41</v>
      </c>
      <c r="E526">
        <v>0.22389999999999999</v>
      </c>
      <c r="F526">
        <v>4</v>
      </c>
      <c r="G526">
        <v>17</v>
      </c>
      <c r="H526">
        <v>21</v>
      </c>
      <c r="I526">
        <v>525</v>
      </c>
      <c r="J526" s="1">
        <v>40566</v>
      </c>
      <c r="K526">
        <v>1</v>
      </c>
      <c r="L526">
        <v>0</v>
      </c>
      <c r="M526">
        <v>1</v>
      </c>
      <c r="N526">
        <v>23</v>
      </c>
      <c r="O526" t="b">
        <v>0</v>
      </c>
      <c r="P526">
        <v>0</v>
      </c>
      <c r="Q526">
        <v>1</v>
      </c>
      <c r="R526">
        <v>0.06</v>
      </c>
    </row>
    <row r="527" spans="1:18" x14ac:dyDescent="0.25">
      <c r="A527">
        <v>525</v>
      </c>
      <c r="B527">
        <v>526</v>
      </c>
      <c r="C527">
        <v>6.0600000000000001E-2</v>
      </c>
      <c r="D527">
        <v>0.41</v>
      </c>
      <c r="E527">
        <v>0.19400000000000001</v>
      </c>
      <c r="F527">
        <v>0</v>
      </c>
      <c r="G527">
        <v>7</v>
      </c>
      <c r="H527">
        <v>7</v>
      </c>
      <c r="I527">
        <v>526</v>
      </c>
      <c r="J527" s="1">
        <v>40567</v>
      </c>
      <c r="K527">
        <v>1</v>
      </c>
      <c r="L527">
        <v>0</v>
      </c>
      <c r="M527">
        <v>1</v>
      </c>
      <c r="N527">
        <v>0</v>
      </c>
      <c r="O527" t="b">
        <v>0</v>
      </c>
      <c r="P527">
        <v>1</v>
      </c>
      <c r="Q527">
        <v>1</v>
      </c>
      <c r="R527">
        <v>0.06</v>
      </c>
    </row>
    <row r="528" spans="1:18" x14ac:dyDescent="0.25">
      <c r="A528">
        <v>526</v>
      </c>
      <c r="B528">
        <v>527</v>
      </c>
      <c r="C528">
        <v>4.5499999999999999E-2</v>
      </c>
      <c r="D528">
        <v>0.45</v>
      </c>
      <c r="E528">
        <v>0.19400000000000001</v>
      </c>
      <c r="F528">
        <v>0</v>
      </c>
      <c r="G528">
        <v>1</v>
      </c>
      <c r="H528">
        <v>1</v>
      </c>
      <c r="I528">
        <v>527</v>
      </c>
      <c r="J528" s="1">
        <v>40567</v>
      </c>
      <c r="K528">
        <v>1</v>
      </c>
      <c r="L528">
        <v>0</v>
      </c>
      <c r="M528">
        <v>1</v>
      </c>
      <c r="N528">
        <v>1</v>
      </c>
      <c r="O528" t="b">
        <v>0</v>
      </c>
      <c r="P528">
        <v>1</v>
      </c>
      <c r="Q528">
        <v>1</v>
      </c>
      <c r="R528">
        <v>0.04</v>
      </c>
    </row>
    <row r="529" spans="1:18" x14ac:dyDescent="0.25">
      <c r="A529">
        <v>527</v>
      </c>
      <c r="B529">
        <v>528</v>
      </c>
      <c r="C529">
        <v>3.0300000000000001E-2</v>
      </c>
      <c r="D529">
        <v>0.45</v>
      </c>
      <c r="E529">
        <v>0.25369999999999998</v>
      </c>
      <c r="F529">
        <v>0</v>
      </c>
      <c r="G529">
        <v>1</v>
      </c>
      <c r="H529">
        <v>1</v>
      </c>
      <c r="I529">
        <v>528</v>
      </c>
      <c r="J529" s="1">
        <v>40567</v>
      </c>
      <c r="K529">
        <v>1</v>
      </c>
      <c r="L529">
        <v>0</v>
      </c>
      <c r="M529">
        <v>1</v>
      </c>
      <c r="N529">
        <v>3</v>
      </c>
      <c r="O529" t="b">
        <v>0</v>
      </c>
      <c r="P529">
        <v>1</v>
      </c>
      <c r="Q529">
        <v>1</v>
      </c>
      <c r="R529">
        <v>0.04</v>
      </c>
    </row>
    <row r="530" spans="1:18" x14ac:dyDescent="0.25">
      <c r="A530">
        <v>528</v>
      </c>
      <c r="B530">
        <v>529</v>
      </c>
      <c r="C530">
        <v>6.0600000000000001E-2</v>
      </c>
      <c r="D530">
        <v>0.48</v>
      </c>
      <c r="E530">
        <v>0.1343</v>
      </c>
      <c r="F530">
        <v>0</v>
      </c>
      <c r="G530">
        <v>1</v>
      </c>
      <c r="H530">
        <v>1</v>
      </c>
      <c r="I530">
        <v>529</v>
      </c>
      <c r="J530" s="1">
        <v>40567</v>
      </c>
      <c r="K530">
        <v>1</v>
      </c>
      <c r="L530">
        <v>0</v>
      </c>
      <c r="M530">
        <v>1</v>
      </c>
      <c r="N530">
        <v>4</v>
      </c>
      <c r="O530" t="b">
        <v>0</v>
      </c>
      <c r="P530">
        <v>1</v>
      </c>
      <c r="Q530">
        <v>1</v>
      </c>
      <c r="R530">
        <v>0.02</v>
      </c>
    </row>
    <row r="531" spans="1:18" x14ac:dyDescent="0.25">
      <c r="A531">
        <v>529</v>
      </c>
      <c r="B531">
        <v>530</v>
      </c>
      <c r="C531">
        <v>6.0600000000000001E-2</v>
      </c>
      <c r="D531">
        <v>0.48</v>
      </c>
      <c r="E531">
        <v>0.1343</v>
      </c>
      <c r="F531">
        <v>0</v>
      </c>
      <c r="G531">
        <v>5</v>
      </c>
      <c r="H531">
        <v>5</v>
      </c>
      <c r="I531">
        <v>530</v>
      </c>
      <c r="J531" s="1">
        <v>40567</v>
      </c>
      <c r="K531">
        <v>1</v>
      </c>
      <c r="L531">
        <v>0</v>
      </c>
      <c r="M531">
        <v>1</v>
      </c>
      <c r="N531">
        <v>5</v>
      </c>
      <c r="O531" t="b">
        <v>0</v>
      </c>
      <c r="P531">
        <v>1</v>
      </c>
      <c r="Q531">
        <v>1</v>
      </c>
      <c r="R531">
        <v>0.02</v>
      </c>
    </row>
    <row r="532" spans="1:18" x14ac:dyDescent="0.25">
      <c r="A532">
        <v>530</v>
      </c>
      <c r="B532">
        <v>531</v>
      </c>
      <c r="C532">
        <v>7.5800000000000006E-2</v>
      </c>
      <c r="D532">
        <v>0.48</v>
      </c>
      <c r="E532">
        <v>8.9599999999999999E-2</v>
      </c>
      <c r="F532">
        <v>0</v>
      </c>
      <c r="G532">
        <v>15</v>
      </c>
      <c r="H532">
        <v>15</v>
      </c>
      <c r="I532">
        <v>531</v>
      </c>
      <c r="J532" s="1">
        <v>40567</v>
      </c>
      <c r="K532">
        <v>1</v>
      </c>
      <c r="L532">
        <v>0</v>
      </c>
      <c r="M532">
        <v>1</v>
      </c>
      <c r="N532">
        <v>6</v>
      </c>
      <c r="O532" t="b">
        <v>0</v>
      </c>
      <c r="P532">
        <v>1</v>
      </c>
      <c r="Q532">
        <v>1</v>
      </c>
      <c r="R532">
        <v>0.02</v>
      </c>
    </row>
    <row r="533" spans="1:18" x14ac:dyDescent="0.25">
      <c r="A533">
        <v>531</v>
      </c>
      <c r="B533">
        <v>532</v>
      </c>
      <c r="C533">
        <v>0.1212</v>
      </c>
      <c r="D533">
        <v>0.48</v>
      </c>
      <c r="E533">
        <v>0</v>
      </c>
      <c r="F533">
        <v>5</v>
      </c>
      <c r="G533">
        <v>79</v>
      </c>
      <c r="H533">
        <v>84</v>
      </c>
      <c r="I533">
        <v>532</v>
      </c>
      <c r="J533" s="1">
        <v>40567</v>
      </c>
      <c r="K533">
        <v>1</v>
      </c>
      <c r="L533">
        <v>0</v>
      </c>
      <c r="M533">
        <v>1</v>
      </c>
      <c r="N533">
        <v>7</v>
      </c>
      <c r="O533" t="b">
        <v>0</v>
      </c>
      <c r="P533">
        <v>1</v>
      </c>
      <c r="Q533">
        <v>1</v>
      </c>
      <c r="R533">
        <v>0.02</v>
      </c>
    </row>
    <row r="534" spans="1:18" x14ac:dyDescent="0.25">
      <c r="A534">
        <v>532</v>
      </c>
      <c r="B534">
        <v>533</v>
      </c>
      <c r="C534">
        <v>0.13639999999999999</v>
      </c>
      <c r="D534">
        <v>0.49</v>
      </c>
      <c r="E534">
        <v>0</v>
      </c>
      <c r="F534">
        <v>6</v>
      </c>
      <c r="G534">
        <v>171</v>
      </c>
      <c r="H534">
        <v>177</v>
      </c>
      <c r="I534">
        <v>533</v>
      </c>
      <c r="J534" s="1">
        <v>40567</v>
      </c>
      <c r="K534">
        <v>1</v>
      </c>
      <c r="L534">
        <v>0</v>
      </c>
      <c r="M534">
        <v>1</v>
      </c>
      <c r="N534">
        <v>8</v>
      </c>
      <c r="O534" t="b">
        <v>0</v>
      </c>
      <c r="P534">
        <v>1</v>
      </c>
      <c r="Q534">
        <v>1</v>
      </c>
      <c r="R534">
        <v>0.04</v>
      </c>
    </row>
    <row r="535" spans="1:18" x14ac:dyDescent="0.25">
      <c r="A535">
        <v>533</v>
      </c>
      <c r="B535">
        <v>534</v>
      </c>
      <c r="C535">
        <v>0.1515</v>
      </c>
      <c r="D535">
        <v>0.41</v>
      </c>
      <c r="E535">
        <v>0</v>
      </c>
      <c r="F535">
        <v>4</v>
      </c>
      <c r="G535">
        <v>98</v>
      </c>
      <c r="H535">
        <v>102</v>
      </c>
      <c r="I535">
        <v>534</v>
      </c>
      <c r="J535" s="1">
        <v>40567</v>
      </c>
      <c r="K535">
        <v>1</v>
      </c>
      <c r="L535">
        <v>0</v>
      </c>
      <c r="M535">
        <v>1</v>
      </c>
      <c r="N535">
        <v>9</v>
      </c>
      <c r="O535" t="b">
        <v>0</v>
      </c>
      <c r="P535">
        <v>1</v>
      </c>
      <c r="Q535">
        <v>1</v>
      </c>
      <c r="R535">
        <v>0.06</v>
      </c>
    </row>
    <row r="536" spans="1:18" x14ac:dyDescent="0.25">
      <c r="A536">
        <v>534</v>
      </c>
      <c r="B536">
        <v>535</v>
      </c>
      <c r="C536">
        <v>0.13639999999999999</v>
      </c>
      <c r="D536">
        <v>0.42</v>
      </c>
      <c r="E536">
        <v>0</v>
      </c>
      <c r="F536">
        <v>6</v>
      </c>
      <c r="G536">
        <v>34</v>
      </c>
      <c r="H536">
        <v>40</v>
      </c>
      <c r="I536">
        <v>535</v>
      </c>
      <c r="J536" s="1">
        <v>40567</v>
      </c>
      <c r="K536">
        <v>1</v>
      </c>
      <c r="L536">
        <v>0</v>
      </c>
      <c r="M536">
        <v>1</v>
      </c>
      <c r="N536">
        <v>10</v>
      </c>
      <c r="O536" t="b">
        <v>0</v>
      </c>
      <c r="P536">
        <v>1</v>
      </c>
      <c r="Q536">
        <v>1</v>
      </c>
      <c r="R536">
        <v>0.1</v>
      </c>
    </row>
    <row r="537" spans="1:18" x14ac:dyDescent="0.25">
      <c r="A537">
        <v>535</v>
      </c>
      <c r="B537">
        <v>536</v>
      </c>
      <c r="C537">
        <v>0.1212</v>
      </c>
      <c r="D537">
        <v>0.46</v>
      </c>
      <c r="E537">
        <v>0.1343</v>
      </c>
      <c r="F537">
        <v>3</v>
      </c>
      <c r="G537">
        <v>43</v>
      </c>
      <c r="H537">
        <v>46</v>
      </c>
      <c r="I537">
        <v>536</v>
      </c>
      <c r="J537" s="1">
        <v>40567</v>
      </c>
      <c r="K537">
        <v>1</v>
      </c>
      <c r="L537">
        <v>0</v>
      </c>
      <c r="M537">
        <v>1</v>
      </c>
      <c r="N537">
        <v>11</v>
      </c>
      <c r="O537" t="b">
        <v>0</v>
      </c>
      <c r="P537">
        <v>1</v>
      </c>
      <c r="Q537">
        <v>1</v>
      </c>
      <c r="R537">
        <v>0.1</v>
      </c>
    </row>
    <row r="538" spans="1:18" x14ac:dyDescent="0.25">
      <c r="A538">
        <v>536</v>
      </c>
      <c r="B538">
        <v>537</v>
      </c>
      <c r="C538">
        <v>0.13639999999999999</v>
      </c>
      <c r="D538">
        <v>0.42</v>
      </c>
      <c r="E538">
        <v>0.19400000000000001</v>
      </c>
      <c r="F538">
        <v>11</v>
      </c>
      <c r="G538">
        <v>52</v>
      </c>
      <c r="H538">
        <v>63</v>
      </c>
      <c r="I538">
        <v>537</v>
      </c>
      <c r="J538" s="1">
        <v>40567</v>
      </c>
      <c r="K538">
        <v>1</v>
      </c>
      <c r="L538">
        <v>0</v>
      </c>
      <c r="M538">
        <v>1</v>
      </c>
      <c r="N538">
        <v>12</v>
      </c>
      <c r="O538" t="b">
        <v>0</v>
      </c>
      <c r="P538">
        <v>1</v>
      </c>
      <c r="Q538">
        <v>2</v>
      </c>
      <c r="R538">
        <v>0.12</v>
      </c>
    </row>
    <row r="539" spans="1:18" x14ac:dyDescent="0.25">
      <c r="A539">
        <v>537</v>
      </c>
      <c r="B539">
        <v>538</v>
      </c>
      <c r="C539">
        <v>0.13639999999999999</v>
      </c>
      <c r="D539">
        <v>0.43</v>
      </c>
      <c r="E539">
        <v>0.22389999999999999</v>
      </c>
      <c r="F539">
        <v>6</v>
      </c>
      <c r="G539">
        <v>54</v>
      </c>
      <c r="H539">
        <v>60</v>
      </c>
      <c r="I539">
        <v>538</v>
      </c>
      <c r="J539" s="1">
        <v>40567</v>
      </c>
      <c r="K539">
        <v>1</v>
      </c>
      <c r="L539">
        <v>0</v>
      </c>
      <c r="M539">
        <v>1</v>
      </c>
      <c r="N539">
        <v>13</v>
      </c>
      <c r="O539" t="b">
        <v>0</v>
      </c>
      <c r="P539">
        <v>1</v>
      </c>
      <c r="Q539">
        <v>2</v>
      </c>
      <c r="R539">
        <v>0.14000000000000001</v>
      </c>
    </row>
    <row r="540" spans="1:18" x14ac:dyDescent="0.25">
      <c r="A540">
        <v>538</v>
      </c>
      <c r="B540">
        <v>539</v>
      </c>
      <c r="C540">
        <v>0.13639999999999999</v>
      </c>
      <c r="D540">
        <v>0.46</v>
      </c>
      <c r="E540">
        <v>0.22389999999999999</v>
      </c>
      <c r="F540">
        <v>2</v>
      </c>
      <c r="G540">
        <v>43</v>
      </c>
      <c r="H540">
        <v>45</v>
      </c>
      <c r="I540">
        <v>539</v>
      </c>
      <c r="J540" s="1">
        <v>40567</v>
      </c>
      <c r="K540">
        <v>1</v>
      </c>
      <c r="L540">
        <v>0</v>
      </c>
      <c r="M540">
        <v>1</v>
      </c>
      <c r="N540">
        <v>14</v>
      </c>
      <c r="O540" t="b">
        <v>0</v>
      </c>
      <c r="P540">
        <v>1</v>
      </c>
      <c r="Q540">
        <v>2</v>
      </c>
      <c r="R540">
        <v>0.14000000000000001</v>
      </c>
    </row>
    <row r="541" spans="1:18" x14ac:dyDescent="0.25">
      <c r="A541">
        <v>539</v>
      </c>
      <c r="B541">
        <v>540</v>
      </c>
      <c r="C541">
        <v>0.16669999999999999</v>
      </c>
      <c r="D541">
        <v>0.4</v>
      </c>
      <c r="E541">
        <v>0.16420000000000001</v>
      </c>
      <c r="F541">
        <v>7</v>
      </c>
      <c r="G541">
        <v>50</v>
      </c>
      <c r="H541">
        <v>57</v>
      </c>
      <c r="I541">
        <v>540</v>
      </c>
      <c r="J541" s="1">
        <v>40567</v>
      </c>
      <c r="K541">
        <v>1</v>
      </c>
      <c r="L541">
        <v>0</v>
      </c>
      <c r="M541">
        <v>1</v>
      </c>
      <c r="N541">
        <v>15</v>
      </c>
      <c r="O541" t="b">
        <v>0</v>
      </c>
      <c r="P541">
        <v>1</v>
      </c>
      <c r="Q541">
        <v>1</v>
      </c>
      <c r="R541">
        <v>0.16</v>
      </c>
    </row>
    <row r="542" spans="1:18" x14ac:dyDescent="0.25">
      <c r="A542">
        <v>540</v>
      </c>
      <c r="B542">
        <v>541</v>
      </c>
      <c r="C542">
        <v>0.1515</v>
      </c>
      <c r="D542">
        <v>0.47</v>
      </c>
      <c r="E542">
        <v>0.25369999999999998</v>
      </c>
      <c r="F542">
        <v>4</v>
      </c>
      <c r="G542">
        <v>66</v>
      </c>
      <c r="H542">
        <v>70</v>
      </c>
      <c r="I542">
        <v>541</v>
      </c>
      <c r="J542" s="1">
        <v>40567</v>
      </c>
      <c r="K542">
        <v>1</v>
      </c>
      <c r="L542">
        <v>0</v>
      </c>
      <c r="M542">
        <v>1</v>
      </c>
      <c r="N542">
        <v>16</v>
      </c>
      <c r="O542" t="b">
        <v>0</v>
      </c>
      <c r="P542">
        <v>1</v>
      </c>
      <c r="Q542">
        <v>1</v>
      </c>
      <c r="R542">
        <v>0.16</v>
      </c>
    </row>
    <row r="543" spans="1:18" x14ac:dyDescent="0.25">
      <c r="A543">
        <v>541</v>
      </c>
      <c r="B543">
        <v>542</v>
      </c>
      <c r="C543">
        <v>0.1212</v>
      </c>
      <c r="D543">
        <v>0.5</v>
      </c>
      <c r="E543">
        <v>0.25369999999999998</v>
      </c>
      <c r="F543">
        <v>6</v>
      </c>
      <c r="G543">
        <v>178</v>
      </c>
      <c r="H543">
        <v>184</v>
      </c>
      <c r="I543">
        <v>542</v>
      </c>
      <c r="J543" s="1">
        <v>40567</v>
      </c>
      <c r="K543">
        <v>1</v>
      </c>
      <c r="L543">
        <v>0</v>
      </c>
      <c r="M543">
        <v>1</v>
      </c>
      <c r="N543">
        <v>17</v>
      </c>
      <c r="O543" t="b">
        <v>0</v>
      </c>
      <c r="P543">
        <v>1</v>
      </c>
      <c r="Q543">
        <v>1</v>
      </c>
      <c r="R543">
        <v>0.14000000000000001</v>
      </c>
    </row>
    <row r="544" spans="1:18" x14ac:dyDescent="0.25">
      <c r="A544">
        <v>542</v>
      </c>
      <c r="B544">
        <v>543</v>
      </c>
      <c r="C544">
        <v>0.13639999999999999</v>
      </c>
      <c r="D544">
        <v>0.59</v>
      </c>
      <c r="E544">
        <v>0.19400000000000001</v>
      </c>
      <c r="F544">
        <v>8</v>
      </c>
      <c r="G544">
        <v>145</v>
      </c>
      <c r="H544">
        <v>153</v>
      </c>
      <c r="I544">
        <v>543</v>
      </c>
      <c r="J544" s="1">
        <v>40567</v>
      </c>
      <c r="K544">
        <v>1</v>
      </c>
      <c r="L544">
        <v>0</v>
      </c>
      <c r="M544">
        <v>1</v>
      </c>
      <c r="N544">
        <v>18</v>
      </c>
      <c r="O544" t="b">
        <v>0</v>
      </c>
      <c r="P544">
        <v>1</v>
      </c>
      <c r="Q544">
        <v>1</v>
      </c>
      <c r="R544">
        <v>0.14000000000000001</v>
      </c>
    </row>
    <row r="545" spans="1:18" x14ac:dyDescent="0.25">
      <c r="A545">
        <v>543</v>
      </c>
      <c r="B545">
        <v>544</v>
      </c>
      <c r="C545">
        <v>0.1515</v>
      </c>
      <c r="D545">
        <v>0.54</v>
      </c>
      <c r="E545">
        <v>0.16420000000000001</v>
      </c>
      <c r="F545">
        <v>5</v>
      </c>
      <c r="G545">
        <v>101</v>
      </c>
      <c r="H545">
        <v>106</v>
      </c>
      <c r="I545">
        <v>544</v>
      </c>
      <c r="J545" s="1">
        <v>40567</v>
      </c>
      <c r="K545">
        <v>1</v>
      </c>
      <c r="L545">
        <v>0</v>
      </c>
      <c r="M545">
        <v>1</v>
      </c>
      <c r="N545">
        <v>19</v>
      </c>
      <c r="O545" t="b">
        <v>0</v>
      </c>
      <c r="P545">
        <v>1</v>
      </c>
      <c r="Q545">
        <v>1</v>
      </c>
      <c r="R545">
        <v>0.14000000000000001</v>
      </c>
    </row>
    <row r="546" spans="1:18" x14ac:dyDescent="0.25">
      <c r="A546">
        <v>544</v>
      </c>
      <c r="B546">
        <v>545</v>
      </c>
      <c r="C546">
        <v>0.13639999999999999</v>
      </c>
      <c r="D546">
        <v>0.59</v>
      </c>
      <c r="E546">
        <v>0.19400000000000001</v>
      </c>
      <c r="F546">
        <v>1</v>
      </c>
      <c r="G546">
        <v>80</v>
      </c>
      <c r="H546">
        <v>81</v>
      </c>
      <c r="I546">
        <v>545</v>
      </c>
      <c r="J546" s="1">
        <v>40567</v>
      </c>
      <c r="K546">
        <v>1</v>
      </c>
      <c r="L546">
        <v>0</v>
      </c>
      <c r="M546">
        <v>1</v>
      </c>
      <c r="N546">
        <v>20</v>
      </c>
      <c r="O546" t="b">
        <v>0</v>
      </c>
      <c r="P546">
        <v>1</v>
      </c>
      <c r="Q546">
        <v>1</v>
      </c>
      <c r="R546">
        <v>0.14000000000000001</v>
      </c>
    </row>
    <row r="547" spans="1:18" x14ac:dyDescent="0.25">
      <c r="A547">
        <v>545</v>
      </c>
      <c r="B547">
        <v>546</v>
      </c>
      <c r="C547">
        <v>0.1515</v>
      </c>
      <c r="D547">
        <v>0.63</v>
      </c>
      <c r="E547">
        <v>0.16420000000000001</v>
      </c>
      <c r="F547">
        <v>6</v>
      </c>
      <c r="G547">
        <v>53</v>
      </c>
      <c r="H547">
        <v>59</v>
      </c>
      <c r="I547">
        <v>546</v>
      </c>
      <c r="J547" s="1">
        <v>40567</v>
      </c>
      <c r="K547">
        <v>1</v>
      </c>
      <c r="L547">
        <v>0</v>
      </c>
      <c r="M547">
        <v>1</v>
      </c>
      <c r="N547">
        <v>21</v>
      </c>
      <c r="O547" t="b">
        <v>0</v>
      </c>
      <c r="P547">
        <v>1</v>
      </c>
      <c r="Q547">
        <v>1</v>
      </c>
      <c r="R547">
        <v>0.14000000000000001</v>
      </c>
    </row>
    <row r="548" spans="1:18" x14ac:dyDescent="0.25">
      <c r="A548">
        <v>546</v>
      </c>
      <c r="B548">
        <v>547</v>
      </c>
      <c r="C548">
        <v>0.13639999999999999</v>
      </c>
      <c r="D548">
        <v>0.63</v>
      </c>
      <c r="E548">
        <v>0.22389999999999999</v>
      </c>
      <c r="F548">
        <v>3</v>
      </c>
      <c r="G548">
        <v>32</v>
      </c>
      <c r="H548">
        <v>35</v>
      </c>
      <c r="I548">
        <v>547</v>
      </c>
      <c r="J548" s="1">
        <v>40567</v>
      </c>
      <c r="K548">
        <v>1</v>
      </c>
      <c r="L548">
        <v>0</v>
      </c>
      <c r="M548">
        <v>1</v>
      </c>
      <c r="N548">
        <v>22</v>
      </c>
      <c r="O548" t="b">
        <v>0</v>
      </c>
      <c r="P548">
        <v>1</v>
      </c>
      <c r="Q548">
        <v>2</v>
      </c>
      <c r="R548">
        <v>0.14000000000000001</v>
      </c>
    </row>
    <row r="549" spans="1:18" x14ac:dyDescent="0.25">
      <c r="A549">
        <v>547</v>
      </c>
      <c r="B549">
        <v>548</v>
      </c>
      <c r="C549">
        <v>0.1515</v>
      </c>
      <c r="D549">
        <v>0.64</v>
      </c>
      <c r="E549">
        <v>0.25369999999999998</v>
      </c>
      <c r="F549">
        <v>3</v>
      </c>
      <c r="G549">
        <v>21</v>
      </c>
      <c r="H549">
        <v>24</v>
      </c>
      <c r="I549">
        <v>548</v>
      </c>
      <c r="J549" s="1">
        <v>40567</v>
      </c>
      <c r="K549">
        <v>1</v>
      </c>
      <c r="L549">
        <v>0</v>
      </c>
      <c r="M549">
        <v>1</v>
      </c>
      <c r="N549">
        <v>23</v>
      </c>
      <c r="O549" t="b">
        <v>0</v>
      </c>
      <c r="P549">
        <v>1</v>
      </c>
      <c r="Q549">
        <v>2</v>
      </c>
      <c r="R549">
        <v>0.16</v>
      </c>
    </row>
    <row r="550" spans="1:18" x14ac:dyDescent="0.25">
      <c r="A550">
        <v>548</v>
      </c>
      <c r="B550">
        <v>549</v>
      </c>
      <c r="C550">
        <v>0.13639999999999999</v>
      </c>
      <c r="D550">
        <v>0.69</v>
      </c>
      <c r="E550">
        <v>0.28360000000000002</v>
      </c>
      <c r="F550">
        <v>3</v>
      </c>
      <c r="G550">
        <v>6</v>
      </c>
      <c r="H550">
        <v>9</v>
      </c>
      <c r="I550">
        <v>549</v>
      </c>
      <c r="J550" s="1">
        <v>40568</v>
      </c>
      <c r="K550">
        <v>1</v>
      </c>
      <c r="L550">
        <v>0</v>
      </c>
      <c r="M550">
        <v>1</v>
      </c>
      <c r="N550">
        <v>0</v>
      </c>
      <c r="O550" t="b">
        <v>0</v>
      </c>
      <c r="P550">
        <v>2</v>
      </c>
      <c r="Q550">
        <v>2</v>
      </c>
      <c r="R550">
        <v>0.16</v>
      </c>
    </row>
    <row r="551" spans="1:18" x14ac:dyDescent="0.25">
      <c r="A551">
        <v>549</v>
      </c>
      <c r="B551">
        <v>550</v>
      </c>
      <c r="C551">
        <v>0.16669999999999999</v>
      </c>
      <c r="D551">
        <v>0.69</v>
      </c>
      <c r="E551">
        <v>0.16420000000000001</v>
      </c>
      <c r="F551">
        <v>0</v>
      </c>
      <c r="G551">
        <v>5</v>
      </c>
      <c r="H551">
        <v>5</v>
      </c>
      <c r="I551">
        <v>550</v>
      </c>
      <c r="J551" s="1">
        <v>40568</v>
      </c>
      <c r="K551">
        <v>1</v>
      </c>
      <c r="L551">
        <v>0</v>
      </c>
      <c r="M551">
        <v>1</v>
      </c>
      <c r="N551">
        <v>1</v>
      </c>
      <c r="O551" t="b">
        <v>0</v>
      </c>
      <c r="P551">
        <v>2</v>
      </c>
      <c r="Q551">
        <v>2</v>
      </c>
      <c r="R551">
        <v>0.16</v>
      </c>
    </row>
    <row r="552" spans="1:18" x14ac:dyDescent="0.25">
      <c r="A552">
        <v>550</v>
      </c>
      <c r="B552">
        <v>551</v>
      </c>
      <c r="C552">
        <v>0.1515</v>
      </c>
      <c r="D552">
        <v>0.69</v>
      </c>
      <c r="E552">
        <v>0.22389999999999999</v>
      </c>
      <c r="F552">
        <v>0</v>
      </c>
      <c r="G552">
        <v>2</v>
      </c>
      <c r="H552">
        <v>2</v>
      </c>
      <c r="I552">
        <v>551</v>
      </c>
      <c r="J552" s="1">
        <v>40568</v>
      </c>
      <c r="K552">
        <v>1</v>
      </c>
      <c r="L552">
        <v>0</v>
      </c>
      <c r="M552">
        <v>1</v>
      </c>
      <c r="N552">
        <v>2</v>
      </c>
      <c r="O552" t="b">
        <v>0</v>
      </c>
      <c r="P552">
        <v>2</v>
      </c>
      <c r="Q552">
        <v>1</v>
      </c>
      <c r="R552">
        <v>0.16</v>
      </c>
    </row>
    <row r="553" spans="1:18" x14ac:dyDescent="0.25">
      <c r="A553">
        <v>551</v>
      </c>
      <c r="B553">
        <v>552</v>
      </c>
      <c r="C553">
        <v>0.16669999999999999</v>
      </c>
      <c r="D553">
        <v>0.74</v>
      </c>
      <c r="E553">
        <v>0.1045</v>
      </c>
      <c r="F553">
        <v>0</v>
      </c>
      <c r="G553">
        <v>1</v>
      </c>
      <c r="H553">
        <v>1</v>
      </c>
      <c r="I553">
        <v>552</v>
      </c>
      <c r="J553" s="1">
        <v>40568</v>
      </c>
      <c r="K553">
        <v>1</v>
      </c>
      <c r="L553">
        <v>0</v>
      </c>
      <c r="M553">
        <v>1</v>
      </c>
      <c r="N553">
        <v>4</v>
      </c>
      <c r="O553" t="b">
        <v>0</v>
      </c>
      <c r="P553">
        <v>2</v>
      </c>
      <c r="Q553">
        <v>1</v>
      </c>
      <c r="R553">
        <v>0.14000000000000001</v>
      </c>
    </row>
    <row r="554" spans="1:18" x14ac:dyDescent="0.25">
      <c r="A554">
        <v>552</v>
      </c>
      <c r="B554">
        <v>553</v>
      </c>
      <c r="C554">
        <v>0.13639999999999999</v>
      </c>
      <c r="D554">
        <v>0.74</v>
      </c>
      <c r="E554">
        <v>0.22389999999999999</v>
      </c>
      <c r="F554">
        <v>0</v>
      </c>
      <c r="G554">
        <v>9</v>
      </c>
      <c r="H554">
        <v>9</v>
      </c>
      <c r="I554">
        <v>553</v>
      </c>
      <c r="J554" s="1">
        <v>40568</v>
      </c>
      <c r="K554">
        <v>1</v>
      </c>
      <c r="L554">
        <v>0</v>
      </c>
      <c r="M554">
        <v>1</v>
      </c>
      <c r="N554">
        <v>5</v>
      </c>
      <c r="O554" t="b">
        <v>0</v>
      </c>
      <c r="P554">
        <v>2</v>
      </c>
      <c r="Q554">
        <v>1</v>
      </c>
      <c r="R554">
        <v>0.14000000000000001</v>
      </c>
    </row>
    <row r="555" spans="1:18" x14ac:dyDescent="0.25">
      <c r="A555">
        <v>553</v>
      </c>
      <c r="B555">
        <v>554</v>
      </c>
      <c r="C555">
        <v>0.18179999999999999</v>
      </c>
      <c r="D555">
        <v>0.74</v>
      </c>
      <c r="E555">
        <v>0.1045</v>
      </c>
      <c r="F555">
        <v>1</v>
      </c>
      <c r="G555">
        <v>35</v>
      </c>
      <c r="H555">
        <v>36</v>
      </c>
      <c r="I555">
        <v>554</v>
      </c>
      <c r="J555" s="1">
        <v>40568</v>
      </c>
      <c r="K555">
        <v>1</v>
      </c>
      <c r="L555">
        <v>0</v>
      </c>
      <c r="M555">
        <v>1</v>
      </c>
      <c r="N555">
        <v>6</v>
      </c>
      <c r="O555" t="b">
        <v>0</v>
      </c>
      <c r="P555">
        <v>2</v>
      </c>
      <c r="Q555">
        <v>1</v>
      </c>
      <c r="R555">
        <v>0.16</v>
      </c>
    </row>
    <row r="556" spans="1:18" x14ac:dyDescent="0.25">
      <c r="A556">
        <v>554</v>
      </c>
      <c r="B556">
        <v>555</v>
      </c>
      <c r="C556">
        <v>0.1515</v>
      </c>
      <c r="D556">
        <v>0.74</v>
      </c>
      <c r="E556">
        <v>0.22389999999999999</v>
      </c>
      <c r="F556">
        <v>5</v>
      </c>
      <c r="G556">
        <v>103</v>
      </c>
      <c r="H556">
        <v>108</v>
      </c>
      <c r="I556">
        <v>555</v>
      </c>
      <c r="J556" s="1">
        <v>40568</v>
      </c>
      <c r="K556">
        <v>1</v>
      </c>
      <c r="L556">
        <v>0</v>
      </c>
      <c r="M556">
        <v>1</v>
      </c>
      <c r="N556">
        <v>7</v>
      </c>
      <c r="O556" t="b">
        <v>0</v>
      </c>
      <c r="P556">
        <v>2</v>
      </c>
      <c r="Q556">
        <v>1</v>
      </c>
      <c r="R556">
        <v>0.16</v>
      </c>
    </row>
    <row r="557" spans="1:18" x14ac:dyDescent="0.25">
      <c r="A557">
        <v>555</v>
      </c>
      <c r="B557">
        <v>556</v>
      </c>
      <c r="C557">
        <v>0.18179999999999999</v>
      </c>
      <c r="D557">
        <v>0.74</v>
      </c>
      <c r="E557">
        <v>0.1343</v>
      </c>
      <c r="F557">
        <v>5</v>
      </c>
      <c r="G557">
        <v>233</v>
      </c>
      <c r="H557">
        <v>238</v>
      </c>
      <c r="I557">
        <v>556</v>
      </c>
      <c r="J557" s="1">
        <v>40568</v>
      </c>
      <c r="K557">
        <v>1</v>
      </c>
      <c r="L557">
        <v>0</v>
      </c>
      <c r="M557">
        <v>1</v>
      </c>
      <c r="N557">
        <v>8</v>
      </c>
      <c r="O557" t="b">
        <v>0</v>
      </c>
      <c r="P557">
        <v>2</v>
      </c>
      <c r="Q557">
        <v>2</v>
      </c>
      <c r="R557">
        <v>0.16</v>
      </c>
    </row>
    <row r="558" spans="1:18" x14ac:dyDescent="0.25">
      <c r="A558">
        <v>556</v>
      </c>
      <c r="B558">
        <v>557</v>
      </c>
      <c r="C558">
        <v>0.2273</v>
      </c>
      <c r="D558">
        <v>0.64</v>
      </c>
      <c r="E558">
        <v>8.9599999999999999E-2</v>
      </c>
      <c r="F558">
        <v>10</v>
      </c>
      <c r="G558">
        <v>134</v>
      </c>
      <c r="H558">
        <v>144</v>
      </c>
      <c r="I558">
        <v>557</v>
      </c>
      <c r="J558" s="1">
        <v>40568</v>
      </c>
      <c r="K558">
        <v>1</v>
      </c>
      <c r="L558">
        <v>0</v>
      </c>
      <c r="M558">
        <v>1</v>
      </c>
      <c r="N558">
        <v>9</v>
      </c>
      <c r="O558" t="b">
        <v>0</v>
      </c>
      <c r="P558">
        <v>2</v>
      </c>
      <c r="Q558">
        <v>2</v>
      </c>
      <c r="R558">
        <v>0.2</v>
      </c>
    </row>
    <row r="559" spans="1:18" x14ac:dyDescent="0.25">
      <c r="A559">
        <v>557</v>
      </c>
      <c r="B559">
        <v>558</v>
      </c>
      <c r="C559">
        <v>0.2424</v>
      </c>
      <c r="D559">
        <v>0.6</v>
      </c>
      <c r="E559">
        <v>0.1045</v>
      </c>
      <c r="F559">
        <v>6</v>
      </c>
      <c r="G559">
        <v>49</v>
      </c>
      <c r="H559">
        <v>55</v>
      </c>
      <c r="I559">
        <v>558</v>
      </c>
      <c r="J559" s="1">
        <v>40568</v>
      </c>
      <c r="K559">
        <v>1</v>
      </c>
      <c r="L559">
        <v>0</v>
      </c>
      <c r="M559">
        <v>1</v>
      </c>
      <c r="N559">
        <v>10</v>
      </c>
      <c r="O559" t="b">
        <v>0</v>
      </c>
      <c r="P559">
        <v>2</v>
      </c>
      <c r="Q559">
        <v>2</v>
      </c>
      <c r="R559">
        <v>0.22</v>
      </c>
    </row>
    <row r="560" spans="1:18" x14ac:dyDescent="0.25">
      <c r="A560">
        <v>558</v>
      </c>
      <c r="B560">
        <v>559</v>
      </c>
      <c r="C560">
        <v>0.2424</v>
      </c>
      <c r="D560">
        <v>0.6</v>
      </c>
      <c r="E560">
        <v>0.1343</v>
      </c>
      <c r="F560">
        <v>6</v>
      </c>
      <c r="G560">
        <v>55</v>
      </c>
      <c r="H560">
        <v>61</v>
      </c>
      <c r="I560">
        <v>559</v>
      </c>
      <c r="J560" s="1">
        <v>40568</v>
      </c>
      <c r="K560">
        <v>1</v>
      </c>
      <c r="L560">
        <v>0</v>
      </c>
      <c r="M560">
        <v>1</v>
      </c>
      <c r="N560">
        <v>11</v>
      </c>
      <c r="O560" t="b">
        <v>0</v>
      </c>
      <c r="P560">
        <v>2</v>
      </c>
      <c r="Q560">
        <v>2</v>
      </c>
      <c r="R560">
        <v>0.24</v>
      </c>
    </row>
    <row r="561" spans="1:18" x14ac:dyDescent="0.25">
      <c r="A561">
        <v>559</v>
      </c>
      <c r="B561">
        <v>560</v>
      </c>
      <c r="C561">
        <v>0.28789999999999999</v>
      </c>
      <c r="D561">
        <v>0.56000000000000005</v>
      </c>
      <c r="E561">
        <v>8.9599999999999999E-2</v>
      </c>
      <c r="F561">
        <v>21</v>
      </c>
      <c r="G561">
        <v>85</v>
      </c>
      <c r="H561">
        <v>106</v>
      </c>
      <c r="I561">
        <v>560</v>
      </c>
      <c r="J561" s="1">
        <v>40568</v>
      </c>
      <c r="K561">
        <v>1</v>
      </c>
      <c r="L561">
        <v>0</v>
      </c>
      <c r="M561">
        <v>1</v>
      </c>
      <c r="N561">
        <v>12</v>
      </c>
      <c r="O561" t="b">
        <v>0</v>
      </c>
      <c r="P561">
        <v>2</v>
      </c>
      <c r="Q561">
        <v>2</v>
      </c>
      <c r="R561">
        <v>0.26</v>
      </c>
    </row>
    <row r="562" spans="1:18" x14ac:dyDescent="0.25">
      <c r="A562">
        <v>560</v>
      </c>
      <c r="B562">
        <v>561</v>
      </c>
      <c r="C562">
        <v>0.2727</v>
      </c>
      <c r="D562">
        <v>0.56000000000000005</v>
      </c>
      <c r="E562">
        <v>0.1343</v>
      </c>
      <c r="F562">
        <v>21</v>
      </c>
      <c r="G562">
        <v>72</v>
      </c>
      <c r="H562">
        <v>93</v>
      </c>
      <c r="I562">
        <v>561</v>
      </c>
      <c r="J562" s="1">
        <v>40568</v>
      </c>
      <c r="K562">
        <v>1</v>
      </c>
      <c r="L562">
        <v>0</v>
      </c>
      <c r="M562">
        <v>1</v>
      </c>
      <c r="N562">
        <v>13</v>
      </c>
      <c r="O562" t="b">
        <v>0</v>
      </c>
      <c r="P562">
        <v>2</v>
      </c>
      <c r="Q562">
        <v>2</v>
      </c>
      <c r="R562">
        <v>0.26</v>
      </c>
    </row>
    <row r="563" spans="1:18" x14ac:dyDescent="0.25">
      <c r="A563">
        <v>561</v>
      </c>
      <c r="B563">
        <v>562</v>
      </c>
      <c r="C563">
        <v>0.33329999999999999</v>
      </c>
      <c r="D563">
        <v>0.45</v>
      </c>
      <c r="E563">
        <v>0</v>
      </c>
      <c r="F563">
        <v>11</v>
      </c>
      <c r="G563">
        <v>57</v>
      </c>
      <c r="H563">
        <v>68</v>
      </c>
      <c r="I563">
        <v>562</v>
      </c>
      <c r="J563" s="1">
        <v>40568</v>
      </c>
      <c r="K563">
        <v>1</v>
      </c>
      <c r="L563">
        <v>0</v>
      </c>
      <c r="M563">
        <v>1</v>
      </c>
      <c r="N563">
        <v>14</v>
      </c>
      <c r="O563" t="b">
        <v>0</v>
      </c>
      <c r="P563">
        <v>2</v>
      </c>
      <c r="Q563">
        <v>2</v>
      </c>
      <c r="R563">
        <v>0.3</v>
      </c>
    </row>
    <row r="564" spans="1:18" x14ac:dyDescent="0.25">
      <c r="A564">
        <v>562</v>
      </c>
      <c r="B564">
        <v>563</v>
      </c>
      <c r="C564">
        <v>0.34849999999999998</v>
      </c>
      <c r="D564">
        <v>0.42</v>
      </c>
      <c r="E564">
        <v>0</v>
      </c>
      <c r="F564">
        <v>21</v>
      </c>
      <c r="G564">
        <v>63</v>
      </c>
      <c r="H564">
        <v>84</v>
      </c>
      <c r="I564">
        <v>563</v>
      </c>
      <c r="J564" s="1">
        <v>40568</v>
      </c>
      <c r="K564">
        <v>1</v>
      </c>
      <c r="L564">
        <v>0</v>
      </c>
      <c r="M564">
        <v>1</v>
      </c>
      <c r="N564">
        <v>15</v>
      </c>
      <c r="O564" t="b">
        <v>0</v>
      </c>
      <c r="P564">
        <v>2</v>
      </c>
      <c r="Q564">
        <v>2</v>
      </c>
      <c r="R564">
        <v>0.32</v>
      </c>
    </row>
    <row r="565" spans="1:18" x14ac:dyDescent="0.25">
      <c r="A565">
        <v>563</v>
      </c>
      <c r="B565">
        <v>564</v>
      </c>
      <c r="C565">
        <v>0.34849999999999998</v>
      </c>
      <c r="D565">
        <v>0.42</v>
      </c>
      <c r="E565">
        <v>0</v>
      </c>
      <c r="F565">
        <v>14</v>
      </c>
      <c r="G565">
        <v>102</v>
      </c>
      <c r="H565">
        <v>116</v>
      </c>
      <c r="I565">
        <v>564</v>
      </c>
      <c r="J565" s="1">
        <v>40568</v>
      </c>
      <c r="K565">
        <v>1</v>
      </c>
      <c r="L565">
        <v>0</v>
      </c>
      <c r="M565">
        <v>1</v>
      </c>
      <c r="N565">
        <v>16</v>
      </c>
      <c r="O565" t="b">
        <v>0</v>
      </c>
      <c r="P565">
        <v>2</v>
      </c>
      <c r="Q565">
        <v>2</v>
      </c>
      <c r="R565">
        <v>0.32</v>
      </c>
    </row>
    <row r="566" spans="1:18" x14ac:dyDescent="0.25">
      <c r="A566">
        <v>564</v>
      </c>
      <c r="B566">
        <v>565</v>
      </c>
      <c r="C566">
        <v>0.33329999999999999</v>
      </c>
      <c r="D566">
        <v>0.45</v>
      </c>
      <c r="E566">
        <v>0</v>
      </c>
      <c r="F566">
        <v>14</v>
      </c>
      <c r="G566">
        <v>208</v>
      </c>
      <c r="H566">
        <v>222</v>
      </c>
      <c r="I566">
        <v>565</v>
      </c>
      <c r="J566" s="1">
        <v>40568</v>
      </c>
      <c r="K566">
        <v>1</v>
      </c>
      <c r="L566">
        <v>0</v>
      </c>
      <c r="M566">
        <v>1</v>
      </c>
      <c r="N566">
        <v>17</v>
      </c>
      <c r="O566" t="b">
        <v>0</v>
      </c>
      <c r="P566">
        <v>2</v>
      </c>
      <c r="Q566">
        <v>1</v>
      </c>
      <c r="R566">
        <v>0.3</v>
      </c>
    </row>
    <row r="567" spans="1:18" x14ac:dyDescent="0.25">
      <c r="A567">
        <v>565</v>
      </c>
      <c r="B567">
        <v>566</v>
      </c>
      <c r="C567">
        <v>0.31819999999999998</v>
      </c>
      <c r="D567">
        <v>0.49</v>
      </c>
      <c r="E567">
        <v>8.9599999999999999E-2</v>
      </c>
      <c r="F567">
        <v>7</v>
      </c>
      <c r="G567">
        <v>218</v>
      </c>
      <c r="H567">
        <v>225</v>
      </c>
      <c r="I567">
        <v>566</v>
      </c>
      <c r="J567" s="1">
        <v>40568</v>
      </c>
      <c r="K567">
        <v>1</v>
      </c>
      <c r="L567">
        <v>0</v>
      </c>
      <c r="M567">
        <v>1</v>
      </c>
      <c r="N567">
        <v>18</v>
      </c>
      <c r="O567" t="b">
        <v>0</v>
      </c>
      <c r="P567">
        <v>2</v>
      </c>
      <c r="Q567">
        <v>2</v>
      </c>
      <c r="R567">
        <v>0.3</v>
      </c>
    </row>
    <row r="568" spans="1:18" x14ac:dyDescent="0.25">
      <c r="A568">
        <v>566</v>
      </c>
      <c r="B568">
        <v>567</v>
      </c>
      <c r="C568">
        <v>0.2576</v>
      </c>
      <c r="D568">
        <v>0.65</v>
      </c>
      <c r="E568">
        <v>0.16420000000000001</v>
      </c>
      <c r="F568">
        <v>13</v>
      </c>
      <c r="G568">
        <v>133</v>
      </c>
      <c r="H568">
        <v>146</v>
      </c>
      <c r="I568">
        <v>567</v>
      </c>
      <c r="J568" s="1">
        <v>40568</v>
      </c>
      <c r="K568">
        <v>1</v>
      </c>
      <c r="L568">
        <v>0</v>
      </c>
      <c r="M568">
        <v>1</v>
      </c>
      <c r="N568">
        <v>19</v>
      </c>
      <c r="O568" t="b">
        <v>0</v>
      </c>
      <c r="P568">
        <v>2</v>
      </c>
      <c r="Q568">
        <v>2</v>
      </c>
      <c r="R568">
        <v>0.26</v>
      </c>
    </row>
    <row r="569" spans="1:18" x14ac:dyDescent="0.25">
      <c r="A569">
        <v>567</v>
      </c>
      <c r="B569">
        <v>568</v>
      </c>
      <c r="C569">
        <v>0.2273</v>
      </c>
      <c r="D569">
        <v>0.65</v>
      </c>
      <c r="E569">
        <v>0.19400000000000001</v>
      </c>
      <c r="F569">
        <v>16</v>
      </c>
      <c r="G569">
        <v>103</v>
      </c>
      <c r="H569">
        <v>119</v>
      </c>
      <c r="I569">
        <v>568</v>
      </c>
      <c r="J569" s="1">
        <v>40568</v>
      </c>
      <c r="K569">
        <v>1</v>
      </c>
      <c r="L569">
        <v>0</v>
      </c>
      <c r="M569">
        <v>1</v>
      </c>
      <c r="N569">
        <v>20</v>
      </c>
      <c r="O569" t="b">
        <v>0</v>
      </c>
      <c r="P569">
        <v>2</v>
      </c>
      <c r="Q569">
        <v>1</v>
      </c>
      <c r="R569">
        <v>0.24</v>
      </c>
    </row>
    <row r="570" spans="1:18" x14ac:dyDescent="0.25">
      <c r="A570">
        <v>568</v>
      </c>
      <c r="B570">
        <v>569</v>
      </c>
      <c r="C570">
        <v>0.2273</v>
      </c>
      <c r="D570">
        <v>0.65</v>
      </c>
      <c r="E570">
        <v>0.19400000000000001</v>
      </c>
      <c r="F570">
        <v>5</v>
      </c>
      <c r="G570">
        <v>40</v>
      </c>
      <c r="H570">
        <v>45</v>
      </c>
      <c r="I570">
        <v>569</v>
      </c>
      <c r="J570" s="1">
        <v>40568</v>
      </c>
      <c r="K570">
        <v>1</v>
      </c>
      <c r="L570">
        <v>0</v>
      </c>
      <c r="M570">
        <v>1</v>
      </c>
      <c r="N570">
        <v>21</v>
      </c>
      <c r="O570" t="b">
        <v>0</v>
      </c>
      <c r="P570">
        <v>2</v>
      </c>
      <c r="Q570">
        <v>1</v>
      </c>
      <c r="R570">
        <v>0.24</v>
      </c>
    </row>
    <row r="571" spans="1:18" x14ac:dyDescent="0.25">
      <c r="A571">
        <v>569</v>
      </c>
      <c r="B571">
        <v>570</v>
      </c>
      <c r="C571">
        <v>0.2273</v>
      </c>
      <c r="D571">
        <v>0.64</v>
      </c>
      <c r="E571">
        <v>0.16420000000000001</v>
      </c>
      <c r="F571">
        <v>4</v>
      </c>
      <c r="G571">
        <v>49</v>
      </c>
      <c r="H571">
        <v>53</v>
      </c>
      <c r="I571">
        <v>570</v>
      </c>
      <c r="J571" s="1">
        <v>40568</v>
      </c>
      <c r="K571">
        <v>1</v>
      </c>
      <c r="L571">
        <v>0</v>
      </c>
      <c r="M571">
        <v>1</v>
      </c>
      <c r="N571">
        <v>22</v>
      </c>
      <c r="O571" t="b">
        <v>0</v>
      </c>
      <c r="P571">
        <v>2</v>
      </c>
      <c r="Q571">
        <v>1</v>
      </c>
      <c r="R571">
        <v>0.22</v>
      </c>
    </row>
    <row r="572" spans="1:18" x14ac:dyDescent="0.25">
      <c r="A572">
        <v>570</v>
      </c>
      <c r="B572">
        <v>571</v>
      </c>
      <c r="C572">
        <v>0.2273</v>
      </c>
      <c r="D572">
        <v>0.64</v>
      </c>
      <c r="E572">
        <v>0.16420000000000001</v>
      </c>
      <c r="F572">
        <v>3</v>
      </c>
      <c r="G572">
        <v>37</v>
      </c>
      <c r="H572">
        <v>40</v>
      </c>
      <c r="I572">
        <v>571</v>
      </c>
      <c r="J572" s="1">
        <v>40568</v>
      </c>
      <c r="K572">
        <v>1</v>
      </c>
      <c r="L572">
        <v>0</v>
      </c>
      <c r="M572">
        <v>1</v>
      </c>
      <c r="N572">
        <v>23</v>
      </c>
      <c r="O572" t="b">
        <v>0</v>
      </c>
      <c r="P572">
        <v>2</v>
      </c>
      <c r="Q572">
        <v>2</v>
      </c>
      <c r="R572">
        <v>0.22</v>
      </c>
    </row>
    <row r="573" spans="1:18" x14ac:dyDescent="0.25">
      <c r="A573">
        <v>571</v>
      </c>
      <c r="B573">
        <v>572</v>
      </c>
      <c r="C573">
        <v>0.2273</v>
      </c>
      <c r="D573">
        <v>0.69</v>
      </c>
      <c r="E573">
        <v>0.1343</v>
      </c>
      <c r="F573">
        <v>3</v>
      </c>
      <c r="G573">
        <v>14</v>
      </c>
      <c r="H573">
        <v>17</v>
      </c>
      <c r="I573">
        <v>572</v>
      </c>
      <c r="J573" s="1">
        <v>40569</v>
      </c>
      <c r="K573">
        <v>1</v>
      </c>
      <c r="L573">
        <v>0</v>
      </c>
      <c r="M573">
        <v>1</v>
      </c>
      <c r="N573">
        <v>0</v>
      </c>
      <c r="O573" t="b">
        <v>0</v>
      </c>
      <c r="P573">
        <v>3</v>
      </c>
      <c r="Q573">
        <v>2</v>
      </c>
      <c r="R573">
        <v>0.22</v>
      </c>
    </row>
    <row r="574" spans="1:18" x14ac:dyDescent="0.25">
      <c r="A574">
        <v>572</v>
      </c>
      <c r="B574">
        <v>573</v>
      </c>
      <c r="C574">
        <v>0.2424</v>
      </c>
      <c r="D574">
        <v>0.65</v>
      </c>
      <c r="E574">
        <v>0.1343</v>
      </c>
      <c r="F574">
        <v>0</v>
      </c>
      <c r="G574">
        <v>5</v>
      </c>
      <c r="H574">
        <v>5</v>
      </c>
      <c r="I574">
        <v>573</v>
      </c>
      <c r="J574" s="1">
        <v>40569</v>
      </c>
      <c r="K574">
        <v>1</v>
      </c>
      <c r="L574">
        <v>0</v>
      </c>
      <c r="M574">
        <v>1</v>
      </c>
      <c r="N574">
        <v>1</v>
      </c>
      <c r="O574" t="b">
        <v>0</v>
      </c>
      <c r="P574">
        <v>3</v>
      </c>
      <c r="Q574">
        <v>2</v>
      </c>
      <c r="R574">
        <v>0.24</v>
      </c>
    </row>
    <row r="575" spans="1:18" x14ac:dyDescent="0.25">
      <c r="A575">
        <v>573</v>
      </c>
      <c r="B575">
        <v>574</v>
      </c>
      <c r="C575">
        <v>0.2273</v>
      </c>
      <c r="D575">
        <v>0.69</v>
      </c>
      <c r="E575">
        <v>0.19400000000000001</v>
      </c>
      <c r="F575">
        <v>3</v>
      </c>
      <c r="G575">
        <v>7</v>
      </c>
      <c r="H575">
        <v>10</v>
      </c>
      <c r="I575">
        <v>574</v>
      </c>
      <c r="J575" s="1">
        <v>40569</v>
      </c>
      <c r="K575">
        <v>1</v>
      </c>
      <c r="L575">
        <v>0</v>
      </c>
      <c r="M575">
        <v>1</v>
      </c>
      <c r="N575">
        <v>2</v>
      </c>
      <c r="O575" t="b">
        <v>0</v>
      </c>
      <c r="P575">
        <v>3</v>
      </c>
      <c r="Q575">
        <v>3</v>
      </c>
      <c r="R575">
        <v>0.22</v>
      </c>
    </row>
    <row r="576" spans="1:18" x14ac:dyDescent="0.25">
      <c r="A576">
        <v>574</v>
      </c>
      <c r="B576">
        <v>575</v>
      </c>
      <c r="C576">
        <v>0.18179999999999999</v>
      </c>
      <c r="D576">
        <v>0.86</v>
      </c>
      <c r="E576">
        <v>0.28360000000000002</v>
      </c>
      <c r="F576">
        <v>0</v>
      </c>
      <c r="G576">
        <v>1</v>
      </c>
      <c r="H576">
        <v>1</v>
      </c>
      <c r="I576">
        <v>575</v>
      </c>
      <c r="J576" s="1">
        <v>40569</v>
      </c>
      <c r="K576">
        <v>1</v>
      </c>
      <c r="L576">
        <v>0</v>
      </c>
      <c r="M576">
        <v>1</v>
      </c>
      <c r="N576">
        <v>5</v>
      </c>
      <c r="O576" t="b">
        <v>0</v>
      </c>
      <c r="P576">
        <v>3</v>
      </c>
      <c r="Q576">
        <v>3</v>
      </c>
      <c r="R576">
        <v>0.2</v>
      </c>
    </row>
    <row r="577" spans="1:18" x14ac:dyDescent="0.25">
      <c r="A577">
        <v>575</v>
      </c>
      <c r="B577">
        <v>576</v>
      </c>
      <c r="C577">
        <v>0.18179999999999999</v>
      </c>
      <c r="D577">
        <v>0.86</v>
      </c>
      <c r="E577">
        <v>0.28360000000000002</v>
      </c>
      <c r="F577">
        <v>0</v>
      </c>
      <c r="G577">
        <v>8</v>
      </c>
      <c r="H577">
        <v>8</v>
      </c>
      <c r="I577">
        <v>576</v>
      </c>
      <c r="J577" s="1">
        <v>40569</v>
      </c>
      <c r="K577">
        <v>1</v>
      </c>
      <c r="L577">
        <v>0</v>
      </c>
      <c r="M577">
        <v>1</v>
      </c>
      <c r="N577">
        <v>6</v>
      </c>
      <c r="O577" t="b">
        <v>0</v>
      </c>
      <c r="P577">
        <v>3</v>
      </c>
      <c r="Q577">
        <v>3</v>
      </c>
      <c r="R577">
        <v>0.2</v>
      </c>
    </row>
    <row r="578" spans="1:18" x14ac:dyDescent="0.25">
      <c r="A578">
        <v>576</v>
      </c>
      <c r="B578">
        <v>577</v>
      </c>
      <c r="C578">
        <v>0.21210000000000001</v>
      </c>
      <c r="D578">
        <v>0.87</v>
      </c>
      <c r="E578">
        <v>0.29849999999999999</v>
      </c>
      <c r="F578">
        <v>1</v>
      </c>
      <c r="G578">
        <v>29</v>
      </c>
      <c r="H578">
        <v>30</v>
      </c>
      <c r="I578">
        <v>577</v>
      </c>
      <c r="J578" s="1">
        <v>40569</v>
      </c>
      <c r="K578">
        <v>1</v>
      </c>
      <c r="L578">
        <v>0</v>
      </c>
      <c r="M578">
        <v>1</v>
      </c>
      <c r="N578">
        <v>7</v>
      </c>
      <c r="O578" t="b">
        <v>0</v>
      </c>
      <c r="P578">
        <v>3</v>
      </c>
      <c r="Q578">
        <v>3</v>
      </c>
      <c r="R578">
        <v>0.22</v>
      </c>
    </row>
    <row r="579" spans="1:18" x14ac:dyDescent="0.25">
      <c r="A579">
        <v>577</v>
      </c>
      <c r="B579">
        <v>578</v>
      </c>
      <c r="C579">
        <v>0.21210000000000001</v>
      </c>
      <c r="D579">
        <v>0.87</v>
      </c>
      <c r="E579">
        <v>0.29849999999999999</v>
      </c>
      <c r="F579">
        <v>3</v>
      </c>
      <c r="G579">
        <v>69</v>
      </c>
      <c r="H579">
        <v>72</v>
      </c>
      <c r="I579">
        <v>578</v>
      </c>
      <c r="J579" s="1">
        <v>40569</v>
      </c>
      <c r="K579">
        <v>1</v>
      </c>
      <c r="L579">
        <v>0</v>
      </c>
      <c r="M579">
        <v>1</v>
      </c>
      <c r="N579">
        <v>8</v>
      </c>
      <c r="O579" t="b">
        <v>0</v>
      </c>
      <c r="P579">
        <v>3</v>
      </c>
      <c r="Q579">
        <v>3</v>
      </c>
      <c r="R579">
        <v>0.22</v>
      </c>
    </row>
    <row r="580" spans="1:18" x14ac:dyDescent="0.25">
      <c r="A580">
        <v>578</v>
      </c>
      <c r="B580">
        <v>579</v>
      </c>
      <c r="C580">
        <v>0.21210000000000001</v>
      </c>
      <c r="D580">
        <v>0.87</v>
      </c>
      <c r="E580">
        <v>0.29849999999999999</v>
      </c>
      <c r="F580">
        <v>3</v>
      </c>
      <c r="G580">
        <v>55</v>
      </c>
      <c r="H580">
        <v>58</v>
      </c>
      <c r="I580">
        <v>579</v>
      </c>
      <c r="J580" s="1">
        <v>40569</v>
      </c>
      <c r="K580">
        <v>1</v>
      </c>
      <c r="L580">
        <v>0</v>
      </c>
      <c r="M580">
        <v>1</v>
      </c>
      <c r="N580">
        <v>9</v>
      </c>
      <c r="O580" t="b">
        <v>0</v>
      </c>
      <c r="P580">
        <v>3</v>
      </c>
      <c r="Q580">
        <v>3</v>
      </c>
      <c r="R580">
        <v>0.22</v>
      </c>
    </row>
    <row r="581" spans="1:18" x14ac:dyDescent="0.25">
      <c r="A581">
        <v>579</v>
      </c>
      <c r="B581">
        <v>580</v>
      </c>
      <c r="C581">
        <v>0.21210000000000001</v>
      </c>
      <c r="D581">
        <v>0.93</v>
      </c>
      <c r="E581">
        <v>0.28360000000000002</v>
      </c>
      <c r="F581">
        <v>2</v>
      </c>
      <c r="G581">
        <v>26</v>
      </c>
      <c r="H581">
        <v>28</v>
      </c>
      <c r="I581">
        <v>580</v>
      </c>
      <c r="J581" s="1">
        <v>40569</v>
      </c>
      <c r="K581">
        <v>1</v>
      </c>
      <c r="L581">
        <v>0</v>
      </c>
      <c r="M581">
        <v>1</v>
      </c>
      <c r="N581">
        <v>10</v>
      </c>
      <c r="O581" t="b">
        <v>0</v>
      </c>
      <c r="P581">
        <v>3</v>
      </c>
      <c r="Q581">
        <v>3</v>
      </c>
      <c r="R581">
        <v>0.22</v>
      </c>
    </row>
    <row r="582" spans="1:18" x14ac:dyDescent="0.25">
      <c r="A582">
        <v>580</v>
      </c>
      <c r="B582">
        <v>581</v>
      </c>
      <c r="C582">
        <v>0.19700000000000001</v>
      </c>
      <c r="D582">
        <v>0.93</v>
      </c>
      <c r="E582">
        <v>0.32840000000000003</v>
      </c>
      <c r="F582">
        <v>6</v>
      </c>
      <c r="G582">
        <v>35</v>
      </c>
      <c r="H582">
        <v>41</v>
      </c>
      <c r="I582">
        <v>581</v>
      </c>
      <c r="J582" s="1">
        <v>40569</v>
      </c>
      <c r="K582">
        <v>1</v>
      </c>
      <c r="L582">
        <v>0</v>
      </c>
      <c r="M582">
        <v>1</v>
      </c>
      <c r="N582">
        <v>11</v>
      </c>
      <c r="O582" t="b">
        <v>0</v>
      </c>
      <c r="P582">
        <v>3</v>
      </c>
      <c r="Q582">
        <v>3</v>
      </c>
      <c r="R582">
        <v>0.22</v>
      </c>
    </row>
    <row r="583" spans="1:18" x14ac:dyDescent="0.25">
      <c r="A583">
        <v>581</v>
      </c>
      <c r="B583">
        <v>582</v>
      </c>
      <c r="C583">
        <v>0.19700000000000001</v>
      </c>
      <c r="D583">
        <v>0.93</v>
      </c>
      <c r="E583">
        <v>0.32840000000000003</v>
      </c>
      <c r="F583">
        <v>7</v>
      </c>
      <c r="G583">
        <v>41</v>
      </c>
      <c r="H583">
        <v>48</v>
      </c>
      <c r="I583">
        <v>582</v>
      </c>
      <c r="J583" s="1">
        <v>40569</v>
      </c>
      <c r="K583">
        <v>1</v>
      </c>
      <c r="L583">
        <v>0</v>
      </c>
      <c r="M583">
        <v>1</v>
      </c>
      <c r="N583">
        <v>12</v>
      </c>
      <c r="O583" t="b">
        <v>0</v>
      </c>
      <c r="P583">
        <v>3</v>
      </c>
      <c r="Q583">
        <v>3</v>
      </c>
      <c r="R583">
        <v>0.22</v>
      </c>
    </row>
    <row r="584" spans="1:18" x14ac:dyDescent="0.25">
      <c r="A584">
        <v>582</v>
      </c>
      <c r="B584">
        <v>583</v>
      </c>
      <c r="C584">
        <v>0.19700000000000001</v>
      </c>
      <c r="D584">
        <v>0.93</v>
      </c>
      <c r="E584">
        <v>0.32840000000000003</v>
      </c>
      <c r="F584">
        <v>4</v>
      </c>
      <c r="G584">
        <v>43</v>
      </c>
      <c r="H584">
        <v>47</v>
      </c>
      <c r="I584">
        <v>583</v>
      </c>
      <c r="J584" s="1">
        <v>40569</v>
      </c>
      <c r="K584">
        <v>1</v>
      </c>
      <c r="L584">
        <v>0</v>
      </c>
      <c r="M584">
        <v>1</v>
      </c>
      <c r="N584">
        <v>13</v>
      </c>
      <c r="O584" t="b">
        <v>0</v>
      </c>
      <c r="P584">
        <v>3</v>
      </c>
      <c r="Q584">
        <v>3</v>
      </c>
      <c r="R584">
        <v>0.22</v>
      </c>
    </row>
    <row r="585" spans="1:18" x14ac:dyDescent="0.25">
      <c r="A585">
        <v>583</v>
      </c>
      <c r="B585">
        <v>584</v>
      </c>
      <c r="C585">
        <v>0.19700000000000001</v>
      </c>
      <c r="D585">
        <v>0.93</v>
      </c>
      <c r="E585">
        <v>0.35820000000000002</v>
      </c>
      <c r="F585">
        <v>0</v>
      </c>
      <c r="G585">
        <v>36</v>
      </c>
      <c r="H585">
        <v>36</v>
      </c>
      <c r="I585">
        <v>584</v>
      </c>
      <c r="J585" s="1">
        <v>40569</v>
      </c>
      <c r="K585">
        <v>1</v>
      </c>
      <c r="L585">
        <v>0</v>
      </c>
      <c r="M585">
        <v>1</v>
      </c>
      <c r="N585">
        <v>14</v>
      </c>
      <c r="O585" t="b">
        <v>0</v>
      </c>
      <c r="P585">
        <v>3</v>
      </c>
      <c r="Q585">
        <v>3</v>
      </c>
      <c r="R585">
        <v>0.22</v>
      </c>
    </row>
    <row r="586" spans="1:18" x14ac:dyDescent="0.25">
      <c r="A586">
        <v>584</v>
      </c>
      <c r="B586">
        <v>585</v>
      </c>
      <c r="C586">
        <v>0.18179999999999999</v>
      </c>
      <c r="D586">
        <v>0.93</v>
      </c>
      <c r="E586">
        <v>0.4627</v>
      </c>
      <c r="F586">
        <v>1</v>
      </c>
      <c r="G586">
        <v>42</v>
      </c>
      <c r="H586">
        <v>43</v>
      </c>
      <c r="I586">
        <v>585</v>
      </c>
      <c r="J586" s="1">
        <v>40569</v>
      </c>
      <c r="K586">
        <v>1</v>
      </c>
      <c r="L586">
        <v>0</v>
      </c>
      <c r="M586">
        <v>1</v>
      </c>
      <c r="N586">
        <v>15</v>
      </c>
      <c r="O586" t="b">
        <v>0</v>
      </c>
      <c r="P586">
        <v>3</v>
      </c>
      <c r="Q586">
        <v>3</v>
      </c>
      <c r="R586">
        <v>0.22</v>
      </c>
    </row>
    <row r="587" spans="1:18" x14ac:dyDescent="0.25">
      <c r="A587">
        <v>585</v>
      </c>
      <c r="B587">
        <v>586</v>
      </c>
      <c r="C587">
        <v>0.19700000000000001</v>
      </c>
      <c r="D587">
        <v>0.93</v>
      </c>
      <c r="E587">
        <v>0.32840000000000003</v>
      </c>
      <c r="F587">
        <v>1</v>
      </c>
      <c r="G587">
        <v>35</v>
      </c>
      <c r="H587">
        <v>36</v>
      </c>
      <c r="I587">
        <v>586</v>
      </c>
      <c r="J587" s="1">
        <v>40569</v>
      </c>
      <c r="K587">
        <v>1</v>
      </c>
      <c r="L587">
        <v>0</v>
      </c>
      <c r="M587">
        <v>1</v>
      </c>
      <c r="N587">
        <v>16</v>
      </c>
      <c r="O587" t="b">
        <v>0</v>
      </c>
      <c r="P587">
        <v>3</v>
      </c>
      <c r="Q587">
        <v>4</v>
      </c>
      <c r="R587">
        <v>0.22</v>
      </c>
    </row>
    <row r="588" spans="1:18" x14ac:dyDescent="0.25">
      <c r="A588">
        <v>586</v>
      </c>
      <c r="B588">
        <v>587</v>
      </c>
      <c r="C588">
        <v>0.18179999999999999</v>
      </c>
      <c r="D588">
        <v>0.93</v>
      </c>
      <c r="E588">
        <v>0.35820000000000002</v>
      </c>
      <c r="F588">
        <v>0</v>
      </c>
      <c r="G588">
        <v>26</v>
      </c>
      <c r="H588">
        <v>26</v>
      </c>
      <c r="I588">
        <v>587</v>
      </c>
      <c r="J588" s="1">
        <v>40569</v>
      </c>
      <c r="K588">
        <v>1</v>
      </c>
      <c r="L588">
        <v>0</v>
      </c>
      <c r="M588">
        <v>1</v>
      </c>
      <c r="N588">
        <v>17</v>
      </c>
      <c r="O588" t="b">
        <v>0</v>
      </c>
      <c r="P588">
        <v>3</v>
      </c>
      <c r="Q588">
        <v>3</v>
      </c>
      <c r="R588">
        <v>0.2</v>
      </c>
    </row>
    <row r="589" spans="1:18" x14ac:dyDescent="0.25">
      <c r="A589">
        <v>587</v>
      </c>
      <c r="B589">
        <v>588</v>
      </c>
      <c r="C589">
        <v>0.2273</v>
      </c>
      <c r="D589">
        <v>0.55000000000000004</v>
      </c>
      <c r="E589">
        <v>0.19400000000000001</v>
      </c>
      <c r="F589">
        <v>1</v>
      </c>
      <c r="G589">
        <v>23</v>
      </c>
      <c r="H589">
        <v>24</v>
      </c>
      <c r="I589">
        <v>588</v>
      </c>
      <c r="J589" s="1">
        <v>40570</v>
      </c>
      <c r="K589">
        <v>1</v>
      </c>
      <c r="L589">
        <v>0</v>
      </c>
      <c r="M589">
        <v>1</v>
      </c>
      <c r="N589">
        <v>16</v>
      </c>
      <c r="O589" t="b">
        <v>0</v>
      </c>
      <c r="P589">
        <v>4</v>
      </c>
      <c r="Q589">
        <v>1</v>
      </c>
      <c r="R589">
        <v>0.22</v>
      </c>
    </row>
    <row r="590" spans="1:18" x14ac:dyDescent="0.25">
      <c r="A590">
        <v>588</v>
      </c>
      <c r="B590">
        <v>589</v>
      </c>
      <c r="C590">
        <v>0.2424</v>
      </c>
      <c r="D590">
        <v>0.55000000000000004</v>
      </c>
      <c r="E590">
        <v>0.1045</v>
      </c>
      <c r="F590">
        <v>2</v>
      </c>
      <c r="G590">
        <v>82</v>
      </c>
      <c r="H590">
        <v>84</v>
      </c>
      <c r="I590">
        <v>589</v>
      </c>
      <c r="J590" s="1">
        <v>40570</v>
      </c>
      <c r="K590">
        <v>1</v>
      </c>
      <c r="L590">
        <v>0</v>
      </c>
      <c r="M590">
        <v>1</v>
      </c>
      <c r="N590">
        <v>17</v>
      </c>
      <c r="O590" t="b">
        <v>0</v>
      </c>
      <c r="P590">
        <v>4</v>
      </c>
      <c r="Q590">
        <v>1</v>
      </c>
      <c r="R590">
        <v>0.22</v>
      </c>
    </row>
    <row r="591" spans="1:18" x14ac:dyDescent="0.25">
      <c r="A591">
        <v>589</v>
      </c>
      <c r="B591">
        <v>590</v>
      </c>
      <c r="C591">
        <v>0.2273</v>
      </c>
      <c r="D591">
        <v>0.69</v>
      </c>
      <c r="E591">
        <v>8.9599999999999999E-2</v>
      </c>
      <c r="F591">
        <v>3</v>
      </c>
      <c r="G591">
        <v>101</v>
      </c>
      <c r="H591">
        <v>104</v>
      </c>
      <c r="I591">
        <v>590</v>
      </c>
      <c r="J591" s="1">
        <v>40570</v>
      </c>
      <c r="K591">
        <v>1</v>
      </c>
      <c r="L591">
        <v>0</v>
      </c>
      <c r="M591">
        <v>1</v>
      </c>
      <c r="N591">
        <v>18</v>
      </c>
      <c r="O591" t="b">
        <v>0</v>
      </c>
      <c r="P591">
        <v>4</v>
      </c>
      <c r="Q591">
        <v>1</v>
      </c>
      <c r="R591">
        <v>0.2</v>
      </c>
    </row>
    <row r="592" spans="1:18" x14ac:dyDescent="0.25">
      <c r="A592">
        <v>590</v>
      </c>
      <c r="B592">
        <v>591</v>
      </c>
      <c r="C592">
        <v>0.2273</v>
      </c>
      <c r="D592">
        <v>0.69</v>
      </c>
      <c r="E592">
        <v>8.9599999999999999E-2</v>
      </c>
      <c r="F592">
        <v>3</v>
      </c>
      <c r="G592">
        <v>76</v>
      </c>
      <c r="H592">
        <v>79</v>
      </c>
      <c r="I592">
        <v>591</v>
      </c>
      <c r="J592" s="1">
        <v>40570</v>
      </c>
      <c r="K592">
        <v>1</v>
      </c>
      <c r="L592">
        <v>0</v>
      </c>
      <c r="M592">
        <v>1</v>
      </c>
      <c r="N592">
        <v>19</v>
      </c>
      <c r="O592" t="b">
        <v>0</v>
      </c>
      <c r="P592">
        <v>4</v>
      </c>
      <c r="Q592">
        <v>1</v>
      </c>
      <c r="R592">
        <v>0.2</v>
      </c>
    </row>
    <row r="593" spans="1:18" x14ac:dyDescent="0.25">
      <c r="A593">
        <v>591</v>
      </c>
      <c r="B593">
        <v>592</v>
      </c>
      <c r="C593">
        <v>0.21210000000000001</v>
      </c>
      <c r="D593">
        <v>0.74</v>
      </c>
      <c r="E593">
        <v>8.9599999999999999E-2</v>
      </c>
      <c r="F593">
        <v>4</v>
      </c>
      <c r="G593">
        <v>55</v>
      </c>
      <c r="H593">
        <v>59</v>
      </c>
      <c r="I593">
        <v>592</v>
      </c>
      <c r="J593" s="1">
        <v>40570</v>
      </c>
      <c r="K593">
        <v>1</v>
      </c>
      <c r="L593">
        <v>0</v>
      </c>
      <c r="M593">
        <v>1</v>
      </c>
      <c r="N593">
        <v>20</v>
      </c>
      <c r="O593" t="b">
        <v>0</v>
      </c>
      <c r="P593">
        <v>4</v>
      </c>
      <c r="Q593">
        <v>1</v>
      </c>
      <c r="R593">
        <v>0.18</v>
      </c>
    </row>
    <row r="594" spans="1:18" x14ac:dyDescent="0.25">
      <c r="A594">
        <v>592</v>
      </c>
      <c r="B594">
        <v>593</v>
      </c>
      <c r="C594">
        <v>0.21210000000000001</v>
      </c>
      <c r="D594">
        <v>0.74</v>
      </c>
      <c r="E594">
        <v>8.9599999999999999E-2</v>
      </c>
      <c r="F594">
        <v>2</v>
      </c>
      <c r="G594">
        <v>36</v>
      </c>
      <c r="H594">
        <v>38</v>
      </c>
      <c r="I594">
        <v>593</v>
      </c>
      <c r="J594" s="1">
        <v>40570</v>
      </c>
      <c r="K594">
        <v>1</v>
      </c>
      <c r="L594">
        <v>0</v>
      </c>
      <c r="M594">
        <v>1</v>
      </c>
      <c r="N594">
        <v>21</v>
      </c>
      <c r="O594" t="b">
        <v>0</v>
      </c>
      <c r="P594">
        <v>4</v>
      </c>
      <c r="Q594">
        <v>1</v>
      </c>
      <c r="R594">
        <v>0.18</v>
      </c>
    </row>
    <row r="595" spans="1:18" x14ac:dyDescent="0.25">
      <c r="A595">
        <v>593</v>
      </c>
      <c r="B595">
        <v>594</v>
      </c>
      <c r="C595">
        <v>0.21210000000000001</v>
      </c>
      <c r="D595">
        <v>0.74</v>
      </c>
      <c r="E595">
        <v>8.9599999999999999E-2</v>
      </c>
      <c r="F595">
        <v>0</v>
      </c>
      <c r="G595">
        <v>27</v>
      </c>
      <c r="H595">
        <v>27</v>
      </c>
      <c r="I595">
        <v>594</v>
      </c>
      <c r="J595" s="1">
        <v>40570</v>
      </c>
      <c r="K595">
        <v>1</v>
      </c>
      <c r="L595">
        <v>0</v>
      </c>
      <c r="M595">
        <v>1</v>
      </c>
      <c r="N595">
        <v>22</v>
      </c>
      <c r="O595" t="b">
        <v>0</v>
      </c>
      <c r="P595">
        <v>4</v>
      </c>
      <c r="Q595">
        <v>1</v>
      </c>
      <c r="R595">
        <v>0.18</v>
      </c>
    </row>
    <row r="596" spans="1:18" x14ac:dyDescent="0.25">
      <c r="A596">
        <v>594</v>
      </c>
      <c r="B596">
        <v>595</v>
      </c>
      <c r="C596">
        <v>0.19700000000000001</v>
      </c>
      <c r="D596">
        <v>0.8</v>
      </c>
      <c r="E596">
        <v>0.16420000000000001</v>
      </c>
      <c r="F596">
        <v>0</v>
      </c>
      <c r="G596">
        <v>16</v>
      </c>
      <c r="H596">
        <v>16</v>
      </c>
      <c r="I596">
        <v>595</v>
      </c>
      <c r="J596" s="1">
        <v>40570</v>
      </c>
      <c r="K596">
        <v>1</v>
      </c>
      <c r="L596">
        <v>0</v>
      </c>
      <c r="M596">
        <v>1</v>
      </c>
      <c r="N596">
        <v>23</v>
      </c>
      <c r="O596" t="b">
        <v>0</v>
      </c>
      <c r="P596">
        <v>4</v>
      </c>
      <c r="Q596">
        <v>1</v>
      </c>
      <c r="R596">
        <v>0.18</v>
      </c>
    </row>
    <row r="597" spans="1:18" x14ac:dyDescent="0.25">
      <c r="A597">
        <v>595</v>
      </c>
      <c r="B597">
        <v>596</v>
      </c>
      <c r="C597">
        <v>0.21210000000000001</v>
      </c>
      <c r="D597">
        <v>0.75</v>
      </c>
      <c r="E597">
        <v>0.1343</v>
      </c>
      <c r="F597">
        <v>0</v>
      </c>
      <c r="G597">
        <v>9</v>
      </c>
      <c r="H597">
        <v>9</v>
      </c>
      <c r="I597">
        <v>596</v>
      </c>
      <c r="J597" s="1">
        <v>40571</v>
      </c>
      <c r="K597">
        <v>1</v>
      </c>
      <c r="L597">
        <v>0</v>
      </c>
      <c r="M597">
        <v>1</v>
      </c>
      <c r="N597">
        <v>0</v>
      </c>
      <c r="O597" t="b">
        <v>0</v>
      </c>
      <c r="P597">
        <v>5</v>
      </c>
      <c r="Q597">
        <v>2</v>
      </c>
      <c r="R597">
        <v>0.2</v>
      </c>
    </row>
    <row r="598" spans="1:18" x14ac:dyDescent="0.25">
      <c r="A598">
        <v>596</v>
      </c>
      <c r="B598">
        <v>597</v>
      </c>
      <c r="C598">
        <v>0.21210000000000001</v>
      </c>
      <c r="D598">
        <v>0.75</v>
      </c>
      <c r="E598">
        <v>0.1343</v>
      </c>
      <c r="F598">
        <v>1</v>
      </c>
      <c r="G598">
        <v>2</v>
      </c>
      <c r="H598">
        <v>3</v>
      </c>
      <c r="I598">
        <v>597</v>
      </c>
      <c r="J598" s="1">
        <v>40571</v>
      </c>
      <c r="K598">
        <v>1</v>
      </c>
      <c r="L598">
        <v>0</v>
      </c>
      <c r="M598">
        <v>1</v>
      </c>
      <c r="N598">
        <v>1</v>
      </c>
      <c r="O598" t="b">
        <v>0</v>
      </c>
      <c r="P598">
        <v>5</v>
      </c>
      <c r="Q598">
        <v>2</v>
      </c>
      <c r="R598">
        <v>0.2</v>
      </c>
    </row>
    <row r="599" spans="1:18" x14ac:dyDescent="0.25">
      <c r="A599">
        <v>597</v>
      </c>
      <c r="B599">
        <v>598</v>
      </c>
      <c r="C599">
        <v>0.21210000000000001</v>
      </c>
      <c r="D599">
        <v>0.75</v>
      </c>
      <c r="E599">
        <v>0.16420000000000001</v>
      </c>
      <c r="F599">
        <v>0</v>
      </c>
      <c r="G599">
        <v>2</v>
      </c>
      <c r="H599">
        <v>2</v>
      </c>
      <c r="I599">
        <v>598</v>
      </c>
      <c r="J599" s="1">
        <v>40571</v>
      </c>
      <c r="K599">
        <v>1</v>
      </c>
      <c r="L599">
        <v>0</v>
      </c>
      <c r="M599">
        <v>1</v>
      </c>
      <c r="N599">
        <v>2</v>
      </c>
      <c r="O599" t="b">
        <v>0</v>
      </c>
      <c r="P599">
        <v>5</v>
      </c>
      <c r="Q599">
        <v>2</v>
      </c>
      <c r="R599">
        <v>0.2</v>
      </c>
    </row>
    <row r="600" spans="1:18" x14ac:dyDescent="0.25">
      <c r="A600">
        <v>598</v>
      </c>
      <c r="B600">
        <v>599</v>
      </c>
      <c r="C600">
        <v>0.2273</v>
      </c>
      <c r="D600">
        <v>0.75</v>
      </c>
      <c r="E600">
        <v>0.1045</v>
      </c>
      <c r="F600">
        <v>1</v>
      </c>
      <c r="G600">
        <v>0</v>
      </c>
      <c r="H600">
        <v>1</v>
      </c>
      <c r="I600">
        <v>599</v>
      </c>
      <c r="J600" s="1">
        <v>40571</v>
      </c>
      <c r="K600">
        <v>1</v>
      </c>
      <c r="L600">
        <v>0</v>
      </c>
      <c r="M600">
        <v>1</v>
      </c>
      <c r="N600">
        <v>3</v>
      </c>
      <c r="O600" t="b">
        <v>0</v>
      </c>
      <c r="P600">
        <v>5</v>
      </c>
      <c r="Q600">
        <v>2</v>
      </c>
      <c r="R600">
        <v>0.2</v>
      </c>
    </row>
    <row r="601" spans="1:18" x14ac:dyDescent="0.25">
      <c r="A601">
        <v>599</v>
      </c>
      <c r="B601">
        <v>600</v>
      </c>
      <c r="C601">
        <v>0.21210000000000001</v>
      </c>
      <c r="D601">
        <v>0.8</v>
      </c>
      <c r="E601">
        <v>0.1045</v>
      </c>
      <c r="F601">
        <v>0</v>
      </c>
      <c r="G601">
        <v>4</v>
      </c>
      <c r="H601">
        <v>4</v>
      </c>
      <c r="I601">
        <v>600</v>
      </c>
      <c r="J601" s="1">
        <v>40571</v>
      </c>
      <c r="K601">
        <v>1</v>
      </c>
      <c r="L601">
        <v>0</v>
      </c>
      <c r="M601">
        <v>1</v>
      </c>
      <c r="N601">
        <v>5</v>
      </c>
      <c r="O601" t="b">
        <v>0</v>
      </c>
      <c r="P601">
        <v>5</v>
      </c>
      <c r="Q601">
        <v>2</v>
      </c>
      <c r="R601">
        <v>0.18</v>
      </c>
    </row>
    <row r="602" spans="1:18" x14ac:dyDescent="0.25">
      <c r="A602">
        <v>600</v>
      </c>
      <c r="B602">
        <v>601</v>
      </c>
      <c r="C602">
        <v>0.19700000000000001</v>
      </c>
      <c r="D602">
        <v>0.8</v>
      </c>
      <c r="E602">
        <v>0.1343</v>
      </c>
      <c r="F602">
        <v>0</v>
      </c>
      <c r="G602">
        <v>16</v>
      </c>
      <c r="H602">
        <v>16</v>
      </c>
      <c r="I602">
        <v>601</v>
      </c>
      <c r="J602" s="1">
        <v>40571</v>
      </c>
      <c r="K602">
        <v>1</v>
      </c>
      <c r="L602">
        <v>0</v>
      </c>
      <c r="M602">
        <v>1</v>
      </c>
      <c r="N602">
        <v>6</v>
      </c>
      <c r="O602" t="b">
        <v>0</v>
      </c>
      <c r="P602">
        <v>5</v>
      </c>
      <c r="Q602">
        <v>2</v>
      </c>
      <c r="R602">
        <v>0.18</v>
      </c>
    </row>
    <row r="603" spans="1:18" x14ac:dyDescent="0.25">
      <c r="A603">
        <v>601</v>
      </c>
      <c r="B603">
        <v>602</v>
      </c>
      <c r="C603">
        <v>0.19700000000000001</v>
      </c>
      <c r="D603">
        <v>0.86</v>
      </c>
      <c r="E603">
        <v>8.9599999999999999E-2</v>
      </c>
      <c r="F603">
        <v>2</v>
      </c>
      <c r="G603">
        <v>58</v>
      </c>
      <c r="H603">
        <v>60</v>
      </c>
      <c r="I603">
        <v>602</v>
      </c>
      <c r="J603" s="1">
        <v>40571</v>
      </c>
      <c r="K603">
        <v>1</v>
      </c>
      <c r="L603">
        <v>0</v>
      </c>
      <c r="M603">
        <v>1</v>
      </c>
      <c r="N603">
        <v>7</v>
      </c>
      <c r="O603" t="b">
        <v>0</v>
      </c>
      <c r="P603">
        <v>5</v>
      </c>
      <c r="Q603">
        <v>2</v>
      </c>
      <c r="R603">
        <v>0.16</v>
      </c>
    </row>
    <row r="604" spans="1:18" x14ac:dyDescent="0.25">
      <c r="A604">
        <v>602</v>
      </c>
      <c r="B604">
        <v>603</v>
      </c>
      <c r="C604">
        <v>0.19700000000000001</v>
      </c>
      <c r="D604">
        <v>0.86</v>
      </c>
      <c r="E604">
        <v>8.9599999999999999E-2</v>
      </c>
      <c r="F604">
        <v>2</v>
      </c>
      <c r="G604">
        <v>155</v>
      </c>
      <c r="H604">
        <v>157</v>
      </c>
      <c r="I604">
        <v>603</v>
      </c>
      <c r="J604" s="1">
        <v>40571</v>
      </c>
      <c r="K604">
        <v>1</v>
      </c>
      <c r="L604">
        <v>0</v>
      </c>
      <c r="M604">
        <v>1</v>
      </c>
      <c r="N604">
        <v>8</v>
      </c>
      <c r="O604" t="b">
        <v>0</v>
      </c>
      <c r="P604">
        <v>5</v>
      </c>
      <c r="Q604">
        <v>2</v>
      </c>
      <c r="R604">
        <v>0.16</v>
      </c>
    </row>
    <row r="605" spans="1:18" x14ac:dyDescent="0.25">
      <c r="A605">
        <v>603</v>
      </c>
      <c r="B605">
        <v>604</v>
      </c>
      <c r="C605">
        <v>0.21210000000000001</v>
      </c>
      <c r="D605">
        <v>0.86</v>
      </c>
      <c r="E605">
        <v>8.9599999999999999E-2</v>
      </c>
      <c r="F605">
        <v>6</v>
      </c>
      <c r="G605">
        <v>95</v>
      </c>
      <c r="H605">
        <v>101</v>
      </c>
      <c r="I605">
        <v>604</v>
      </c>
      <c r="J605" s="1">
        <v>40571</v>
      </c>
      <c r="K605">
        <v>1</v>
      </c>
      <c r="L605">
        <v>0</v>
      </c>
      <c r="M605">
        <v>1</v>
      </c>
      <c r="N605">
        <v>9</v>
      </c>
      <c r="O605" t="b">
        <v>0</v>
      </c>
      <c r="P605">
        <v>5</v>
      </c>
      <c r="Q605">
        <v>3</v>
      </c>
      <c r="R605">
        <v>0.18</v>
      </c>
    </row>
    <row r="606" spans="1:18" x14ac:dyDescent="0.25">
      <c r="A606">
        <v>604</v>
      </c>
      <c r="B606">
        <v>605</v>
      </c>
      <c r="C606">
        <v>0.21210000000000001</v>
      </c>
      <c r="D606">
        <v>0.86</v>
      </c>
      <c r="E606">
        <v>0.1045</v>
      </c>
      <c r="F606">
        <v>0</v>
      </c>
      <c r="G606">
        <v>49</v>
      </c>
      <c r="H606">
        <v>49</v>
      </c>
      <c r="I606">
        <v>605</v>
      </c>
      <c r="J606" s="1">
        <v>40571</v>
      </c>
      <c r="K606">
        <v>1</v>
      </c>
      <c r="L606">
        <v>0</v>
      </c>
      <c r="M606">
        <v>1</v>
      </c>
      <c r="N606">
        <v>10</v>
      </c>
      <c r="O606" t="b">
        <v>0</v>
      </c>
      <c r="P606">
        <v>5</v>
      </c>
      <c r="Q606">
        <v>3</v>
      </c>
      <c r="R606">
        <v>0.18</v>
      </c>
    </row>
    <row r="607" spans="1:18" x14ac:dyDescent="0.25">
      <c r="A607">
        <v>605</v>
      </c>
      <c r="B607">
        <v>606</v>
      </c>
      <c r="C607">
        <v>0.21210000000000001</v>
      </c>
      <c r="D607">
        <v>0.93</v>
      </c>
      <c r="E607">
        <v>0.1045</v>
      </c>
      <c r="F607">
        <v>0</v>
      </c>
      <c r="G607">
        <v>30</v>
      </c>
      <c r="H607">
        <v>30</v>
      </c>
      <c r="I607">
        <v>606</v>
      </c>
      <c r="J607" s="1">
        <v>40571</v>
      </c>
      <c r="K607">
        <v>1</v>
      </c>
      <c r="L607">
        <v>0</v>
      </c>
      <c r="M607">
        <v>1</v>
      </c>
      <c r="N607">
        <v>11</v>
      </c>
      <c r="O607" t="b">
        <v>0</v>
      </c>
      <c r="P607">
        <v>5</v>
      </c>
      <c r="Q607">
        <v>3</v>
      </c>
      <c r="R607">
        <v>0.18</v>
      </c>
    </row>
    <row r="608" spans="1:18" x14ac:dyDescent="0.25">
      <c r="A608">
        <v>606</v>
      </c>
      <c r="B608">
        <v>607</v>
      </c>
      <c r="C608">
        <v>0.21210000000000001</v>
      </c>
      <c r="D608">
        <v>0.93</v>
      </c>
      <c r="E608">
        <v>0.1045</v>
      </c>
      <c r="F608">
        <v>1</v>
      </c>
      <c r="G608">
        <v>28</v>
      </c>
      <c r="H608">
        <v>29</v>
      </c>
      <c r="I608">
        <v>607</v>
      </c>
      <c r="J608" s="1">
        <v>40571</v>
      </c>
      <c r="K608">
        <v>1</v>
      </c>
      <c r="L608">
        <v>0</v>
      </c>
      <c r="M608">
        <v>1</v>
      </c>
      <c r="N608">
        <v>12</v>
      </c>
      <c r="O608" t="b">
        <v>0</v>
      </c>
      <c r="P608">
        <v>5</v>
      </c>
      <c r="Q608">
        <v>3</v>
      </c>
      <c r="R608">
        <v>0.18</v>
      </c>
    </row>
    <row r="609" spans="1:18" x14ac:dyDescent="0.25">
      <c r="A609">
        <v>607</v>
      </c>
      <c r="B609">
        <v>608</v>
      </c>
      <c r="C609">
        <v>0.21210000000000001</v>
      </c>
      <c r="D609">
        <v>0.93</v>
      </c>
      <c r="E609">
        <v>0.1045</v>
      </c>
      <c r="F609">
        <v>0</v>
      </c>
      <c r="G609">
        <v>31</v>
      </c>
      <c r="H609">
        <v>31</v>
      </c>
      <c r="I609">
        <v>608</v>
      </c>
      <c r="J609" s="1">
        <v>40571</v>
      </c>
      <c r="K609">
        <v>1</v>
      </c>
      <c r="L609">
        <v>0</v>
      </c>
      <c r="M609">
        <v>1</v>
      </c>
      <c r="N609">
        <v>13</v>
      </c>
      <c r="O609" t="b">
        <v>0</v>
      </c>
      <c r="P609">
        <v>5</v>
      </c>
      <c r="Q609">
        <v>3</v>
      </c>
      <c r="R609">
        <v>0.18</v>
      </c>
    </row>
    <row r="610" spans="1:18" x14ac:dyDescent="0.25">
      <c r="A610">
        <v>608</v>
      </c>
      <c r="B610">
        <v>609</v>
      </c>
      <c r="C610">
        <v>0.2727</v>
      </c>
      <c r="D610">
        <v>0.8</v>
      </c>
      <c r="E610">
        <v>0</v>
      </c>
      <c r="F610">
        <v>2</v>
      </c>
      <c r="G610">
        <v>36</v>
      </c>
      <c r="H610">
        <v>38</v>
      </c>
      <c r="I610">
        <v>609</v>
      </c>
      <c r="J610" s="1">
        <v>40571</v>
      </c>
      <c r="K610">
        <v>1</v>
      </c>
      <c r="L610">
        <v>0</v>
      </c>
      <c r="M610">
        <v>1</v>
      </c>
      <c r="N610">
        <v>14</v>
      </c>
      <c r="O610" t="b">
        <v>0</v>
      </c>
      <c r="P610">
        <v>5</v>
      </c>
      <c r="Q610">
        <v>3</v>
      </c>
      <c r="R610">
        <v>0.22</v>
      </c>
    </row>
    <row r="611" spans="1:18" x14ac:dyDescent="0.25">
      <c r="A611">
        <v>609</v>
      </c>
      <c r="B611">
        <v>610</v>
      </c>
      <c r="C611">
        <v>0.2576</v>
      </c>
      <c r="D611">
        <v>0.86</v>
      </c>
      <c r="E611">
        <v>0</v>
      </c>
      <c r="F611">
        <v>1</v>
      </c>
      <c r="G611">
        <v>40</v>
      </c>
      <c r="H611">
        <v>41</v>
      </c>
      <c r="I611">
        <v>610</v>
      </c>
      <c r="J611" s="1">
        <v>40571</v>
      </c>
      <c r="K611">
        <v>1</v>
      </c>
      <c r="L611">
        <v>0</v>
      </c>
      <c r="M611">
        <v>1</v>
      </c>
      <c r="N611">
        <v>15</v>
      </c>
      <c r="O611" t="b">
        <v>0</v>
      </c>
      <c r="P611">
        <v>5</v>
      </c>
      <c r="Q611">
        <v>2</v>
      </c>
      <c r="R611">
        <v>0.2</v>
      </c>
    </row>
    <row r="612" spans="1:18" x14ac:dyDescent="0.25">
      <c r="J612"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E96E-6126-48C3-B836-024B7D6F47E4}">
  <dimension ref="A1:R4803"/>
  <sheetViews>
    <sheetView workbookViewId="0"/>
  </sheetViews>
  <sheetFormatPr defaultRowHeight="15" x14ac:dyDescent="0.25"/>
  <cols>
    <col min="1" max="1" width="9.42578125" bestFit="1" customWidth="1"/>
    <col min="2" max="2" width="9.7109375" bestFit="1" customWidth="1"/>
    <col min="3" max="3" width="9.42578125" bestFit="1" customWidth="1"/>
    <col min="4" max="4" width="5" bestFit="1" customWidth="1"/>
    <col min="5" max="5" width="8" bestFit="1" customWidth="1"/>
    <col min="6" max="6" width="5.140625" bestFit="1" customWidth="1"/>
    <col min="7" max="7" width="9.85546875" bestFit="1" customWidth="1"/>
    <col min="8" max="8" width="11.28515625" bestFit="1" customWidth="1"/>
    <col min="9" max="9" width="12.85546875" bestFit="1"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 min="17" max="17" width="14" bestFit="1" customWidth="1"/>
    <col min="18" max="18" width="11.42578125" bestFit="1" customWidth="1"/>
  </cols>
  <sheetData>
    <row r="1" spans="1:18" x14ac:dyDescent="0.25">
      <c r="A1" t="s">
        <v>1</v>
      </c>
      <c r="B1" t="s">
        <v>9</v>
      </c>
      <c r="C1" t="s">
        <v>10</v>
      </c>
      <c r="D1" t="s">
        <v>11</v>
      </c>
      <c r="E1" t="s">
        <v>12</v>
      </c>
      <c r="F1" t="s">
        <v>13</v>
      </c>
      <c r="G1" t="s">
        <v>14</v>
      </c>
      <c r="H1" t="s">
        <v>15</v>
      </c>
      <c r="I1" t="s">
        <v>16</v>
      </c>
      <c r="J1" t="s">
        <v>17</v>
      </c>
      <c r="K1" t="s">
        <v>2</v>
      </c>
      <c r="L1" t="s">
        <v>3</v>
      </c>
      <c r="M1" t="s">
        <v>4</v>
      </c>
      <c r="N1" t="s">
        <v>5</v>
      </c>
      <c r="O1" t="s">
        <v>6</v>
      </c>
      <c r="P1" t="s">
        <v>7</v>
      </c>
      <c r="Q1" t="s">
        <v>0</v>
      </c>
      <c r="R1" t="s">
        <v>8</v>
      </c>
    </row>
    <row r="2" spans="1:18" x14ac:dyDescent="0.25">
      <c r="A2">
        <v>611</v>
      </c>
      <c r="B2" s="1">
        <v>40571</v>
      </c>
      <c r="C2">
        <v>1</v>
      </c>
      <c r="D2">
        <v>0</v>
      </c>
      <c r="E2">
        <v>1</v>
      </c>
      <c r="F2">
        <v>16</v>
      </c>
      <c r="G2" t="b">
        <v>0</v>
      </c>
      <c r="H2">
        <v>5</v>
      </c>
      <c r="I2">
        <v>1</v>
      </c>
      <c r="J2">
        <v>0.22</v>
      </c>
      <c r="K2">
        <v>0.2727</v>
      </c>
      <c r="L2">
        <v>0.8</v>
      </c>
      <c r="M2">
        <v>0</v>
      </c>
      <c r="N2">
        <v>10</v>
      </c>
      <c r="O2">
        <v>70</v>
      </c>
      <c r="P2">
        <v>80</v>
      </c>
    </row>
    <row r="3" spans="1:18" x14ac:dyDescent="0.25">
      <c r="A3">
        <v>612</v>
      </c>
      <c r="B3" s="1">
        <v>40571</v>
      </c>
      <c r="C3">
        <v>1</v>
      </c>
      <c r="D3">
        <v>0</v>
      </c>
      <c r="E3">
        <v>1</v>
      </c>
      <c r="F3">
        <v>17</v>
      </c>
      <c r="G3" t="b">
        <v>0</v>
      </c>
      <c r="H3">
        <v>5</v>
      </c>
      <c r="I3">
        <v>1</v>
      </c>
      <c r="J3">
        <v>0.24</v>
      </c>
      <c r="K3">
        <v>0.2424</v>
      </c>
      <c r="L3">
        <v>0.75</v>
      </c>
      <c r="M3">
        <v>0.1343</v>
      </c>
      <c r="N3">
        <v>2</v>
      </c>
      <c r="O3">
        <v>147</v>
      </c>
      <c r="P3">
        <v>149</v>
      </c>
    </row>
    <row r="4" spans="1:18" x14ac:dyDescent="0.25">
      <c r="A4">
        <v>613</v>
      </c>
      <c r="B4" s="1">
        <v>40571</v>
      </c>
      <c r="C4">
        <v>1</v>
      </c>
      <c r="D4">
        <v>0</v>
      </c>
      <c r="E4">
        <v>1</v>
      </c>
      <c r="F4">
        <v>18</v>
      </c>
      <c r="G4" t="b">
        <v>0</v>
      </c>
      <c r="H4">
        <v>5</v>
      </c>
      <c r="I4">
        <v>1</v>
      </c>
      <c r="J4">
        <v>0.24</v>
      </c>
      <c r="K4">
        <v>0.2273</v>
      </c>
      <c r="L4">
        <v>0.75</v>
      </c>
      <c r="M4">
        <v>0.19400000000000001</v>
      </c>
      <c r="N4">
        <v>2</v>
      </c>
      <c r="O4">
        <v>107</v>
      </c>
      <c r="P4">
        <v>109</v>
      </c>
    </row>
    <row r="5" spans="1:18" x14ac:dyDescent="0.25">
      <c r="A5">
        <v>614</v>
      </c>
      <c r="B5" s="1">
        <v>40571</v>
      </c>
      <c r="C5">
        <v>1</v>
      </c>
      <c r="D5">
        <v>0</v>
      </c>
      <c r="E5">
        <v>1</v>
      </c>
      <c r="F5">
        <v>19</v>
      </c>
      <c r="G5" t="b">
        <v>0</v>
      </c>
      <c r="H5">
        <v>5</v>
      </c>
      <c r="I5">
        <v>2</v>
      </c>
      <c r="J5">
        <v>0.24</v>
      </c>
      <c r="K5">
        <v>0.2424</v>
      </c>
      <c r="L5">
        <v>0.75</v>
      </c>
      <c r="M5">
        <v>0.1343</v>
      </c>
      <c r="N5">
        <v>5</v>
      </c>
      <c r="O5">
        <v>84</v>
      </c>
      <c r="P5">
        <v>89</v>
      </c>
    </row>
    <row r="6" spans="1:18" x14ac:dyDescent="0.25">
      <c r="A6">
        <v>615</v>
      </c>
      <c r="B6" s="1">
        <v>40571</v>
      </c>
      <c r="C6">
        <v>1</v>
      </c>
      <c r="D6">
        <v>0</v>
      </c>
      <c r="E6">
        <v>1</v>
      </c>
      <c r="F6">
        <v>20</v>
      </c>
      <c r="G6" t="b">
        <v>0</v>
      </c>
      <c r="H6">
        <v>5</v>
      </c>
      <c r="I6">
        <v>2</v>
      </c>
      <c r="J6">
        <v>0.24</v>
      </c>
      <c r="K6">
        <v>0.2273</v>
      </c>
      <c r="L6">
        <v>0.7</v>
      </c>
      <c r="M6">
        <v>0.19400000000000001</v>
      </c>
      <c r="N6">
        <v>1</v>
      </c>
      <c r="O6">
        <v>61</v>
      </c>
      <c r="P6">
        <v>62</v>
      </c>
    </row>
    <row r="7" spans="1:18" x14ac:dyDescent="0.25">
      <c r="A7">
        <v>616</v>
      </c>
      <c r="B7" s="1">
        <v>40571</v>
      </c>
      <c r="C7">
        <v>1</v>
      </c>
      <c r="D7">
        <v>0</v>
      </c>
      <c r="E7">
        <v>1</v>
      </c>
      <c r="F7">
        <v>21</v>
      </c>
      <c r="G7" t="b">
        <v>0</v>
      </c>
      <c r="H7">
        <v>5</v>
      </c>
      <c r="I7">
        <v>2</v>
      </c>
      <c r="J7">
        <v>0.22</v>
      </c>
      <c r="K7">
        <v>0.2273</v>
      </c>
      <c r="L7">
        <v>0.75</v>
      </c>
      <c r="M7">
        <v>0.1343</v>
      </c>
      <c r="N7">
        <v>1</v>
      </c>
      <c r="O7">
        <v>57</v>
      </c>
      <c r="P7">
        <v>58</v>
      </c>
    </row>
    <row r="8" spans="1:18" x14ac:dyDescent="0.25">
      <c r="A8">
        <v>617</v>
      </c>
      <c r="B8" s="1">
        <v>40571</v>
      </c>
      <c r="C8">
        <v>1</v>
      </c>
      <c r="D8">
        <v>0</v>
      </c>
      <c r="E8">
        <v>1</v>
      </c>
      <c r="F8">
        <v>22</v>
      </c>
      <c r="G8" t="b">
        <v>0</v>
      </c>
      <c r="H8">
        <v>5</v>
      </c>
      <c r="I8">
        <v>1</v>
      </c>
      <c r="J8">
        <v>0.24</v>
      </c>
      <c r="K8">
        <v>0.21210000000000001</v>
      </c>
      <c r="L8">
        <v>0.65</v>
      </c>
      <c r="M8">
        <v>0.35820000000000002</v>
      </c>
      <c r="N8">
        <v>0</v>
      </c>
      <c r="O8">
        <v>26</v>
      </c>
      <c r="P8">
        <v>26</v>
      </c>
    </row>
    <row r="9" spans="1:18" x14ac:dyDescent="0.25">
      <c r="A9">
        <v>618</v>
      </c>
      <c r="B9" s="1">
        <v>40571</v>
      </c>
      <c r="C9">
        <v>1</v>
      </c>
      <c r="D9">
        <v>0</v>
      </c>
      <c r="E9">
        <v>1</v>
      </c>
      <c r="F9">
        <v>23</v>
      </c>
      <c r="G9" t="b">
        <v>0</v>
      </c>
      <c r="H9">
        <v>5</v>
      </c>
      <c r="I9">
        <v>1</v>
      </c>
      <c r="J9">
        <v>0.24</v>
      </c>
      <c r="K9">
        <v>0.2273</v>
      </c>
      <c r="L9">
        <v>0.6</v>
      </c>
      <c r="M9">
        <v>0.22389999999999999</v>
      </c>
      <c r="N9">
        <v>1</v>
      </c>
      <c r="O9">
        <v>22</v>
      </c>
      <c r="P9">
        <v>23</v>
      </c>
    </row>
    <row r="10" spans="1:18" x14ac:dyDescent="0.25">
      <c r="A10">
        <v>619</v>
      </c>
      <c r="B10" s="1">
        <v>40572</v>
      </c>
      <c r="C10">
        <v>1</v>
      </c>
      <c r="D10">
        <v>0</v>
      </c>
      <c r="E10">
        <v>1</v>
      </c>
      <c r="F10">
        <v>0</v>
      </c>
      <c r="G10" t="b">
        <v>0</v>
      </c>
      <c r="H10">
        <v>6</v>
      </c>
      <c r="I10">
        <v>1</v>
      </c>
      <c r="J10">
        <v>0.22</v>
      </c>
      <c r="K10">
        <v>0.19700000000000001</v>
      </c>
      <c r="L10">
        <v>0.64</v>
      </c>
      <c r="M10">
        <v>0.35820000000000002</v>
      </c>
      <c r="N10">
        <v>2</v>
      </c>
      <c r="O10">
        <v>26</v>
      </c>
      <c r="P10">
        <v>28</v>
      </c>
    </row>
    <row r="11" spans="1:18" x14ac:dyDescent="0.25">
      <c r="A11">
        <v>620</v>
      </c>
      <c r="B11" s="1">
        <v>40572</v>
      </c>
      <c r="C11">
        <v>1</v>
      </c>
      <c r="D11">
        <v>0</v>
      </c>
      <c r="E11">
        <v>1</v>
      </c>
      <c r="F11">
        <v>1</v>
      </c>
      <c r="G11" t="b">
        <v>0</v>
      </c>
      <c r="H11">
        <v>6</v>
      </c>
      <c r="I11">
        <v>1</v>
      </c>
      <c r="J11">
        <v>0.22</v>
      </c>
      <c r="K11">
        <v>0.2273</v>
      </c>
      <c r="L11">
        <v>0.64</v>
      </c>
      <c r="M11">
        <v>0.19400000000000001</v>
      </c>
      <c r="N11">
        <v>0</v>
      </c>
      <c r="O11">
        <v>20</v>
      </c>
      <c r="P11">
        <v>20</v>
      </c>
    </row>
    <row r="12" spans="1:18" x14ac:dyDescent="0.25">
      <c r="A12">
        <v>621</v>
      </c>
      <c r="B12" s="1">
        <v>40572</v>
      </c>
      <c r="C12">
        <v>1</v>
      </c>
      <c r="D12">
        <v>0</v>
      </c>
      <c r="E12">
        <v>1</v>
      </c>
      <c r="F12">
        <v>2</v>
      </c>
      <c r="G12" t="b">
        <v>0</v>
      </c>
      <c r="H12">
        <v>6</v>
      </c>
      <c r="I12">
        <v>1</v>
      </c>
      <c r="J12">
        <v>0.22</v>
      </c>
      <c r="K12">
        <v>0.2273</v>
      </c>
      <c r="L12">
        <v>0.64</v>
      </c>
      <c r="M12">
        <v>0.16420000000000001</v>
      </c>
      <c r="N12">
        <v>0</v>
      </c>
      <c r="O12">
        <v>15</v>
      </c>
      <c r="P12">
        <v>15</v>
      </c>
    </row>
    <row r="13" spans="1:18" x14ac:dyDescent="0.25">
      <c r="A13">
        <v>622</v>
      </c>
      <c r="B13" s="1">
        <v>40572</v>
      </c>
      <c r="C13">
        <v>1</v>
      </c>
      <c r="D13">
        <v>0</v>
      </c>
      <c r="E13">
        <v>1</v>
      </c>
      <c r="F13">
        <v>3</v>
      </c>
      <c r="G13" t="b">
        <v>0</v>
      </c>
      <c r="H13">
        <v>6</v>
      </c>
      <c r="I13">
        <v>1</v>
      </c>
      <c r="J13">
        <v>0.2</v>
      </c>
      <c r="K13">
        <v>0.21210000000000001</v>
      </c>
      <c r="L13">
        <v>0.64</v>
      </c>
      <c r="M13">
        <v>0.1343</v>
      </c>
      <c r="N13">
        <v>3</v>
      </c>
      <c r="O13">
        <v>5</v>
      </c>
      <c r="P13">
        <v>8</v>
      </c>
    </row>
    <row r="14" spans="1:18" x14ac:dyDescent="0.25">
      <c r="A14">
        <v>623</v>
      </c>
      <c r="B14" s="1">
        <v>40572</v>
      </c>
      <c r="C14">
        <v>1</v>
      </c>
      <c r="D14">
        <v>0</v>
      </c>
      <c r="E14">
        <v>1</v>
      </c>
      <c r="F14">
        <v>4</v>
      </c>
      <c r="G14" t="b">
        <v>0</v>
      </c>
      <c r="H14">
        <v>6</v>
      </c>
      <c r="I14">
        <v>1</v>
      </c>
      <c r="J14">
        <v>0.16</v>
      </c>
      <c r="K14">
        <v>0.18179999999999999</v>
      </c>
      <c r="L14">
        <v>0.69</v>
      </c>
      <c r="M14">
        <v>0.1045</v>
      </c>
      <c r="N14">
        <v>1</v>
      </c>
      <c r="O14">
        <v>2</v>
      </c>
      <c r="P14">
        <v>3</v>
      </c>
    </row>
    <row r="15" spans="1:18" x14ac:dyDescent="0.25">
      <c r="A15">
        <v>624</v>
      </c>
      <c r="B15" s="1">
        <v>40572</v>
      </c>
      <c r="C15">
        <v>1</v>
      </c>
      <c r="D15">
        <v>0</v>
      </c>
      <c r="E15">
        <v>1</v>
      </c>
      <c r="F15">
        <v>6</v>
      </c>
      <c r="G15" t="b">
        <v>0</v>
      </c>
      <c r="H15">
        <v>6</v>
      </c>
      <c r="I15">
        <v>1</v>
      </c>
      <c r="J15">
        <v>0.16</v>
      </c>
      <c r="K15">
        <v>0.18179999999999999</v>
      </c>
      <c r="L15">
        <v>0.64</v>
      </c>
      <c r="M15">
        <v>0.1343</v>
      </c>
      <c r="N15">
        <v>0</v>
      </c>
      <c r="O15">
        <v>2</v>
      </c>
      <c r="P15">
        <v>2</v>
      </c>
    </row>
    <row r="16" spans="1:18" x14ac:dyDescent="0.25">
      <c r="A16">
        <v>625</v>
      </c>
      <c r="B16" s="1">
        <v>40572</v>
      </c>
      <c r="C16">
        <v>1</v>
      </c>
      <c r="D16">
        <v>0</v>
      </c>
      <c r="E16">
        <v>1</v>
      </c>
      <c r="F16">
        <v>7</v>
      </c>
      <c r="G16" t="b">
        <v>0</v>
      </c>
      <c r="H16">
        <v>6</v>
      </c>
      <c r="I16">
        <v>1</v>
      </c>
      <c r="J16">
        <v>0.16</v>
      </c>
      <c r="K16">
        <v>0.18179999999999999</v>
      </c>
      <c r="L16">
        <v>0.59</v>
      </c>
      <c r="M16">
        <v>0.1045</v>
      </c>
      <c r="N16">
        <v>1</v>
      </c>
      <c r="O16">
        <v>4</v>
      </c>
      <c r="P16">
        <v>5</v>
      </c>
    </row>
    <row r="17" spans="1:16" x14ac:dyDescent="0.25">
      <c r="A17">
        <v>626</v>
      </c>
      <c r="B17" s="1">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5">
      <c r="A18">
        <v>627</v>
      </c>
      <c r="B18" s="1">
        <v>40572</v>
      </c>
      <c r="C18">
        <v>1</v>
      </c>
      <c r="D18">
        <v>0</v>
      </c>
      <c r="E18">
        <v>1</v>
      </c>
      <c r="F18">
        <v>9</v>
      </c>
      <c r="G18" t="b">
        <v>0</v>
      </c>
      <c r="H18">
        <v>6</v>
      </c>
      <c r="I18">
        <v>1</v>
      </c>
      <c r="J18">
        <v>0.18</v>
      </c>
      <c r="K18">
        <v>0.21210000000000001</v>
      </c>
      <c r="L18">
        <v>0.59</v>
      </c>
      <c r="M18">
        <v>8.9599999999999999E-2</v>
      </c>
      <c r="N18">
        <v>0</v>
      </c>
      <c r="O18">
        <v>34</v>
      </c>
      <c r="P18">
        <v>34</v>
      </c>
    </row>
    <row r="19" spans="1:16" x14ac:dyDescent="0.25">
      <c r="A19">
        <v>628</v>
      </c>
      <c r="B19" s="1">
        <v>40572</v>
      </c>
      <c r="C19">
        <v>1</v>
      </c>
      <c r="D19">
        <v>0</v>
      </c>
      <c r="E19">
        <v>1</v>
      </c>
      <c r="F19">
        <v>10</v>
      </c>
      <c r="G19" t="b">
        <v>0</v>
      </c>
      <c r="H19">
        <v>6</v>
      </c>
      <c r="I19">
        <v>2</v>
      </c>
      <c r="J19">
        <v>0.18</v>
      </c>
      <c r="K19">
        <v>0.21210000000000001</v>
      </c>
      <c r="L19">
        <v>0.64</v>
      </c>
      <c r="M19">
        <v>0.1045</v>
      </c>
      <c r="N19">
        <v>4</v>
      </c>
      <c r="O19">
        <v>51</v>
      </c>
      <c r="P19">
        <v>55</v>
      </c>
    </row>
    <row r="20" spans="1:16" x14ac:dyDescent="0.25">
      <c r="A20">
        <v>629</v>
      </c>
      <c r="B20" s="1">
        <v>40572</v>
      </c>
      <c r="C20">
        <v>1</v>
      </c>
      <c r="D20">
        <v>0</v>
      </c>
      <c r="E20">
        <v>1</v>
      </c>
      <c r="F20">
        <v>11</v>
      </c>
      <c r="G20" t="b">
        <v>0</v>
      </c>
      <c r="H20">
        <v>6</v>
      </c>
      <c r="I20">
        <v>2</v>
      </c>
      <c r="J20">
        <v>0.18</v>
      </c>
      <c r="K20">
        <v>0.19700000000000001</v>
      </c>
      <c r="L20">
        <v>0.64</v>
      </c>
      <c r="M20">
        <v>0.1343</v>
      </c>
      <c r="N20">
        <v>4</v>
      </c>
      <c r="O20">
        <v>60</v>
      </c>
      <c r="P20">
        <v>64</v>
      </c>
    </row>
    <row r="21" spans="1:16" x14ac:dyDescent="0.25">
      <c r="A21">
        <v>630</v>
      </c>
      <c r="B21" s="1">
        <v>40572</v>
      </c>
      <c r="C21">
        <v>1</v>
      </c>
      <c r="D21">
        <v>0</v>
      </c>
      <c r="E21">
        <v>1</v>
      </c>
      <c r="F21">
        <v>12</v>
      </c>
      <c r="G21" t="b">
        <v>0</v>
      </c>
      <c r="H21">
        <v>6</v>
      </c>
      <c r="I21">
        <v>2</v>
      </c>
      <c r="J21">
        <v>0.2</v>
      </c>
      <c r="K21">
        <v>0.19700000000000001</v>
      </c>
      <c r="L21">
        <v>0.59</v>
      </c>
      <c r="M21">
        <v>0.19400000000000001</v>
      </c>
      <c r="N21">
        <v>12</v>
      </c>
      <c r="O21">
        <v>66</v>
      </c>
      <c r="P21">
        <v>78</v>
      </c>
    </row>
    <row r="22" spans="1:16" x14ac:dyDescent="0.25">
      <c r="A22">
        <v>631</v>
      </c>
      <c r="B22" s="1">
        <v>40572</v>
      </c>
      <c r="C22">
        <v>1</v>
      </c>
      <c r="D22">
        <v>0</v>
      </c>
      <c r="E22">
        <v>1</v>
      </c>
      <c r="F22">
        <v>13</v>
      </c>
      <c r="G22" t="b">
        <v>0</v>
      </c>
      <c r="H22">
        <v>6</v>
      </c>
      <c r="I22">
        <v>2</v>
      </c>
      <c r="J22">
        <v>0.22</v>
      </c>
      <c r="K22">
        <v>0.2273</v>
      </c>
      <c r="L22">
        <v>0.55000000000000004</v>
      </c>
      <c r="M22">
        <v>0.16420000000000001</v>
      </c>
      <c r="N22">
        <v>9</v>
      </c>
      <c r="O22">
        <v>56</v>
      </c>
      <c r="P22">
        <v>65</v>
      </c>
    </row>
    <row r="23" spans="1:16" x14ac:dyDescent="0.25">
      <c r="A23">
        <v>632</v>
      </c>
      <c r="B23" s="1">
        <v>40572</v>
      </c>
      <c r="C23">
        <v>1</v>
      </c>
      <c r="D23">
        <v>0</v>
      </c>
      <c r="E23">
        <v>1</v>
      </c>
      <c r="F23">
        <v>14</v>
      </c>
      <c r="G23" t="b">
        <v>0</v>
      </c>
      <c r="H23">
        <v>6</v>
      </c>
      <c r="I23">
        <v>2</v>
      </c>
      <c r="J23">
        <v>0.22</v>
      </c>
      <c r="K23">
        <v>0.2273</v>
      </c>
      <c r="L23">
        <v>0.6</v>
      </c>
      <c r="M23">
        <v>0.1343</v>
      </c>
      <c r="N23">
        <v>10</v>
      </c>
      <c r="O23">
        <v>89</v>
      </c>
      <c r="P23">
        <v>99</v>
      </c>
    </row>
    <row r="24" spans="1:16" x14ac:dyDescent="0.25">
      <c r="A24">
        <v>633</v>
      </c>
      <c r="B24" s="1">
        <v>40572</v>
      </c>
      <c r="C24">
        <v>1</v>
      </c>
      <c r="D24">
        <v>0</v>
      </c>
      <c r="E24">
        <v>1</v>
      </c>
      <c r="F24">
        <v>15</v>
      </c>
      <c r="G24" t="b">
        <v>0</v>
      </c>
      <c r="H24">
        <v>6</v>
      </c>
      <c r="I24">
        <v>1</v>
      </c>
      <c r="J24">
        <v>0.22</v>
      </c>
      <c r="K24">
        <v>0.21210000000000001</v>
      </c>
      <c r="L24">
        <v>0.69</v>
      </c>
      <c r="M24">
        <v>0.25369999999999998</v>
      </c>
      <c r="N24">
        <v>22</v>
      </c>
      <c r="O24">
        <v>98</v>
      </c>
      <c r="P24">
        <v>120</v>
      </c>
    </row>
    <row r="25" spans="1:16" x14ac:dyDescent="0.25">
      <c r="A25">
        <v>634</v>
      </c>
      <c r="B25" s="1">
        <v>40572</v>
      </c>
      <c r="C25">
        <v>1</v>
      </c>
      <c r="D25">
        <v>0</v>
      </c>
      <c r="E25">
        <v>1</v>
      </c>
      <c r="F25">
        <v>16</v>
      </c>
      <c r="G25" t="b">
        <v>0</v>
      </c>
      <c r="H25">
        <v>6</v>
      </c>
      <c r="I25">
        <v>1</v>
      </c>
      <c r="J25">
        <v>0.24</v>
      </c>
      <c r="K25">
        <v>0.2424</v>
      </c>
      <c r="L25">
        <v>0.6</v>
      </c>
      <c r="M25">
        <v>0.16420000000000001</v>
      </c>
      <c r="N25">
        <v>19</v>
      </c>
      <c r="O25">
        <v>88</v>
      </c>
      <c r="P25">
        <v>107</v>
      </c>
    </row>
    <row r="26" spans="1:16" x14ac:dyDescent="0.25">
      <c r="A26">
        <v>635</v>
      </c>
      <c r="B26" s="1">
        <v>40572</v>
      </c>
      <c r="C26">
        <v>1</v>
      </c>
      <c r="D26">
        <v>0</v>
      </c>
      <c r="E26">
        <v>1</v>
      </c>
      <c r="F26">
        <v>17</v>
      </c>
      <c r="G26" t="b">
        <v>0</v>
      </c>
      <c r="H26">
        <v>6</v>
      </c>
      <c r="I26">
        <v>1</v>
      </c>
      <c r="J26">
        <v>0.24</v>
      </c>
      <c r="K26">
        <v>0.28789999999999999</v>
      </c>
      <c r="L26">
        <v>0.6</v>
      </c>
      <c r="M26">
        <v>0</v>
      </c>
      <c r="N26">
        <v>9</v>
      </c>
      <c r="O26">
        <v>82</v>
      </c>
      <c r="P26">
        <v>91</v>
      </c>
    </row>
    <row r="27" spans="1:16" x14ac:dyDescent="0.25">
      <c r="A27">
        <v>636</v>
      </c>
      <c r="B27" s="1">
        <v>40572</v>
      </c>
      <c r="C27">
        <v>1</v>
      </c>
      <c r="D27">
        <v>0</v>
      </c>
      <c r="E27">
        <v>1</v>
      </c>
      <c r="F27">
        <v>18</v>
      </c>
      <c r="G27" t="b">
        <v>0</v>
      </c>
      <c r="H27">
        <v>6</v>
      </c>
      <c r="I27">
        <v>1</v>
      </c>
      <c r="J27">
        <v>0.22</v>
      </c>
      <c r="K27">
        <v>0.2273</v>
      </c>
      <c r="L27">
        <v>0.69</v>
      </c>
      <c r="M27">
        <v>0.1343</v>
      </c>
      <c r="N27">
        <v>9</v>
      </c>
      <c r="O27">
        <v>59</v>
      </c>
      <c r="P27">
        <v>68</v>
      </c>
    </row>
    <row r="28" spans="1:16" x14ac:dyDescent="0.25">
      <c r="A28">
        <v>637</v>
      </c>
      <c r="B28" s="1">
        <v>40572</v>
      </c>
      <c r="C28">
        <v>1</v>
      </c>
      <c r="D28">
        <v>0</v>
      </c>
      <c r="E28">
        <v>1</v>
      </c>
      <c r="F28">
        <v>19</v>
      </c>
      <c r="G28" t="b">
        <v>0</v>
      </c>
      <c r="H28">
        <v>6</v>
      </c>
      <c r="I28">
        <v>2</v>
      </c>
      <c r="J28">
        <v>0.22</v>
      </c>
      <c r="K28">
        <v>0.21210000000000001</v>
      </c>
      <c r="L28">
        <v>0.69</v>
      </c>
      <c r="M28">
        <v>0.25369999999999998</v>
      </c>
      <c r="N28">
        <v>6</v>
      </c>
      <c r="O28">
        <v>52</v>
      </c>
      <c r="P28">
        <v>58</v>
      </c>
    </row>
    <row r="29" spans="1:16" x14ac:dyDescent="0.25">
      <c r="A29">
        <v>638</v>
      </c>
      <c r="B29" s="1">
        <v>40572</v>
      </c>
      <c r="C29">
        <v>1</v>
      </c>
      <c r="D29">
        <v>0</v>
      </c>
      <c r="E29">
        <v>1</v>
      </c>
      <c r="F29">
        <v>20</v>
      </c>
      <c r="G29" t="b">
        <v>0</v>
      </c>
      <c r="H29">
        <v>6</v>
      </c>
      <c r="I29">
        <v>1</v>
      </c>
      <c r="J29">
        <v>0.18</v>
      </c>
      <c r="K29">
        <v>0.21210000000000001</v>
      </c>
      <c r="L29">
        <v>0.74</v>
      </c>
      <c r="M29">
        <v>8.9599999999999999E-2</v>
      </c>
      <c r="N29">
        <v>1</v>
      </c>
      <c r="O29">
        <v>42</v>
      </c>
      <c r="P29">
        <v>43</v>
      </c>
    </row>
    <row r="30" spans="1:16" x14ac:dyDescent="0.25">
      <c r="A30">
        <v>639</v>
      </c>
      <c r="B30" s="1">
        <v>40572</v>
      </c>
      <c r="C30">
        <v>1</v>
      </c>
      <c r="D30">
        <v>0</v>
      </c>
      <c r="E30">
        <v>1</v>
      </c>
      <c r="F30">
        <v>21</v>
      </c>
      <c r="G30" t="b">
        <v>0</v>
      </c>
      <c r="H30">
        <v>6</v>
      </c>
      <c r="I30">
        <v>1</v>
      </c>
      <c r="J30">
        <v>0.18</v>
      </c>
      <c r="K30">
        <v>0.21210000000000001</v>
      </c>
      <c r="L30">
        <v>0.74</v>
      </c>
      <c r="M30">
        <v>8.9599999999999999E-2</v>
      </c>
      <c r="N30">
        <v>1</v>
      </c>
      <c r="O30">
        <v>35</v>
      </c>
      <c r="P30">
        <v>36</v>
      </c>
    </row>
    <row r="31" spans="1:16" x14ac:dyDescent="0.25">
      <c r="A31">
        <v>640</v>
      </c>
      <c r="B31" s="1">
        <v>40572</v>
      </c>
      <c r="C31">
        <v>1</v>
      </c>
      <c r="D31">
        <v>0</v>
      </c>
      <c r="E31">
        <v>1</v>
      </c>
      <c r="F31">
        <v>22</v>
      </c>
      <c r="G31" t="b">
        <v>0</v>
      </c>
      <c r="H31">
        <v>6</v>
      </c>
      <c r="I31">
        <v>1</v>
      </c>
      <c r="J31">
        <v>0.16</v>
      </c>
      <c r="K31">
        <v>0.19700000000000001</v>
      </c>
      <c r="L31">
        <v>0.8</v>
      </c>
      <c r="M31">
        <v>8.9599999999999999E-2</v>
      </c>
      <c r="N31">
        <v>4</v>
      </c>
      <c r="O31">
        <v>28</v>
      </c>
      <c r="P31">
        <v>32</v>
      </c>
    </row>
    <row r="32" spans="1:16" x14ac:dyDescent="0.25">
      <c r="A32">
        <v>641</v>
      </c>
      <c r="B32" s="1">
        <v>40572</v>
      </c>
      <c r="C32">
        <v>1</v>
      </c>
      <c r="D32">
        <v>0</v>
      </c>
      <c r="E32">
        <v>1</v>
      </c>
      <c r="F32">
        <v>23</v>
      </c>
      <c r="G32" t="b">
        <v>0</v>
      </c>
      <c r="H32">
        <v>6</v>
      </c>
      <c r="I32">
        <v>1</v>
      </c>
      <c r="J32">
        <v>0.16</v>
      </c>
      <c r="K32">
        <v>0.19700000000000001</v>
      </c>
      <c r="L32">
        <v>0.8</v>
      </c>
      <c r="M32">
        <v>8.9599999999999999E-2</v>
      </c>
      <c r="N32">
        <v>3</v>
      </c>
      <c r="O32">
        <v>30</v>
      </c>
      <c r="P32">
        <v>33</v>
      </c>
    </row>
    <row r="33" spans="1:16" x14ac:dyDescent="0.25">
      <c r="A33">
        <v>642</v>
      </c>
      <c r="B33" s="1">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1">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1">
        <v>40573</v>
      </c>
      <c r="C35">
        <v>1</v>
      </c>
      <c r="D35">
        <v>0</v>
      </c>
      <c r="E35">
        <v>1</v>
      </c>
      <c r="F35">
        <v>2</v>
      </c>
      <c r="G35" t="b">
        <v>0</v>
      </c>
      <c r="H35">
        <v>0</v>
      </c>
      <c r="I35">
        <v>1</v>
      </c>
      <c r="J35">
        <v>0.16</v>
      </c>
      <c r="K35">
        <v>0.2273</v>
      </c>
      <c r="L35">
        <v>0.8</v>
      </c>
      <c r="M35">
        <v>0</v>
      </c>
      <c r="N35">
        <v>1</v>
      </c>
      <c r="O35">
        <v>10</v>
      </c>
      <c r="P35">
        <v>11</v>
      </c>
    </row>
    <row r="36" spans="1:16" x14ac:dyDescent="0.25">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1">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1">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1">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1">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1">
        <v>40573</v>
      </c>
      <c r="C41">
        <v>1</v>
      </c>
      <c r="D41">
        <v>0</v>
      </c>
      <c r="E41">
        <v>1</v>
      </c>
      <c r="F41">
        <v>9</v>
      </c>
      <c r="G41" t="b">
        <v>0</v>
      </c>
      <c r="H41">
        <v>0</v>
      </c>
      <c r="I41">
        <v>2</v>
      </c>
      <c r="J41">
        <v>0.16</v>
      </c>
      <c r="K41">
        <v>0.2273</v>
      </c>
      <c r="L41">
        <v>0.8</v>
      </c>
      <c r="M41">
        <v>0</v>
      </c>
      <c r="N41">
        <v>4</v>
      </c>
      <c r="O41">
        <v>34</v>
      </c>
      <c r="P41">
        <v>38</v>
      </c>
    </row>
    <row r="42" spans="1:16" x14ac:dyDescent="0.25">
      <c r="A42">
        <v>651</v>
      </c>
      <c r="B42" s="1">
        <v>40573</v>
      </c>
      <c r="C42">
        <v>1</v>
      </c>
      <c r="D42">
        <v>0</v>
      </c>
      <c r="E42">
        <v>1</v>
      </c>
      <c r="F42">
        <v>10</v>
      </c>
      <c r="G42" t="b">
        <v>0</v>
      </c>
      <c r="H42">
        <v>0</v>
      </c>
      <c r="I42">
        <v>2</v>
      </c>
      <c r="J42">
        <v>0.18</v>
      </c>
      <c r="K42">
        <v>0.2424</v>
      </c>
      <c r="L42">
        <v>0.8</v>
      </c>
      <c r="M42">
        <v>0</v>
      </c>
      <c r="N42">
        <v>7</v>
      </c>
      <c r="O42">
        <v>57</v>
      </c>
      <c r="P42">
        <v>64</v>
      </c>
    </row>
    <row r="43" spans="1:16" x14ac:dyDescent="0.25">
      <c r="A43">
        <v>652</v>
      </c>
      <c r="B43" s="1">
        <v>40573</v>
      </c>
      <c r="C43">
        <v>1</v>
      </c>
      <c r="D43">
        <v>0</v>
      </c>
      <c r="E43">
        <v>1</v>
      </c>
      <c r="F43">
        <v>11</v>
      </c>
      <c r="G43" t="b">
        <v>0</v>
      </c>
      <c r="H43">
        <v>0</v>
      </c>
      <c r="I43">
        <v>1</v>
      </c>
      <c r="J43">
        <v>0.22</v>
      </c>
      <c r="K43">
        <v>0.2727</v>
      </c>
      <c r="L43">
        <v>0.75</v>
      </c>
      <c r="M43">
        <v>0</v>
      </c>
      <c r="N43">
        <v>9</v>
      </c>
      <c r="O43">
        <v>50</v>
      </c>
      <c r="P43">
        <v>59</v>
      </c>
    </row>
    <row r="44" spans="1:16" x14ac:dyDescent="0.25">
      <c r="A44">
        <v>653</v>
      </c>
      <c r="B44" s="1">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1">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1">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1">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1">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1">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1">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1">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1">
        <v>40573</v>
      </c>
      <c r="C52">
        <v>1</v>
      </c>
      <c r="D52">
        <v>0</v>
      </c>
      <c r="E52">
        <v>1</v>
      </c>
      <c r="F52">
        <v>20</v>
      </c>
      <c r="G52" t="b">
        <v>0</v>
      </c>
      <c r="H52">
        <v>0</v>
      </c>
      <c r="I52">
        <v>2</v>
      </c>
      <c r="J52">
        <v>0.26</v>
      </c>
      <c r="K52">
        <v>0.2727</v>
      </c>
      <c r="L52">
        <v>0.65</v>
      </c>
      <c r="M52">
        <v>0.1045</v>
      </c>
      <c r="N52">
        <v>3</v>
      </c>
      <c r="O52">
        <v>30</v>
      </c>
      <c r="P52">
        <v>33</v>
      </c>
    </row>
    <row r="53" spans="1:16" x14ac:dyDescent="0.25">
      <c r="A53">
        <v>662</v>
      </c>
      <c r="B53" s="1">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1">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1">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1">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1">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1">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1">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1">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1">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1">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1">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1">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1">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1">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1">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1">
        <v>40574</v>
      </c>
      <c r="C69">
        <v>1</v>
      </c>
      <c r="D69">
        <v>0</v>
      </c>
      <c r="E69">
        <v>1</v>
      </c>
      <c r="F69">
        <v>13</v>
      </c>
      <c r="G69" t="b">
        <v>0</v>
      </c>
      <c r="H69">
        <v>1</v>
      </c>
      <c r="I69">
        <v>2</v>
      </c>
      <c r="J69">
        <v>0.16</v>
      </c>
      <c r="K69">
        <v>0.2273</v>
      </c>
      <c r="L69">
        <v>0.59</v>
      </c>
      <c r="M69">
        <v>0</v>
      </c>
      <c r="N69">
        <v>2</v>
      </c>
      <c r="O69">
        <v>52</v>
      </c>
      <c r="P69">
        <v>54</v>
      </c>
    </row>
    <row r="70" spans="1:16" x14ac:dyDescent="0.25">
      <c r="A70">
        <v>679</v>
      </c>
      <c r="B70" s="1">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1">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1">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1">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1">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1">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1">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1">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1">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1">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1">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1">
        <v>40575</v>
      </c>
      <c r="C82">
        <v>1</v>
      </c>
      <c r="D82">
        <v>0</v>
      </c>
      <c r="E82">
        <v>2</v>
      </c>
      <c r="F82">
        <v>2</v>
      </c>
      <c r="G82" t="b">
        <v>0</v>
      </c>
      <c r="H82">
        <v>2</v>
      </c>
      <c r="I82">
        <v>2</v>
      </c>
      <c r="J82">
        <v>0.16</v>
      </c>
      <c r="K82">
        <v>0.2273</v>
      </c>
      <c r="L82">
        <v>0.69</v>
      </c>
      <c r="M82">
        <v>0</v>
      </c>
      <c r="N82">
        <v>0</v>
      </c>
      <c r="O82">
        <v>2</v>
      </c>
      <c r="P82">
        <v>2</v>
      </c>
    </row>
    <row r="83" spans="1:16" x14ac:dyDescent="0.25">
      <c r="A83">
        <v>692</v>
      </c>
      <c r="B83" s="1">
        <v>40575</v>
      </c>
      <c r="C83">
        <v>1</v>
      </c>
      <c r="D83">
        <v>0</v>
      </c>
      <c r="E83">
        <v>2</v>
      </c>
      <c r="F83">
        <v>3</v>
      </c>
      <c r="G83" t="b">
        <v>0</v>
      </c>
      <c r="H83">
        <v>2</v>
      </c>
      <c r="I83">
        <v>2</v>
      </c>
      <c r="J83">
        <v>0.16</v>
      </c>
      <c r="K83">
        <v>0.2273</v>
      </c>
      <c r="L83">
        <v>0.69</v>
      </c>
      <c r="M83">
        <v>0</v>
      </c>
      <c r="N83">
        <v>0</v>
      </c>
      <c r="O83">
        <v>2</v>
      </c>
      <c r="P83">
        <v>2</v>
      </c>
    </row>
    <row r="84" spans="1:16" x14ac:dyDescent="0.25">
      <c r="A84">
        <v>693</v>
      </c>
      <c r="B84" s="1">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1">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1">
        <v>40575</v>
      </c>
      <c r="C86">
        <v>1</v>
      </c>
      <c r="D86">
        <v>0</v>
      </c>
      <c r="E86">
        <v>2</v>
      </c>
      <c r="F86">
        <v>7</v>
      </c>
      <c r="G86" t="b">
        <v>0</v>
      </c>
      <c r="H86">
        <v>2</v>
      </c>
      <c r="I86">
        <v>3</v>
      </c>
      <c r="J86">
        <v>0.16</v>
      </c>
      <c r="K86">
        <v>0.2273</v>
      </c>
      <c r="L86">
        <v>0.93</v>
      </c>
      <c r="M86">
        <v>0</v>
      </c>
      <c r="N86">
        <v>0</v>
      </c>
      <c r="O86">
        <v>52</v>
      </c>
      <c r="P86">
        <v>52</v>
      </c>
    </row>
    <row r="87" spans="1:16" x14ac:dyDescent="0.25">
      <c r="A87">
        <v>696</v>
      </c>
      <c r="B87" s="1">
        <v>40575</v>
      </c>
      <c r="C87">
        <v>1</v>
      </c>
      <c r="D87">
        <v>0</v>
      </c>
      <c r="E87">
        <v>2</v>
      </c>
      <c r="F87">
        <v>8</v>
      </c>
      <c r="G87" t="b">
        <v>0</v>
      </c>
      <c r="H87">
        <v>2</v>
      </c>
      <c r="I87">
        <v>3</v>
      </c>
      <c r="J87">
        <v>0.16</v>
      </c>
      <c r="K87">
        <v>0.2273</v>
      </c>
      <c r="L87">
        <v>0.93</v>
      </c>
      <c r="M87">
        <v>0</v>
      </c>
      <c r="N87">
        <v>3</v>
      </c>
      <c r="O87">
        <v>132</v>
      </c>
      <c r="P87">
        <v>135</v>
      </c>
    </row>
    <row r="88" spans="1:16" x14ac:dyDescent="0.25">
      <c r="A88">
        <v>697</v>
      </c>
      <c r="B88" s="1">
        <v>40575</v>
      </c>
      <c r="C88">
        <v>1</v>
      </c>
      <c r="D88">
        <v>0</v>
      </c>
      <c r="E88">
        <v>2</v>
      </c>
      <c r="F88">
        <v>9</v>
      </c>
      <c r="G88" t="b">
        <v>0</v>
      </c>
      <c r="H88">
        <v>2</v>
      </c>
      <c r="I88">
        <v>2</v>
      </c>
      <c r="J88">
        <v>0.16</v>
      </c>
      <c r="K88">
        <v>0.2273</v>
      </c>
      <c r="L88">
        <v>0.93</v>
      </c>
      <c r="M88">
        <v>0</v>
      </c>
      <c r="N88">
        <v>2</v>
      </c>
      <c r="O88">
        <v>114</v>
      </c>
      <c r="P88">
        <v>116</v>
      </c>
    </row>
    <row r="89" spans="1:16" x14ac:dyDescent="0.25">
      <c r="A89">
        <v>698</v>
      </c>
      <c r="B89" s="1">
        <v>40575</v>
      </c>
      <c r="C89">
        <v>1</v>
      </c>
      <c r="D89">
        <v>0</v>
      </c>
      <c r="E89">
        <v>2</v>
      </c>
      <c r="F89">
        <v>10</v>
      </c>
      <c r="G89" t="b">
        <v>0</v>
      </c>
      <c r="H89">
        <v>2</v>
      </c>
      <c r="I89">
        <v>2</v>
      </c>
      <c r="J89">
        <v>0.16</v>
      </c>
      <c r="K89">
        <v>0.2273</v>
      </c>
      <c r="L89">
        <v>0.93</v>
      </c>
      <c r="M89">
        <v>0</v>
      </c>
      <c r="N89">
        <v>0</v>
      </c>
      <c r="O89">
        <v>47</v>
      </c>
      <c r="P89">
        <v>47</v>
      </c>
    </row>
    <row r="90" spans="1:16" x14ac:dyDescent="0.25">
      <c r="A90">
        <v>699</v>
      </c>
      <c r="B90" s="1">
        <v>40575</v>
      </c>
      <c r="C90">
        <v>1</v>
      </c>
      <c r="D90">
        <v>0</v>
      </c>
      <c r="E90">
        <v>2</v>
      </c>
      <c r="F90">
        <v>11</v>
      </c>
      <c r="G90" t="b">
        <v>0</v>
      </c>
      <c r="H90">
        <v>2</v>
      </c>
      <c r="I90">
        <v>2</v>
      </c>
      <c r="J90">
        <v>0.18</v>
      </c>
      <c r="K90">
        <v>0.2424</v>
      </c>
      <c r="L90">
        <v>0.86</v>
      </c>
      <c r="M90">
        <v>0</v>
      </c>
      <c r="N90">
        <v>2</v>
      </c>
      <c r="O90">
        <v>49</v>
      </c>
      <c r="P90">
        <v>51</v>
      </c>
    </row>
    <row r="91" spans="1:16" x14ac:dyDescent="0.25">
      <c r="A91">
        <v>700</v>
      </c>
      <c r="B91" s="1">
        <v>40575</v>
      </c>
      <c r="C91">
        <v>1</v>
      </c>
      <c r="D91">
        <v>0</v>
      </c>
      <c r="E91">
        <v>2</v>
      </c>
      <c r="F91">
        <v>12</v>
      </c>
      <c r="G91" t="b">
        <v>0</v>
      </c>
      <c r="H91">
        <v>2</v>
      </c>
      <c r="I91">
        <v>2</v>
      </c>
      <c r="J91">
        <v>0.2</v>
      </c>
      <c r="K91">
        <v>0.2576</v>
      </c>
      <c r="L91">
        <v>0.86</v>
      </c>
      <c r="M91">
        <v>0</v>
      </c>
      <c r="N91">
        <v>2</v>
      </c>
      <c r="O91">
        <v>53</v>
      </c>
      <c r="P91">
        <v>55</v>
      </c>
    </row>
    <row r="92" spans="1:16" x14ac:dyDescent="0.25">
      <c r="A92">
        <v>701</v>
      </c>
      <c r="B92" s="1">
        <v>40575</v>
      </c>
      <c r="C92">
        <v>1</v>
      </c>
      <c r="D92">
        <v>0</v>
      </c>
      <c r="E92">
        <v>2</v>
      </c>
      <c r="F92">
        <v>13</v>
      </c>
      <c r="G92" t="b">
        <v>0</v>
      </c>
      <c r="H92">
        <v>2</v>
      </c>
      <c r="I92">
        <v>2</v>
      </c>
      <c r="J92">
        <v>0.2</v>
      </c>
      <c r="K92">
        <v>0.2576</v>
      </c>
      <c r="L92">
        <v>0.86</v>
      </c>
      <c r="M92">
        <v>0</v>
      </c>
      <c r="N92">
        <v>3</v>
      </c>
      <c r="O92">
        <v>49</v>
      </c>
      <c r="P92">
        <v>52</v>
      </c>
    </row>
    <row r="93" spans="1:16" x14ac:dyDescent="0.25">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1">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1">
        <v>40575</v>
      </c>
      <c r="C95">
        <v>1</v>
      </c>
      <c r="D95">
        <v>0</v>
      </c>
      <c r="E95">
        <v>2</v>
      </c>
      <c r="F95">
        <v>16</v>
      </c>
      <c r="G95" t="b">
        <v>0</v>
      </c>
      <c r="H95">
        <v>2</v>
      </c>
      <c r="I95">
        <v>2</v>
      </c>
      <c r="J95">
        <v>0.24</v>
      </c>
      <c r="K95">
        <v>0.2424</v>
      </c>
      <c r="L95">
        <v>0.75</v>
      </c>
      <c r="M95">
        <v>0.1343</v>
      </c>
      <c r="N95">
        <v>3</v>
      </c>
      <c r="O95">
        <v>61</v>
      </c>
      <c r="P95">
        <v>64</v>
      </c>
    </row>
    <row r="96" spans="1:16" x14ac:dyDescent="0.25">
      <c r="A96">
        <v>705</v>
      </c>
      <c r="B96" s="1">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1">
        <v>40575</v>
      </c>
      <c r="C97">
        <v>1</v>
      </c>
      <c r="D97">
        <v>0</v>
      </c>
      <c r="E97">
        <v>2</v>
      </c>
      <c r="F97">
        <v>18</v>
      </c>
      <c r="G97" t="b">
        <v>0</v>
      </c>
      <c r="H97">
        <v>2</v>
      </c>
      <c r="I97">
        <v>2</v>
      </c>
      <c r="J97">
        <v>0.24</v>
      </c>
      <c r="K97">
        <v>0.2576</v>
      </c>
      <c r="L97">
        <v>0.81</v>
      </c>
      <c r="M97">
        <v>0.1045</v>
      </c>
      <c r="N97">
        <v>3</v>
      </c>
      <c r="O97">
        <v>165</v>
      </c>
      <c r="P97">
        <v>168</v>
      </c>
    </row>
    <row r="98" spans="1:16" x14ac:dyDescent="0.25">
      <c r="A98">
        <v>707</v>
      </c>
      <c r="B98" s="1">
        <v>40575</v>
      </c>
      <c r="C98">
        <v>1</v>
      </c>
      <c r="D98">
        <v>0</v>
      </c>
      <c r="E98">
        <v>2</v>
      </c>
      <c r="F98">
        <v>19</v>
      </c>
      <c r="G98" t="b">
        <v>0</v>
      </c>
      <c r="H98">
        <v>2</v>
      </c>
      <c r="I98">
        <v>2</v>
      </c>
      <c r="J98">
        <v>0.24</v>
      </c>
      <c r="K98">
        <v>0.2424</v>
      </c>
      <c r="L98">
        <v>0.81</v>
      </c>
      <c r="M98">
        <v>0.1343</v>
      </c>
      <c r="N98">
        <v>3</v>
      </c>
      <c r="O98">
        <v>105</v>
      </c>
      <c r="P98">
        <v>108</v>
      </c>
    </row>
    <row r="99" spans="1:16" x14ac:dyDescent="0.25">
      <c r="A99">
        <v>708</v>
      </c>
      <c r="B99" s="1">
        <v>40575</v>
      </c>
      <c r="C99">
        <v>1</v>
      </c>
      <c r="D99">
        <v>0</v>
      </c>
      <c r="E99">
        <v>2</v>
      </c>
      <c r="F99">
        <v>20</v>
      </c>
      <c r="G99" t="b">
        <v>0</v>
      </c>
      <c r="H99">
        <v>2</v>
      </c>
      <c r="I99">
        <v>2</v>
      </c>
      <c r="J99">
        <v>0.22</v>
      </c>
      <c r="K99">
        <v>0.2273</v>
      </c>
      <c r="L99">
        <v>0.87</v>
      </c>
      <c r="M99">
        <v>0.1343</v>
      </c>
      <c r="N99">
        <v>5</v>
      </c>
      <c r="O99">
        <v>69</v>
      </c>
      <c r="P99">
        <v>74</v>
      </c>
    </row>
    <row r="100" spans="1:16" x14ac:dyDescent="0.25">
      <c r="A100">
        <v>709</v>
      </c>
      <c r="B100" s="1">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1">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1">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1">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1">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1">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1">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1">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1">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1">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1">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1">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1">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1">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1">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1">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1">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1">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1">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1">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1">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1">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1">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1">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1">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1">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1">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1">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1">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1">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1">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1">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1">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1">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1">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1">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1">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1">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1">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1">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1">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1">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1">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1">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1">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1">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1">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1">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1">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1">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1">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1">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1">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1">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1">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1">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1">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1">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1">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1">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1">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1">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1">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1">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1">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1">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1">
        <v>40579</v>
      </c>
      <c r="C173">
        <v>1</v>
      </c>
      <c r="D173">
        <v>0</v>
      </c>
      <c r="E173">
        <v>2</v>
      </c>
      <c r="F173">
        <v>0</v>
      </c>
      <c r="G173" t="b">
        <v>0</v>
      </c>
      <c r="H173">
        <v>6</v>
      </c>
      <c r="I173">
        <v>2</v>
      </c>
      <c r="J173">
        <v>0.24</v>
      </c>
      <c r="K173">
        <v>0.2424</v>
      </c>
      <c r="L173">
        <v>0.7</v>
      </c>
      <c r="M173">
        <v>0.16420000000000001</v>
      </c>
      <c r="N173">
        <v>3</v>
      </c>
      <c r="O173">
        <v>36</v>
      </c>
      <c r="P173">
        <v>39</v>
      </c>
    </row>
    <row r="174" spans="1:16" x14ac:dyDescent="0.25">
      <c r="A174">
        <v>783</v>
      </c>
      <c r="B174" s="1">
        <v>40579</v>
      </c>
      <c r="C174">
        <v>1</v>
      </c>
      <c r="D174">
        <v>0</v>
      </c>
      <c r="E174">
        <v>2</v>
      </c>
      <c r="F174">
        <v>1</v>
      </c>
      <c r="G174" t="b">
        <v>0</v>
      </c>
      <c r="H174">
        <v>6</v>
      </c>
      <c r="I174">
        <v>2</v>
      </c>
      <c r="J174">
        <v>0.24</v>
      </c>
      <c r="K174">
        <v>0.2424</v>
      </c>
      <c r="L174">
        <v>0.65</v>
      </c>
      <c r="M174">
        <v>0.16420000000000001</v>
      </c>
      <c r="N174">
        <v>1</v>
      </c>
      <c r="O174">
        <v>17</v>
      </c>
      <c r="P174">
        <v>18</v>
      </c>
    </row>
    <row r="175" spans="1:16" x14ac:dyDescent="0.25">
      <c r="A175">
        <v>784</v>
      </c>
      <c r="B175" s="1">
        <v>40579</v>
      </c>
      <c r="C175">
        <v>1</v>
      </c>
      <c r="D175">
        <v>0</v>
      </c>
      <c r="E175">
        <v>2</v>
      </c>
      <c r="F175">
        <v>2</v>
      </c>
      <c r="G175" t="b">
        <v>0</v>
      </c>
      <c r="H175">
        <v>6</v>
      </c>
      <c r="I175">
        <v>2</v>
      </c>
      <c r="J175">
        <v>0.24</v>
      </c>
      <c r="K175">
        <v>0.2424</v>
      </c>
      <c r="L175">
        <v>0.75</v>
      </c>
      <c r="M175">
        <v>0.16420000000000001</v>
      </c>
      <c r="N175">
        <v>5</v>
      </c>
      <c r="O175">
        <v>12</v>
      </c>
      <c r="P175">
        <v>17</v>
      </c>
    </row>
    <row r="176" spans="1:16" x14ac:dyDescent="0.25">
      <c r="A176">
        <v>785</v>
      </c>
      <c r="B176" s="1">
        <v>40579</v>
      </c>
      <c r="C176">
        <v>1</v>
      </c>
      <c r="D176">
        <v>0</v>
      </c>
      <c r="E176">
        <v>2</v>
      </c>
      <c r="F176">
        <v>3</v>
      </c>
      <c r="G176" t="b">
        <v>0</v>
      </c>
      <c r="H176">
        <v>6</v>
      </c>
      <c r="I176">
        <v>2</v>
      </c>
      <c r="J176">
        <v>0.24</v>
      </c>
      <c r="K176">
        <v>0.2424</v>
      </c>
      <c r="L176">
        <v>0.75</v>
      </c>
      <c r="M176">
        <v>0.16420000000000001</v>
      </c>
      <c r="N176">
        <v>1</v>
      </c>
      <c r="O176">
        <v>10</v>
      </c>
      <c r="P176">
        <v>11</v>
      </c>
    </row>
    <row r="177" spans="1:16" x14ac:dyDescent="0.25">
      <c r="A177">
        <v>786</v>
      </c>
      <c r="B177" s="1">
        <v>40579</v>
      </c>
      <c r="C177">
        <v>1</v>
      </c>
      <c r="D177">
        <v>0</v>
      </c>
      <c r="E177">
        <v>2</v>
      </c>
      <c r="F177">
        <v>4</v>
      </c>
      <c r="G177" t="b">
        <v>0</v>
      </c>
      <c r="H177">
        <v>6</v>
      </c>
      <c r="I177">
        <v>3</v>
      </c>
      <c r="J177">
        <v>0.22</v>
      </c>
      <c r="K177">
        <v>0.2273</v>
      </c>
      <c r="L177">
        <v>0.93</v>
      </c>
      <c r="M177">
        <v>0.1343</v>
      </c>
      <c r="N177">
        <v>0</v>
      </c>
      <c r="O177">
        <v>8</v>
      </c>
      <c r="P177">
        <v>8</v>
      </c>
    </row>
    <row r="178" spans="1:16" x14ac:dyDescent="0.25">
      <c r="A178">
        <v>787</v>
      </c>
      <c r="B178" s="1">
        <v>40579</v>
      </c>
      <c r="C178">
        <v>1</v>
      </c>
      <c r="D178">
        <v>0</v>
      </c>
      <c r="E178">
        <v>2</v>
      </c>
      <c r="F178">
        <v>5</v>
      </c>
      <c r="G178" t="b">
        <v>0</v>
      </c>
      <c r="H178">
        <v>6</v>
      </c>
      <c r="I178">
        <v>3</v>
      </c>
      <c r="J178">
        <v>0.2</v>
      </c>
      <c r="K178">
        <v>0.2273</v>
      </c>
      <c r="L178">
        <v>1</v>
      </c>
      <c r="M178">
        <v>8.9599999999999999E-2</v>
      </c>
      <c r="N178">
        <v>0</v>
      </c>
      <c r="O178">
        <v>9</v>
      </c>
      <c r="P178">
        <v>9</v>
      </c>
    </row>
    <row r="179" spans="1:16" x14ac:dyDescent="0.25">
      <c r="A179">
        <v>788</v>
      </c>
      <c r="B179" s="1">
        <v>40579</v>
      </c>
      <c r="C179">
        <v>1</v>
      </c>
      <c r="D179">
        <v>0</v>
      </c>
      <c r="E179">
        <v>2</v>
      </c>
      <c r="F179">
        <v>6</v>
      </c>
      <c r="G179" t="b">
        <v>0</v>
      </c>
      <c r="H179">
        <v>6</v>
      </c>
      <c r="I179">
        <v>3</v>
      </c>
      <c r="J179">
        <v>0.2</v>
      </c>
      <c r="K179">
        <v>0.2576</v>
      </c>
      <c r="L179">
        <v>1</v>
      </c>
      <c r="M179">
        <v>0</v>
      </c>
      <c r="N179">
        <v>0</v>
      </c>
      <c r="O179">
        <v>4</v>
      </c>
      <c r="P179">
        <v>4</v>
      </c>
    </row>
    <row r="180" spans="1:16" x14ac:dyDescent="0.25">
      <c r="A180">
        <v>789</v>
      </c>
      <c r="B180" s="1">
        <v>40579</v>
      </c>
      <c r="C180">
        <v>1</v>
      </c>
      <c r="D180">
        <v>0</v>
      </c>
      <c r="E180">
        <v>2</v>
      </c>
      <c r="F180">
        <v>7</v>
      </c>
      <c r="G180" t="b">
        <v>0</v>
      </c>
      <c r="H180">
        <v>6</v>
      </c>
      <c r="I180">
        <v>3</v>
      </c>
      <c r="J180">
        <v>0.22</v>
      </c>
      <c r="K180">
        <v>0.2576</v>
      </c>
      <c r="L180">
        <v>0.93</v>
      </c>
      <c r="M180">
        <v>8.9599999999999999E-2</v>
      </c>
      <c r="N180">
        <v>0</v>
      </c>
      <c r="O180">
        <v>4</v>
      </c>
      <c r="P180">
        <v>4</v>
      </c>
    </row>
    <row r="181" spans="1:16" x14ac:dyDescent="0.25">
      <c r="A181">
        <v>790</v>
      </c>
      <c r="B181" s="1">
        <v>40579</v>
      </c>
      <c r="C181">
        <v>1</v>
      </c>
      <c r="D181">
        <v>0</v>
      </c>
      <c r="E181">
        <v>2</v>
      </c>
      <c r="F181">
        <v>8</v>
      </c>
      <c r="G181" t="b">
        <v>0</v>
      </c>
      <c r="H181">
        <v>6</v>
      </c>
      <c r="I181">
        <v>3</v>
      </c>
      <c r="J181">
        <v>0.2</v>
      </c>
      <c r="K181">
        <v>0.2273</v>
      </c>
      <c r="L181">
        <v>1</v>
      </c>
      <c r="M181">
        <v>8.9599999999999999E-2</v>
      </c>
      <c r="N181">
        <v>0</v>
      </c>
      <c r="O181">
        <v>10</v>
      </c>
      <c r="P181">
        <v>10</v>
      </c>
    </row>
    <row r="182" spans="1:16" x14ac:dyDescent="0.25">
      <c r="A182">
        <v>791</v>
      </c>
      <c r="B182" s="1">
        <v>40579</v>
      </c>
      <c r="C182">
        <v>1</v>
      </c>
      <c r="D182">
        <v>0</v>
      </c>
      <c r="E182">
        <v>2</v>
      </c>
      <c r="F182">
        <v>9</v>
      </c>
      <c r="G182" t="b">
        <v>0</v>
      </c>
      <c r="H182">
        <v>6</v>
      </c>
      <c r="I182">
        <v>3</v>
      </c>
      <c r="J182">
        <v>0.2</v>
      </c>
      <c r="K182">
        <v>0.2273</v>
      </c>
      <c r="L182">
        <v>1</v>
      </c>
      <c r="M182">
        <v>8.9599999999999999E-2</v>
      </c>
      <c r="N182">
        <v>3</v>
      </c>
      <c r="O182">
        <v>17</v>
      </c>
      <c r="P182">
        <v>20</v>
      </c>
    </row>
    <row r="183" spans="1:16" x14ac:dyDescent="0.25">
      <c r="A183">
        <v>792</v>
      </c>
      <c r="B183" s="1">
        <v>40579</v>
      </c>
      <c r="C183">
        <v>1</v>
      </c>
      <c r="D183">
        <v>0</v>
      </c>
      <c r="E183">
        <v>2</v>
      </c>
      <c r="F183">
        <v>10</v>
      </c>
      <c r="G183" t="b">
        <v>0</v>
      </c>
      <c r="H183">
        <v>6</v>
      </c>
      <c r="I183">
        <v>3</v>
      </c>
      <c r="J183">
        <v>0.2</v>
      </c>
      <c r="K183">
        <v>0.21210000000000001</v>
      </c>
      <c r="L183">
        <v>1</v>
      </c>
      <c r="M183">
        <v>0.1343</v>
      </c>
      <c r="N183">
        <v>3</v>
      </c>
      <c r="O183">
        <v>31</v>
      </c>
      <c r="P183">
        <v>34</v>
      </c>
    </row>
    <row r="184" spans="1:16" x14ac:dyDescent="0.25">
      <c r="A184">
        <v>793</v>
      </c>
      <c r="B184" s="1">
        <v>40579</v>
      </c>
      <c r="C184">
        <v>1</v>
      </c>
      <c r="D184">
        <v>0</v>
      </c>
      <c r="E184">
        <v>2</v>
      </c>
      <c r="F184">
        <v>11</v>
      </c>
      <c r="G184" t="b">
        <v>0</v>
      </c>
      <c r="H184">
        <v>6</v>
      </c>
      <c r="I184">
        <v>3</v>
      </c>
      <c r="J184">
        <v>0.22</v>
      </c>
      <c r="K184">
        <v>0.2273</v>
      </c>
      <c r="L184">
        <v>1</v>
      </c>
      <c r="M184">
        <v>0.1343</v>
      </c>
      <c r="N184">
        <v>1</v>
      </c>
      <c r="O184">
        <v>46</v>
      </c>
      <c r="P184">
        <v>47</v>
      </c>
    </row>
    <row r="185" spans="1:16" x14ac:dyDescent="0.25">
      <c r="A185">
        <v>794</v>
      </c>
      <c r="B185" s="1">
        <v>40579</v>
      </c>
      <c r="C185">
        <v>1</v>
      </c>
      <c r="D185">
        <v>0</v>
      </c>
      <c r="E185">
        <v>2</v>
      </c>
      <c r="F185">
        <v>12</v>
      </c>
      <c r="G185" t="b">
        <v>0</v>
      </c>
      <c r="H185">
        <v>6</v>
      </c>
      <c r="I185">
        <v>3</v>
      </c>
      <c r="J185">
        <v>0.22</v>
      </c>
      <c r="K185">
        <v>0.2273</v>
      </c>
      <c r="L185">
        <v>1</v>
      </c>
      <c r="M185">
        <v>0.16420000000000001</v>
      </c>
      <c r="N185">
        <v>10</v>
      </c>
      <c r="O185">
        <v>42</v>
      </c>
      <c r="P185">
        <v>52</v>
      </c>
    </row>
    <row r="186" spans="1:16" x14ac:dyDescent="0.25">
      <c r="A186">
        <v>795</v>
      </c>
      <c r="B186" s="1">
        <v>40579</v>
      </c>
      <c r="C186">
        <v>1</v>
      </c>
      <c r="D186">
        <v>0</v>
      </c>
      <c r="E186">
        <v>2</v>
      </c>
      <c r="F186">
        <v>13</v>
      </c>
      <c r="G186" t="b">
        <v>0</v>
      </c>
      <c r="H186">
        <v>6</v>
      </c>
      <c r="I186">
        <v>3</v>
      </c>
      <c r="J186">
        <v>0.22</v>
      </c>
      <c r="K186">
        <v>0.2273</v>
      </c>
      <c r="L186">
        <v>1</v>
      </c>
      <c r="M186">
        <v>0.16420000000000001</v>
      </c>
      <c r="N186">
        <v>10</v>
      </c>
      <c r="O186">
        <v>62</v>
      </c>
      <c r="P186">
        <v>72</v>
      </c>
    </row>
    <row r="187" spans="1:16" x14ac:dyDescent="0.25">
      <c r="A187">
        <v>796</v>
      </c>
      <c r="B187" s="1">
        <v>40579</v>
      </c>
      <c r="C187">
        <v>1</v>
      </c>
      <c r="D187">
        <v>0</v>
      </c>
      <c r="E187">
        <v>2</v>
      </c>
      <c r="F187">
        <v>14</v>
      </c>
      <c r="G187" t="b">
        <v>0</v>
      </c>
      <c r="H187">
        <v>6</v>
      </c>
      <c r="I187">
        <v>3</v>
      </c>
      <c r="J187">
        <v>0.22</v>
      </c>
      <c r="K187">
        <v>0.2727</v>
      </c>
      <c r="L187">
        <v>1</v>
      </c>
      <c r="M187">
        <v>0</v>
      </c>
      <c r="N187">
        <v>5</v>
      </c>
      <c r="O187">
        <v>50</v>
      </c>
      <c r="P187">
        <v>55</v>
      </c>
    </row>
    <row r="188" spans="1:16" x14ac:dyDescent="0.25">
      <c r="A188">
        <v>797</v>
      </c>
      <c r="B188" s="1">
        <v>40579</v>
      </c>
      <c r="C188">
        <v>1</v>
      </c>
      <c r="D188">
        <v>0</v>
      </c>
      <c r="E188">
        <v>2</v>
      </c>
      <c r="F188">
        <v>15</v>
      </c>
      <c r="G188" t="b">
        <v>0</v>
      </c>
      <c r="H188">
        <v>6</v>
      </c>
      <c r="I188">
        <v>3</v>
      </c>
      <c r="J188">
        <v>0.22</v>
      </c>
      <c r="K188">
        <v>0.2727</v>
      </c>
      <c r="L188">
        <v>1</v>
      </c>
      <c r="M188">
        <v>0</v>
      </c>
      <c r="N188">
        <v>11</v>
      </c>
      <c r="O188">
        <v>49</v>
      </c>
      <c r="P188">
        <v>60</v>
      </c>
    </row>
    <row r="189" spans="1:16" x14ac:dyDescent="0.25">
      <c r="A189">
        <v>798</v>
      </c>
      <c r="B189" s="1">
        <v>40579</v>
      </c>
      <c r="C189">
        <v>1</v>
      </c>
      <c r="D189">
        <v>0</v>
      </c>
      <c r="E189">
        <v>2</v>
      </c>
      <c r="F189">
        <v>16</v>
      </c>
      <c r="G189" t="b">
        <v>0</v>
      </c>
      <c r="H189">
        <v>6</v>
      </c>
      <c r="I189">
        <v>3</v>
      </c>
      <c r="J189">
        <v>0.22</v>
      </c>
      <c r="K189">
        <v>0.2273</v>
      </c>
      <c r="L189">
        <v>1</v>
      </c>
      <c r="M189">
        <v>0.1343</v>
      </c>
      <c r="N189">
        <v>8</v>
      </c>
      <c r="O189">
        <v>63</v>
      </c>
      <c r="P189">
        <v>71</v>
      </c>
    </row>
    <row r="190" spans="1:16" x14ac:dyDescent="0.25">
      <c r="A190">
        <v>799</v>
      </c>
      <c r="B190" s="1">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5">
      <c r="A191">
        <v>800</v>
      </c>
      <c r="B191" s="1">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5">
      <c r="A192">
        <v>801</v>
      </c>
      <c r="B192" s="1">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5">
      <c r="A193">
        <v>802</v>
      </c>
      <c r="B193" s="1">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5">
      <c r="A194">
        <v>803</v>
      </c>
      <c r="B194" s="1">
        <v>40579</v>
      </c>
      <c r="C194">
        <v>1</v>
      </c>
      <c r="D194">
        <v>0</v>
      </c>
      <c r="E194">
        <v>2</v>
      </c>
      <c r="F194">
        <v>21</v>
      </c>
      <c r="G194" t="b">
        <v>0</v>
      </c>
      <c r="H194">
        <v>6</v>
      </c>
      <c r="I194">
        <v>1</v>
      </c>
      <c r="J194">
        <v>0.26</v>
      </c>
      <c r="K194">
        <v>0.2576</v>
      </c>
      <c r="L194">
        <v>1</v>
      </c>
      <c r="M194">
        <v>0.19400000000000001</v>
      </c>
      <c r="N194">
        <v>3</v>
      </c>
      <c r="O194">
        <v>53</v>
      </c>
      <c r="P194">
        <v>56</v>
      </c>
    </row>
    <row r="195" spans="1:16" x14ac:dyDescent="0.25">
      <c r="A195">
        <v>804</v>
      </c>
      <c r="B195" s="1">
        <v>40579</v>
      </c>
      <c r="C195">
        <v>1</v>
      </c>
      <c r="D195">
        <v>0</v>
      </c>
      <c r="E195">
        <v>2</v>
      </c>
      <c r="F195">
        <v>22</v>
      </c>
      <c r="G195" t="b">
        <v>0</v>
      </c>
      <c r="H195">
        <v>6</v>
      </c>
      <c r="I195">
        <v>1</v>
      </c>
      <c r="J195">
        <v>0.26</v>
      </c>
      <c r="K195">
        <v>0.2727</v>
      </c>
      <c r="L195">
        <v>0.93</v>
      </c>
      <c r="M195">
        <v>0.1343</v>
      </c>
      <c r="N195">
        <v>2</v>
      </c>
      <c r="O195">
        <v>43</v>
      </c>
      <c r="P195">
        <v>45</v>
      </c>
    </row>
    <row r="196" spans="1:16" x14ac:dyDescent="0.25">
      <c r="A196">
        <v>805</v>
      </c>
      <c r="B196" s="1">
        <v>40579</v>
      </c>
      <c r="C196">
        <v>1</v>
      </c>
      <c r="D196">
        <v>0</v>
      </c>
      <c r="E196">
        <v>2</v>
      </c>
      <c r="F196">
        <v>23</v>
      </c>
      <c r="G196" t="b">
        <v>0</v>
      </c>
      <c r="H196">
        <v>6</v>
      </c>
      <c r="I196">
        <v>1</v>
      </c>
      <c r="J196">
        <v>0.26</v>
      </c>
      <c r="K196">
        <v>0.2576</v>
      </c>
      <c r="L196">
        <v>0.93</v>
      </c>
      <c r="M196">
        <v>0.22389999999999999</v>
      </c>
      <c r="N196">
        <v>7</v>
      </c>
      <c r="O196">
        <v>52</v>
      </c>
      <c r="P196">
        <v>59</v>
      </c>
    </row>
    <row r="197" spans="1:16" x14ac:dyDescent="0.25">
      <c r="A197">
        <v>806</v>
      </c>
      <c r="B197" s="1">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1">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1">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1">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1">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1">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1">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1">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1">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1">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1">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1">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1">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1">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1">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1">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1">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1">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1">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1">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1">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1">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1">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1">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1">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1">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1">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1">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1">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1">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1">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1">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1">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1">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1">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1">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1">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1">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1">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1">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1">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1">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1">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1">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1">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1">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1">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1">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1">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1">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1">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1">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1">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1">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1">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1">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1">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1">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1">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1">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1">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1">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1">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1">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1">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1">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1">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1">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1">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1">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1">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1">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1">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1">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1">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1">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1">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1">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1">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1">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1">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1">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1">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1">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1">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1">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1">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1">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1">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1">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1">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1">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1">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1">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1">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1">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1">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1">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1">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1">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1">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1">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1">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1">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1">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1">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1">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1">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1">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1">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1">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1">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1">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1">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1">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1">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1">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1">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1">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1">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1">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1">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1">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1">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1">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1">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1">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1">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1">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1">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1">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1">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1">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x14ac:dyDescent="0.25">
      <c r="A341">
        <v>950</v>
      </c>
      <c r="B341" s="1">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5">
      <c r="A342">
        <v>951</v>
      </c>
      <c r="B342" s="1">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1">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1">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1">
        <v>40586</v>
      </c>
      <c r="C346">
        <v>1</v>
      </c>
      <c r="D346">
        <v>0</v>
      </c>
      <c r="E346">
        <v>2</v>
      </c>
      <c r="F346">
        <v>9</v>
      </c>
      <c r="G346" t="b">
        <v>0</v>
      </c>
      <c r="H346">
        <v>6</v>
      </c>
      <c r="I346">
        <v>1</v>
      </c>
      <c r="J346">
        <v>0.16</v>
      </c>
      <c r="K346">
        <v>0.18179999999999999</v>
      </c>
      <c r="L346">
        <v>0.64</v>
      </c>
      <c r="M346">
        <v>0.1343</v>
      </c>
      <c r="N346">
        <v>5</v>
      </c>
      <c r="O346">
        <v>38</v>
      </c>
      <c r="P346">
        <v>43</v>
      </c>
    </row>
    <row r="347" spans="1:16" x14ac:dyDescent="0.25">
      <c r="A347">
        <v>956</v>
      </c>
      <c r="B347" s="1">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5">
      <c r="A348">
        <v>957</v>
      </c>
      <c r="B348" s="1">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5">
      <c r="A349">
        <v>958</v>
      </c>
      <c r="B349" s="1">
        <v>40586</v>
      </c>
      <c r="C349">
        <v>1</v>
      </c>
      <c r="D349">
        <v>0</v>
      </c>
      <c r="E349">
        <v>2</v>
      </c>
      <c r="F349">
        <v>12</v>
      </c>
      <c r="G349" t="b">
        <v>0</v>
      </c>
      <c r="H349">
        <v>6</v>
      </c>
      <c r="I349">
        <v>1</v>
      </c>
      <c r="J349">
        <v>0.3</v>
      </c>
      <c r="K349">
        <v>0.2727</v>
      </c>
      <c r="L349">
        <v>0.39</v>
      </c>
      <c r="M349">
        <v>0.4627</v>
      </c>
      <c r="N349">
        <v>27</v>
      </c>
      <c r="O349">
        <v>93</v>
      </c>
      <c r="P349">
        <v>120</v>
      </c>
    </row>
    <row r="350" spans="1:16" x14ac:dyDescent="0.25">
      <c r="A350">
        <v>959</v>
      </c>
      <c r="B350" s="1">
        <v>40586</v>
      </c>
      <c r="C350">
        <v>1</v>
      </c>
      <c r="D350">
        <v>0</v>
      </c>
      <c r="E350">
        <v>2</v>
      </c>
      <c r="F350">
        <v>13</v>
      </c>
      <c r="G350" t="b">
        <v>0</v>
      </c>
      <c r="H350">
        <v>6</v>
      </c>
      <c r="I350">
        <v>1</v>
      </c>
      <c r="J350">
        <v>0.3</v>
      </c>
      <c r="K350">
        <v>0.2727</v>
      </c>
      <c r="L350">
        <v>0.39</v>
      </c>
      <c r="M350">
        <v>0.41789999999999999</v>
      </c>
      <c r="N350">
        <v>32</v>
      </c>
      <c r="O350">
        <v>103</v>
      </c>
      <c r="P350">
        <v>135</v>
      </c>
    </row>
    <row r="351" spans="1:16" x14ac:dyDescent="0.25">
      <c r="A351">
        <v>960</v>
      </c>
      <c r="B351" s="1">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5">
      <c r="A352">
        <v>961</v>
      </c>
      <c r="B352" s="1">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5">
      <c r="A353">
        <v>962</v>
      </c>
      <c r="B353" s="1">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5">
      <c r="A354">
        <v>963</v>
      </c>
      <c r="B354" s="1">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5">
      <c r="A355">
        <v>964</v>
      </c>
      <c r="B355" s="1">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5">
      <c r="A356">
        <v>965</v>
      </c>
      <c r="B356" s="1">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5">
      <c r="A357">
        <v>966</v>
      </c>
      <c r="B357" s="1">
        <v>40586</v>
      </c>
      <c r="C357">
        <v>1</v>
      </c>
      <c r="D357">
        <v>0</v>
      </c>
      <c r="E357">
        <v>2</v>
      </c>
      <c r="F357">
        <v>20</v>
      </c>
      <c r="G357" t="b">
        <v>0</v>
      </c>
      <c r="H357">
        <v>6</v>
      </c>
      <c r="I357">
        <v>1</v>
      </c>
      <c r="J357">
        <v>0.26</v>
      </c>
      <c r="K357">
        <v>0.2576</v>
      </c>
      <c r="L357">
        <v>0.41</v>
      </c>
      <c r="M357">
        <v>0.22389999999999999</v>
      </c>
      <c r="N357">
        <v>1</v>
      </c>
      <c r="O357">
        <v>39</v>
      </c>
      <c r="P357">
        <v>40</v>
      </c>
    </row>
    <row r="358" spans="1:16" x14ac:dyDescent="0.25">
      <c r="A358">
        <v>967</v>
      </c>
      <c r="B358" s="1">
        <v>40586</v>
      </c>
      <c r="C358">
        <v>1</v>
      </c>
      <c r="D358">
        <v>0</v>
      </c>
      <c r="E358">
        <v>2</v>
      </c>
      <c r="F358">
        <v>21</v>
      </c>
      <c r="G358" t="b">
        <v>0</v>
      </c>
      <c r="H358">
        <v>6</v>
      </c>
      <c r="I358">
        <v>1</v>
      </c>
      <c r="J358">
        <v>0.26</v>
      </c>
      <c r="K358">
        <v>0.30299999999999999</v>
      </c>
      <c r="L358">
        <v>0.41</v>
      </c>
      <c r="M358">
        <v>0</v>
      </c>
      <c r="N358">
        <v>9</v>
      </c>
      <c r="O358">
        <v>42</v>
      </c>
      <c r="P358">
        <v>51</v>
      </c>
    </row>
    <row r="359" spans="1:16" x14ac:dyDescent="0.25">
      <c r="A359">
        <v>968</v>
      </c>
      <c r="B359" s="1">
        <v>40586</v>
      </c>
      <c r="C359">
        <v>1</v>
      </c>
      <c r="D359">
        <v>0</v>
      </c>
      <c r="E359">
        <v>2</v>
      </c>
      <c r="F359">
        <v>22</v>
      </c>
      <c r="G359" t="b">
        <v>0</v>
      </c>
      <c r="H359">
        <v>6</v>
      </c>
      <c r="I359">
        <v>1</v>
      </c>
      <c r="J359">
        <v>0.24</v>
      </c>
      <c r="K359">
        <v>0.2576</v>
      </c>
      <c r="L359">
        <v>0.44</v>
      </c>
      <c r="M359">
        <v>8.9599999999999999E-2</v>
      </c>
      <c r="N359">
        <v>6</v>
      </c>
      <c r="O359">
        <v>39</v>
      </c>
      <c r="P359">
        <v>45</v>
      </c>
    </row>
    <row r="360" spans="1:16" x14ac:dyDescent="0.25">
      <c r="A360">
        <v>969</v>
      </c>
      <c r="B360" s="1">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1">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1">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1">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1">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1">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1">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1">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1">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1">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1">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1">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1">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1">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1">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1">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1">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1">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1">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1">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1">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1">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1">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1">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1">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1">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1">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1">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1">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row r="392" spans="1:16" x14ac:dyDescent="0.25">
      <c r="B392" s="1"/>
    </row>
    <row r="393" spans="1:16" x14ac:dyDescent="0.25">
      <c r="B393" s="1"/>
    </row>
    <row r="394" spans="1:16" x14ac:dyDescent="0.25">
      <c r="B394" s="1"/>
    </row>
    <row r="395" spans="1:16" x14ac:dyDescent="0.25">
      <c r="B395" s="1"/>
    </row>
    <row r="396" spans="1:16" x14ac:dyDescent="0.25">
      <c r="B396" s="1"/>
    </row>
    <row r="397" spans="1:16" x14ac:dyDescent="0.25">
      <c r="B397" s="1"/>
    </row>
    <row r="398" spans="1:16" x14ac:dyDescent="0.25">
      <c r="B398" s="1"/>
    </row>
    <row r="399" spans="1:16" x14ac:dyDescent="0.25">
      <c r="B399" s="1"/>
    </row>
    <row r="400" spans="1:16" x14ac:dyDescent="0.25">
      <c r="B400" s="1"/>
    </row>
    <row r="401" spans="2:2" x14ac:dyDescent="0.25">
      <c r="B401" s="1"/>
    </row>
    <row r="402" spans="2:2" x14ac:dyDescent="0.25">
      <c r="B402" s="1"/>
    </row>
    <row r="403" spans="2:2" x14ac:dyDescent="0.25">
      <c r="B403" s="1"/>
    </row>
    <row r="404" spans="2:2" x14ac:dyDescent="0.25">
      <c r="B404" s="1"/>
    </row>
    <row r="405" spans="2:2" x14ac:dyDescent="0.25">
      <c r="B405" s="1"/>
    </row>
    <row r="406" spans="2:2" x14ac:dyDescent="0.25">
      <c r="B406" s="1"/>
    </row>
    <row r="407" spans="2:2" x14ac:dyDescent="0.25">
      <c r="B407" s="1"/>
    </row>
    <row r="408" spans="2:2" x14ac:dyDescent="0.25">
      <c r="B408" s="1"/>
    </row>
    <row r="409" spans="2:2" x14ac:dyDescent="0.25">
      <c r="B409" s="1"/>
    </row>
    <row r="410" spans="2:2" x14ac:dyDescent="0.25">
      <c r="B410" s="1"/>
    </row>
    <row r="411" spans="2:2" x14ac:dyDescent="0.25">
      <c r="B411" s="1"/>
    </row>
    <row r="412" spans="2:2" x14ac:dyDescent="0.25">
      <c r="B412" s="1"/>
    </row>
    <row r="413" spans="2:2" x14ac:dyDescent="0.25">
      <c r="B413" s="1"/>
    </row>
    <row r="414" spans="2:2" x14ac:dyDescent="0.25">
      <c r="B414" s="1"/>
    </row>
    <row r="415" spans="2:2" x14ac:dyDescent="0.25">
      <c r="B415" s="1"/>
    </row>
    <row r="416" spans="2:2" x14ac:dyDescent="0.25">
      <c r="B416" s="1"/>
    </row>
    <row r="417" spans="2:2" x14ac:dyDescent="0.25">
      <c r="B417" s="1"/>
    </row>
    <row r="418" spans="2:2" x14ac:dyDescent="0.25">
      <c r="B418" s="1"/>
    </row>
    <row r="419" spans="2:2" x14ac:dyDescent="0.25">
      <c r="B419" s="1"/>
    </row>
    <row r="420" spans="2:2" x14ac:dyDescent="0.25">
      <c r="B420" s="1"/>
    </row>
    <row r="421" spans="2:2" x14ac:dyDescent="0.25">
      <c r="B421" s="1"/>
    </row>
    <row r="422" spans="2:2" x14ac:dyDescent="0.25">
      <c r="B422" s="1"/>
    </row>
    <row r="423" spans="2:2" x14ac:dyDescent="0.25">
      <c r="B423" s="1"/>
    </row>
    <row r="424" spans="2:2" x14ac:dyDescent="0.25">
      <c r="B424" s="1"/>
    </row>
    <row r="425" spans="2:2" x14ac:dyDescent="0.25">
      <c r="B425" s="1"/>
    </row>
    <row r="426" spans="2:2" x14ac:dyDescent="0.25">
      <c r="B426" s="1"/>
    </row>
    <row r="427" spans="2:2" x14ac:dyDescent="0.25">
      <c r="B427" s="1"/>
    </row>
    <row r="428" spans="2:2" x14ac:dyDescent="0.25">
      <c r="B428" s="1"/>
    </row>
    <row r="429" spans="2:2" x14ac:dyDescent="0.25">
      <c r="B429" s="1"/>
    </row>
    <row r="430" spans="2:2" x14ac:dyDescent="0.25">
      <c r="B430" s="1"/>
    </row>
    <row r="431" spans="2:2" x14ac:dyDescent="0.25">
      <c r="B431" s="1"/>
    </row>
    <row r="432" spans="2:2" x14ac:dyDescent="0.25">
      <c r="B432" s="1"/>
    </row>
    <row r="433" spans="2:2" x14ac:dyDescent="0.25">
      <c r="B433" s="1"/>
    </row>
    <row r="434" spans="2:2" x14ac:dyDescent="0.25">
      <c r="B434" s="1"/>
    </row>
    <row r="435" spans="2:2" x14ac:dyDescent="0.25">
      <c r="B435" s="1"/>
    </row>
    <row r="436" spans="2:2" x14ac:dyDescent="0.25">
      <c r="B436" s="1"/>
    </row>
    <row r="437" spans="2:2" x14ac:dyDescent="0.25">
      <c r="B437" s="1"/>
    </row>
    <row r="438" spans="2:2" x14ac:dyDescent="0.25">
      <c r="B438" s="1"/>
    </row>
    <row r="439" spans="2:2" x14ac:dyDescent="0.25">
      <c r="B439" s="1"/>
    </row>
    <row r="440" spans="2:2" x14ac:dyDescent="0.25">
      <c r="B440" s="1"/>
    </row>
    <row r="441" spans="2:2" x14ac:dyDescent="0.25">
      <c r="B441" s="1"/>
    </row>
    <row r="442" spans="2:2" x14ac:dyDescent="0.25">
      <c r="B442" s="1"/>
    </row>
    <row r="443" spans="2:2" x14ac:dyDescent="0.25">
      <c r="B443" s="1"/>
    </row>
    <row r="444" spans="2:2" x14ac:dyDescent="0.25">
      <c r="B444" s="1"/>
    </row>
    <row r="445" spans="2:2" x14ac:dyDescent="0.25">
      <c r="B445" s="1"/>
    </row>
    <row r="446" spans="2:2" x14ac:dyDescent="0.25">
      <c r="B446" s="1"/>
    </row>
    <row r="447" spans="2:2" x14ac:dyDescent="0.25">
      <c r="B447" s="1"/>
    </row>
    <row r="448" spans="2:2" x14ac:dyDescent="0.25">
      <c r="B448" s="1"/>
    </row>
    <row r="449" spans="2:2" x14ac:dyDescent="0.25">
      <c r="B449" s="1"/>
    </row>
    <row r="450" spans="2:2" x14ac:dyDescent="0.25">
      <c r="B450" s="1"/>
    </row>
    <row r="451" spans="2:2" x14ac:dyDescent="0.25">
      <c r="B451" s="1"/>
    </row>
    <row r="452" spans="2:2" x14ac:dyDescent="0.25">
      <c r="B452" s="1"/>
    </row>
    <row r="453" spans="2:2" x14ac:dyDescent="0.25">
      <c r="B453" s="1"/>
    </row>
    <row r="454" spans="2:2" x14ac:dyDescent="0.25">
      <c r="B454" s="1"/>
    </row>
    <row r="455" spans="2:2" x14ac:dyDescent="0.25">
      <c r="B455" s="1"/>
    </row>
    <row r="456" spans="2:2" x14ac:dyDescent="0.25">
      <c r="B456" s="1"/>
    </row>
    <row r="457" spans="2:2" x14ac:dyDescent="0.25">
      <c r="B457" s="1"/>
    </row>
    <row r="458" spans="2:2" x14ac:dyDescent="0.25">
      <c r="B458" s="1"/>
    </row>
    <row r="459" spans="2:2" x14ac:dyDescent="0.25">
      <c r="B459" s="1"/>
    </row>
    <row r="460" spans="2:2" x14ac:dyDescent="0.25">
      <c r="B460" s="1"/>
    </row>
    <row r="461" spans="2:2" x14ac:dyDescent="0.25">
      <c r="B461" s="1"/>
    </row>
    <row r="462" spans="2:2" x14ac:dyDescent="0.25">
      <c r="B462" s="1"/>
    </row>
    <row r="463" spans="2:2" x14ac:dyDescent="0.25">
      <c r="B463" s="1"/>
    </row>
    <row r="464" spans="2:2" x14ac:dyDescent="0.25">
      <c r="B464" s="1"/>
    </row>
    <row r="465" spans="2:2" x14ac:dyDescent="0.25">
      <c r="B465" s="1"/>
    </row>
    <row r="466" spans="2:2" x14ac:dyDescent="0.25">
      <c r="B466" s="1"/>
    </row>
    <row r="467" spans="2:2" x14ac:dyDescent="0.25">
      <c r="B467" s="1"/>
    </row>
    <row r="468" spans="2:2" x14ac:dyDescent="0.25">
      <c r="B468" s="1"/>
    </row>
    <row r="469" spans="2:2" x14ac:dyDescent="0.25">
      <c r="B469" s="1"/>
    </row>
    <row r="470" spans="2:2" x14ac:dyDescent="0.25">
      <c r="B470" s="1"/>
    </row>
    <row r="471" spans="2:2" x14ac:dyDescent="0.25">
      <c r="B471" s="1"/>
    </row>
    <row r="472" spans="2:2" x14ac:dyDescent="0.25">
      <c r="B472" s="1"/>
    </row>
    <row r="473" spans="2:2" x14ac:dyDescent="0.25">
      <c r="B473" s="1"/>
    </row>
    <row r="474" spans="2:2" x14ac:dyDescent="0.25">
      <c r="B474" s="1"/>
    </row>
    <row r="475" spans="2:2" x14ac:dyDescent="0.25">
      <c r="B475" s="1"/>
    </row>
    <row r="476" spans="2:2" x14ac:dyDescent="0.25">
      <c r="B476" s="1"/>
    </row>
    <row r="477" spans="2:2" x14ac:dyDescent="0.25">
      <c r="B477" s="1"/>
    </row>
    <row r="478" spans="2:2" x14ac:dyDescent="0.25">
      <c r="B478" s="1"/>
    </row>
    <row r="479" spans="2:2" x14ac:dyDescent="0.25">
      <c r="B479" s="1"/>
    </row>
    <row r="480" spans="2:2" x14ac:dyDescent="0.25">
      <c r="B480" s="1"/>
    </row>
    <row r="481" spans="2:2" x14ac:dyDescent="0.25">
      <c r="B481" s="1"/>
    </row>
    <row r="482" spans="2:2" x14ac:dyDescent="0.25">
      <c r="B482" s="1"/>
    </row>
    <row r="483" spans="2:2" x14ac:dyDescent="0.25">
      <c r="B483" s="1"/>
    </row>
    <row r="484" spans="2:2" x14ac:dyDescent="0.25">
      <c r="B484" s="1"/>
    </row>
    <row r="485" spans="2:2" x14ac:dyDescent="0.25">
      <c r="B485" s="1"/>
    </row>
    <row r="486" spans="2:2" x14ac:dyDescent="0.25">
      <c r="B486" s="1"/>
    </row>
    <row r="487" spans="2:2" x14ac:dyDescent="0.25">
      <c r="B487" s="1"/>
    </row>
    <row r="488" spans="2:2" x14ac:dyDescent="0.25">
      <c r="B488" s="1"/>
    </row>
    <row r="489" spans="2:2" x14ac:dyDescent="0.25">
      <c r="B489" s="1"/>
    </row>
    <row r="490" spans="2:2" x14ac:dyDescent="0.25">
      <c r="B490" s="1"/>
    </row>
    <row r="491" spans="2:2" x14ac:dyDescent="0.25">
      <c r="B491" s="1"/>
    </row>
    <row r="492" spans="2:2" x14ac:dyDescent="0.25">
      <c r="B492" s="1"/>
    </row>
    <row r="493" spans="2:2" x14ac:dyDescent="0.25">
      <c r="B493" s="1"/>
    </row>
    <row r="494" spans="2:2" x14ac:dyDescent="0.25">
      <c r="B494" s="1"/>
    </row>
    <row r="495" spans="2:2" x14ac:dyDescent="0.25">
      <c r="B495" s="1"/>
    </row>
    <row r="496" spans="2:2" x14ac:dyDescent="0.25">
      <c r="B496" s="1"/>
    </row>
    <row r="497" spans="2:2" x14ac:dyDescent="0.25">
      <c r="B497" s="1"/>
    </row>
    <row r="498" spans="2:2" x14ac:dyDescent="0.25">
      <c r="B498" s="1"/>
    </row>
    <row r="499" spans="2:2" x14ac:dyDescent="0.25">
      <c r="B499" s="1"/>
    </row>
    <row r="500" spans="2:2" x14ac:dyDescent="0.25">
      <c r="B500" s="1"/>
    </row>
    <row r="501" spans="2:2" x14ac:dyDescent="0.25">
      <c r="B501" s="1"/>
    </row>
    <row r="502" spans="2:2" x14ac:dyDescent="0.25">
      <c r="B502" s="1"/>
    </row>
    <row r="503" spans="2:2" x14ac:dyDescent="0.25">
      <c r="B503" s="1"/>
    </row>
    <row r="504" spans="2:2" x14ac:dyDescent="0.25">
      <c r="B504" s="1"/>
    </row>
    <row r="505" spans="2:2" x14ac:dyDescent="0.25">
      <c r="B505" s="1"/>
    </row>
    <row r="506" spans="2:2" x14ac:dyDescent="0.25">
      <c r="B506" s="1"/>
    </row>
    <row r="507" spans="2:2" x14ac:dyDescent="0.25">
      <c r="B507" s="1"/>
    </row>
    <row r="508" spans="2:2" x14ac:dyDescent="0.25">
      <c r="B508" s="1"/>
    </row>
    <row r="509" spans="2:2" x14ac:dyDescent="0.25">
      <c r="B509" s="1"/>
    </row>
    <row r="510" spans="2:2" x14ac:dyDescent="0.25">
      <c r="B510" s="1"/>
    </row>
    <row r="511" spans="2:2" x14ac:dyDescent="0.25">
      <c r="B511" s="1"/>
    </row>
    <row r="512" spans="2:2" x14ac:dyDescent="0.25">
      <c r="B512" s="1"/>
    </row>
    <row r="513" spans="2:2" x14ac:dyDescent="0.25">
      <c r="B513" s="1"/>
    </row>
    <row r="514" spans="2:2" x14ac:dyDescent="0.25">
      <c r="B514" s="1"/>
    </row>
    <row r="515" spans="2:2" x14ac:dyDescent="0.25">
      <c r="B515" s="1"/>
    </row>
    <row r="516" spans="2:2" x14ac:dyDescent="0.25">
      <c r="B516" s="1"/>
    </row>
    <row r="517" spans="2:2" x14ac:dyDescent="0.25">
      <c r="B517" s="1"/>
    </row>
    <row r="518" spans="2:2" x14ac:dyDescent="0.25">
      <c r="B518" s="1"/>
    </row>
    <row r="519" spans="2:2" x14ac:dyDescent="0.25">
      <c r="B519" s="1"/>
    </row>
    <row r="520" spans="2:2" x14ac:dyDescent="0.25">
      <c r="B520" s="1"/>
    </row>
    <row r="521" spans="2:2" x14ac:dyDescent="0.25">
      <c r="B521" s="1"/>
    </row>
    <row r="522" spans="2:2" x14ac:dyDescent="0.25">
      <c r="B522" s="1"/>
    </row>
    <row r="523" spans="2:2" x14ac:dyDescent="0.25">
      <c r="B523" s="1"/>
    </row>
    <row r="524" spans="2:2" x14ac:dyDescent="0.25">
      <c r="B524" s="1"/>
    </row>
    <row r="525" spans="2:2" x14ac:dyDescent="0.25">
      <c r="B525" s="1"/>
    </row>
    <row r="526" spans="2:2" x14ac:dyDescent="0.25">
      <c r="B526" s="1"/>
    </row>
    <row r="527" spans="2:2" x14ac:dyDescent="0.25">
      <c r="B527" s="1"/>
    </row>
    <row r="528" spans="2:2" x14ac:dyDescent="0.25">
      <c r="B528" s="1"/>
    </row>
    <row r="529" spans="2:2" x14ac:dyDescent="0.25">
      <c r="B529" s="1"/>
    </row>
    <row r="530" spans="2:2" x14ac:dyDescent="0.25">
      <c r="B530" s="1"/>
    </row>
    <row r="531" spans="2:2" x14ac:dyDescent="0.25">
      <c r="B531" s="1"/>
    </row>
    <row r="532" spans="2:2" x14ac:dyDescent="0.25">
      <c r="B532" s="1"/>
    </row>
    <row r="533" spans="2:2" x14ac:dyDescent="0.25">
      <c r="B533" s="1"/>
    </row>
    <row r="534" spans="2:2" x14ac:dyDescent="0.25">
      <c r="B534" s="1"/>
    </row>
    <row r="535" spans="2:2" x14ac:dyDescent="0.25">
      <c r="B535" s="1"/>
    </row>
    <row r="536" spans="2:2" x14ac:dyDescent="0.25">
      <c r="B536" s="1"/>
    </row>
    <row r="537" spans="2:2" x14ac:dyDescent="0.25">
      <c r="B537" s="1"/>
    </row>
    <row r="538" spans="2:2" x14ac:dyDescent="0.25">
      <c r="B538" s="1"/>
    </row>
    <row r="539" spans="2:2" x14ac:dyDescent="0.25">
      <c r="B539" s="1"/>
    </row>
    <row r="540" spans="2:2" x14ac:dyDescent="0.25">
      <c r="B540" s="1"/>
    </row>
    <row r="541" spans="2:2" x14ac:dyDescent="0.25">
      <c r="B541" s="1"/>
    </row>
    <row r="542" spans="2:2" x14ac:dyDescent="0.25">
      <c r="B542" s="1"/>
    </row>
    <row r="543" spans="2:2" x14ac:dyDescent="0.25">
      <c r="B543" s="1"/>
    </row>
    <row r="544" spans="2:2" x14ac:dyDescent="0.25">
      <c r="B544" s="1"/>
    </row>
    <row r="545" spans="2:2" x14ac:dyDescent="0.25">
      <c r="B545" s="1"/>
    </row>
    <row r="546" spans="2:2" x14ac:dyDescent="0.25">
      <c r="B546" s="1"/>
    </row>
    <row r="547" spans="2:2" x14ac:dyDescent="0.25">
      <c r="B547" s="1"/>
    </row>
    <row r="548" spans="2:2" x14ac:dyDescent="0.25">
      <c r="B548" s="1"/>
    </row>
    <row r="549" spans="2:2" x14ac:dyDescent="0.25">
      <c r="B549" s="1"/>
    </row>
    <row r="550" spans="2:2" x14ac:dyDescent="0.25">
      <c r="B550" s="1"/>
    </row>
    <row r="551" spans="2:2" x14ac:dyDescent="0.25">
      <c r="B551" s="1"/>
    </row>
    <row r="552" spans="2:2" x14ac:dyDescent="0.25">
      <c r="B552" s="1"/>
    </row>
    <row r="553" spans="2:2" x14ac:dyDescent="0.25">
      <c r="B553" s="1"/>
    </row>
    <row r="554" spans="2:2" x14ac:dyDescent="0.25">
      <c r="B554" s="1"/>
    </row>
    <row r="555" spans="2:2" x14ac:dyDescent="0.25">
      <c r="B555" s="1"/>
    </row>
    <row r="556" spans="2:2" x14ac:dyDescent="0.25">
      <c r="B556" s="1"/>
    </row>
    <row r="557" spans="2:2" x14ac:dyDescent="0.25">
      <c r="B557" s="1"/>
    </row>
    <row r="558" spans="2:2" x14ac:dyDescent="0.25">
      <c r="B558" s="1"/>
    </row>
    <row r="559" spans="2:2" x14ac:dyDescent="0.25">
      <c r="B559" s="1"/>
    </row>
    <row r="560" spans="2:2" x14ac:dyDescent="0.25">
      <c r="B560" s="1"/>
    </row>
    <row r="561" spans="2:2" x14ac:dyDescent="0.25">
      <c r="B561" s="1"/>
    </row>
    <row r="562" spans="2:2" x14ac:dyDescent="0.25">
      <c r="B562" s="1"/>
    </row>
    <row r="563" spans="2:2" x14ac:dyDescent="0.25">
      <c r="B563" s="1"/>
    </row>
    <row r="564" spans="2:2" x14ac:dyDescent="0.25">
      <c r="B564" s="1"/>
    </row>
    <row r="565" spans="2:2" x14ac:dyDescent="0.25">
      <c r="B565" s="1"/>
    </row>
    <row r="566" spans="2:2" x14ac:dyDescent="0.25">
      <c r="B566" s="1"/>
    </row>
    <row r="567" spans="2:2" x14ac:dyDescent="0.25">
      <c r="B567" s="1"/>
    </row>
    <row r="568" spans="2:2" x14ac:dyDescent="0.25">
      <c r="B568" s="1"/>
    </row>
    <row r="569" spans="2:2" x14ac:dyDescent="0.25">
      <c r="B569" s="1"/>
    </row>
    <row r="570" spans="2:2" x14ac:dyDescent="0.25">
      <c r="B570" s="1"/>
    </row>
    <row r="571" spans="2:2" x14ac:dyDescent="0.25">
      <c r="B571" s="1"/>
    </row>
    <row r="572" spans="2:2" x14ac:dyDescent="0.25">
      <c r="B572" s="1"/>
    </row>
    <row r="573" spans="2:2" x14ac:dyDescent="0.25">
      <c r="B573" s="1"/>
    </row>
    <row r="574" spans="2:2" x14ac:dyDescent="0.25">
      <c r="B574" s="1"/>
    </row>
    <row r="575" spans="2:2" x14ac:dyDescent="0.25">
      <c r="B575" s="1"/>
    </row>
    <row r="576" spans="2:2" x14ac:dyDescent="0.25">
      <c r="B576" s="1"/>
    </row>
    <row r="577" spans="2:2" x14ac:dyDescent="0.25">
      <c r="B577" s="1"/>
    </row>
    <row r="578" spans="2:2" x14ac:dyDescent="0.25">
      <c r="B578" s="1"/>
    </row>
    <row r="579" spans="2:2" x14ac:dyDescent="0.25">
      <c r="B579" s="1"/>
    </row>
    <row r="580" spans="2:2" x14ac:dyDescent="0.25">
      <c r="B580" s="1"/>
    </row>
    <row r="581" spans="2:2" x14ac:dyDescent="0.25">
      <c r="B581" s="1"/>
    </row>
    <row r="582" spans="2:2" x14ac:dyDescent="0.25">
      <c r="B582" s="1"/>
    </row>
    <row r="583" spans="2:2" x14ac:dyDescent="0.25">
      <c r="B583" s="1"/>
    </row>
    <row r="584" spans="2:2" x14ac:dyDescent="0.25">
      <c r="B584" s="1"/>
    </row>
    <row r="585" spans="2:2" x14ac:dyDescent="0.25">
      <c r="B585" s="1"/>
    </row>
    <row r="586" spans="2:2" x14ac:dyDescent="0.25">
      <c r="B586" s="1"/>
    </row>
    <row r="587" spans="2:2" x14ac:dyDescent="0.25">
      <c r="B587" s="1"/>
    </row>
    <row r="588" spans="2:2" x14ac:dyDescent="0.25">
      <c r="B588" s="1"/>
    </row>
    <row r="589" spans="2:2" x14ac:dyDescent="0.25">
      <c r="B589" s="1"/>
    </row>
    <row r="590" spans="2:2" x14ac:dyDescent="0.25">
      <c r="B590" s="1"/>
    </row>
    <row r="591" spans="2:2" x14ac:dyDescent="0.25">
      <c r="B591" s="1"/>
    </row>
    <row r="592" spans="2:2" x14ac:dyDescent="0.25">
      <c r="B592" s="1"/>
    </row>
    <row r="593" spans="2:2" x14ac:dyDescent="0.25">
      <c r="B593" s="1"/>
    </row>
    <row r="594" spans="2:2" x14ac:dyDescent="0.25">
      <c r="B594" s="1"/>
    </row>
    <row r="595" spans="2:2" x14ac:dyDescent="0.25">
      <c r="B595" s="1"/>
    </row>
    <row r="596" spans="2:2" x14ac:dyDescent="0.25">
      <c r="B596" s="1"/>
    </row>
    <row r="597" spans="2:2" x14ac:dyDescent="0.25">
      <c r="B597" s="1"/>
    </row>
    <row r="598" spans="2:2" x14ac:dyDescent="0.25">
      <c r="B598" s="1"/>
    </row>
    <row r="599" spans="2:2" x14ac:dyDescent="0.25">
      <c r="B599" s="1"/>
    </row>
    <row r="600" spans="2:2" x14ac:dyDescent="0.25">
      <c r="B600" s="1"/>
    </row>
    <row r="601" spans="2:2" x14ac:dyDescent="0.25">
      <c r="B601" s="1"/>
    </row>
    <row r="602" spans="2:2" x14ac:dyDescent="0.25">
      <c r="B602" s="1"/>
    </row>
    <row r="603" spans="2:2" x14ac:dyDescent="0.25">
      <c r="B603" s="1"/>
    </row>
    <row r="604" spans="2:2" x14ac:dyDescent="0.25">
      <c r="B604" s="1"/>
    </row>
    <row r="605" spans="2:2" x14ac:dyDescent="0.25">
      <c r="B605" s="1"/>
    </row>
    <row r="606" spans="2:2" x14ac:dyDescent="0.25">
      <c r="B606" s="1"/>
    </row>
    <row r="607" spans="2:2" x14ac:dyDescent="0.25">
      <c r="B607" s="1"/>
    </row>
    <row r="608" spans="2:2" x14ac:dyDescent="0.25">
      <c r="B608" s="1"/>
    </row>
    <row r="609" spans="2:2" x14ac:dyDescent="0.25">
      <c r="B609" s="1"/>
    </row>
    <row r="610" spans="2:2" x14ac:dyDescent="0.25">
      <c r="B610" s="1"/>
    </row>
    <row r="611" spans="2:2" x14ac:dyDescent="0.25">
      <c r="B611" s="1"/>
    </row>
    <row r="612" spans="2:2" x14ac:dyDescent="0.25">
      <c r="B612" s="1"/>
    </row>
    <row r="613" spans="2:2" x14ac:dyDescent="0.25">
      <c r="B613" s="1"/>
    </row>
    <row r="614" spans="2:2" x14ac:dyDescent="0.25">
      <c r="B614" s="1"/>
    </row>
    <row r="615" spans="2:2" x14ac:dyDescent="0.25">
      <c r="B615" s="1"/>
    </row>
    <row r="616" spans="2:2" x14ac:dyDescent="0.25">
      <c r="B616" s="1"/>
    </row>
    <row r="617" spans="2:2" x14ac:dyDescent="0.25">
      <c r="B617" s="1"/>
    </row>
    <row r="618" spans="2:2" x14ac:dyDescent="0.25">
      <c r="B618" s="1"/>
    </row>
    <row r="619" spans="2:2" x14ac:dyDescent="0.25">
      <c r="B619" s="1"/>
    </row>
    <row r="620" spans="2:2" x14ac:dyDescent="0.25">
      <c r="B620" s="1"/>
    </row>
    <row r="621" spans="2:2" x14ac:dyDescent="0.25">
      <c r="B621" s="1"/>
    </row>
    <row r="622" spans="2:2" x14ac:dyDescent="0.25">
      <c r="B622" s="1"/>
    </row>
    <row r="623" spans="2:2" x14ac:dyDescent="0.25">
      <c r="B623" s="1"/>
    </row>
    <row r="624" spans="2:2" x14ac:dyDescent="0.25">
      <c r="B624" s="1"/>
    </row>
    <row r="625" spans="2:2" x14ac:dyDescent="0.25">
      <c r="B625" s="1"/>
    </row>
    <row r="626" spans="2:2" x14ac:dyDescent="0.25">
      <c r="B626" s="1"/>
    </row>
    <row r="627" spans="2:2" x14ac:dyDescent="0.25">
      <c r="B627" s="1"/>
    </row>
    <row r="628" spans="2:2" x14ac:dyDescent="0.25">
      <c r="B628" s="1"/>
    </row>
    <row r="629" spans="2:2" x14ac:dyDescent="0.25">
      <c r="B629" s="1"/>
    </row>
    <row r="630" spans="2:2" x14ac:dyDescent="0.25">
      <c r="B630" s="1"/>
    </row>
    <row r="631" spans="2:2" x14ac:dyDescent="0.25">
      <c r="B631" s="1"/>
    </row>
    <row r="632" spans="2:2" x14ac:dyDescent="0.25">
      <c r="B632" s="1"/>
    </row>
    <row r="633" spans="2:2" x14ac:dyDescent="0.25">
      <c r="B633" s="1"/>
    </row>
    <row r="634" spans="2:2" x14ac:dyDescent="0.25">
      <c r="B634" s="1"/>
    </row>
    <row r="635" spans="2:2" x14ac:dyDescent="0.25">
      <c r="B635" s="1"/>
    </row>
    <row r="636" spans="2:2" x14ac:dyDescent="0.25">
      <c r="B636" s="1"/>
    </row>
    <row r="637" spans="2:2" x14ac:dyDescent="0.25">
      <c r="B637" s="1"/>
    </row>
    <row r="638" spans="2:2" x14ac:dyDescent="0.25">
      <c r="B638" s="1"/>
    </row>
    <row r="639" spans="2:2" x14ac:dyDescent="0.25">
      <c r="B639" s="1"/>
    </row>
    <row r="640" spans="2:2" x14ac:dyDescent="0.25">
      <c r="B640" s="1"/>
    </row>
    <row r="641" spans="2:2" x14ac:dyDescent="0.25">
      <c r="B641" s="1"/>
    </row>
    <row r="642" spans="2:2" x14ac:dyDescent="0.25">
      <c r="B642" s="1"/>
    </row>
    <row r="643" spans="2:2" x14ac:dyDescent="0.25">
      <c r="B643" s="1"/>
    </row>
    <row r="644" spans="2:2" x14ac:dyDescent="0.25">
      <c r="B644" s="1"/>
    </row>
    <row r="645" spans="2:2" x14ac:dyDescent="0.25">
      <c r="B645" s="1"/>
    </row>
    <row r="646" spans="2:2" x14ac:dyDescent="0.25">
      <c r="B646" s="1"/>
    </row>
    <row r="647" spans="2:2" x14ac:dyDescent="0.25">
      <c r="B647" s="1"/>
    </row>
    <row r="648" spans="2:2" x14ac:dyDescent="0.25">
      <c r="B648" s="1"/>
    </row>
    <row r="649" spans="2:2" x14ac:dyDescent="0.25">
      <c r="B649" s="1"/>
    </row>
    <row r="650" spans="2:2" x14ac:dyDescent="0.25">
      <c r="B650" s="1"/>
    </row>
    <row r="651" spans="2:2" x14ac:dyDescent="0.25">
      <c r="B651" s="1"/>
    </row>
    <row r="652" spans="2:2" x14ac:dyDescent="0.25">
      <c r="B652" s="1"/>
    </row>
    <row r="653" spans="2:2" x14ac:dyDescent="0.25">
      <c r="B653" s="1"/>
    </row>
    <row r="654" spans="2:2" x14ac:dyDescent="0.25">
      <c r="B654" s="1"/>
    </row>
    <row r="655" spans="2:2" x14ac:dyDescent="0.25">
      <c r="B655" s="1"/>
    </row>
    <row r="656" spans="2:2" x14ac:dyDescent="0.25">
      <c r="B656" s="1"/>
    </row>
    <row r="657" spans="2:2" x14ac:dyDescent="0.25">
      <c r="B657" s="1"/>
    </row>
    <row r="658" spans="2:2" x14ac:dyDescent="0.25">
      <c r="B658" s="1"/>
    </row>
    <row r="659" spans="2:2" x14ac:dyDescent="0.25">
      <c r="B659" s="1"/>
    </row>
    <row r="660" spans="2:2" x14ac:dyDescent="0.25">
      <c r="B660" s="1"/>
    </row>
    <row r="661" spans="2:2" x14ac:dyDescent="0.25">
      <c r="B661" s="1"/>
    </row>
    <row r="662" spans="2:2" x14ac:dyDescent="0.25">
      <c r="B662" s="1"/>
    </row>
    <row r="663" spans="2:2" x14ac:dyDescent="0.25">
      <c r="B663" s="1"/>
    </row>
    <row r="664" spans="2:2" x14ac:dyDescent="0.25">
      <c r="B664" s="1"/>
    </row>
    <row r="665" spans="2:2" x14ac:dyDescent="0.25">
      <c r="B665" s="1"/>
    </row>
    <row r="666" spans="2:2" x14ac:dyDescent="0.25">
      <c r="B666" s="1"/>
    </row>
    <row r="667" spans="2:2" x14ac:dyDescent="0.25">
      <c r="B667" s="1"/>
    </row>
    <row r="668" spans="2:2" x14ac:dyDescent="0.25">
      <c r="B668" s="1"/>
    </row>
    <row r="669" spans="2:2" x14ac:dyDescent="0.25">
      <c r="B669" s="1"/>
    </row>
    <row r="670" spans="2:2" x14ac:dyDescent="0.25">
      <c r="B670" s="1"/>
    </row>
    <row r="671" spans="2:2" x14ac:dyDescent="0.25">
      <c r="B671" s="1"/>
    </row>
    <row r="672" spans="2:2" x14ac:dyDescent="0.25">
      <c r="B672" s="1"/>
    </row>
    <row r="673" spans="2:2" x14ac:dyDescent="0.25">
      <c r="B673" s="1"/>
    </row>
    <row r="674" spans="2:2" x14ac:dyDescent="0.25">
      <c r="B674" s="1"/>
    </row>
    <row r="675" spans="2:2" x14ac:dyDescent="0.25">
      <c r="B675" s="1"/>
    </row>
    <row r="676" spans="2:2" x14ac:dyDescent="0.25">
      <c r="B676" s="1"/>
    </row>
    <row r="677" spans="2:2" x14ac:dyDescent="0.25">
      <c r="B677" s="1"/>
    </row>
    <row r="678" spans="2:2" x14ac:dyDescent="0.25">
      <c r="B678" s="1"/>
    </row>
    <row r="679" spans="2:2" x14ac:dyDescent="0.25">
      <c r="B679" s="1"/>
    </row>
    <row r="680" spans="2:2" x14ac:dyDescent="0.25">
      <c r="B680" s="1"/>
    </row>
    <row r="681" spans="2:2" x14ac:dyDescent="0.25">
      <c r="B681" s="1"/>
    </row>
    <row r="682" spans="2:2" x14ac:dyDescent="0.25">
      <c r="B682" s="1"/>
    </row>
    <row r="683" spans="2:2" x14ac:dyDescent="0.25">
      <c r="B683" s="1"/>
    </row>
    <row r="684" spans="2:2" x14ac:dyDescent="0.25">
      <c r="B684" s="1"/>
    </row>
    <row r="685" spans="2:2" x14ac:dyDescent="0.25">
      <c r="B685" s="1"/>
    </row>
    <row r="686" spans="2:2" x14ac:dyDescent="0.25">
      <c r="B686" s="1"/>
    </row>
    <row r="687" spans="2:2" x14ac:dyDescent="0.25">
      <c r="B687" s="1"/>
    </row>
    <row r="688" spans="2:2" x14ac:dyDescent="0.25">
      <c r="B688" s="1"/>
    </row>
    <row r="689" spans="2:2" x14ac:dyDescent="0.25">
      <c r="B689" s="1"/>
    </row>
    <row r="690" spans="2:2" x14ac:dyDescent="0.25">
      <c r="B690" s="1"/>
    </row>
    <row r="691" spans="2:2" x14ac:dyDescent="0.25">
      <c r="B691" s="1"/>
    </row>
    <row r="692" spans="2:2" x14ac:dyDescent="0.25">
      <c r="B692" s="1"/>
    </row>
    <row r="693" spans="2:2" x14ac:dyDescent="0.25">
      <c r="B693" s="1"/>
    </row>
    <row r="694" spans="2:2" x14ac:dyDescent="0.25">
      <c r="B694" s="1"/>
    </row>
    <row r="695" spans="2:2" x14ac:dyDescent="0.25">
      <c r="B695" s="1"/>
    </row>
    <row r="696" spans="2:2" x14ac:dyDescent="0.25">
      <c r="B696" s="1"/>
    </row>
    <row r="697" spans="2:2" x14ac:dyDescent="0.25">
      <c r="B697" s="1"/>
    </row>
    <row r="698" spans="2:2" x14ac:dyDescent="0.25">
      <c r="B698" s="1"/>
    </row>
    <row r="699" spans="2:2" x14ac:dyDescent="0.25">
      <c r="B699" s="1"/>
    </row>
    <row r="700" spans="2:2" x14ac:dyDescent="0.25">
      <c r="B700" s="1"/>
    </row>
    <row r="701" spans="2:2" x14ac:dyDescent="0.25">
      <c r="B701" s="1"/>
    </row>
    <row r="702" spans="2:2" x14ac:dyDescent="0.25">
      <c r="B702" s="1"/>
    </row>
    <row r="703" spans="2:2" x14ac:dyDescent="0.25">
      <c r="B703" s="1"/>
    </row>
    <row r="704" spans="2:2" x14ac:dyDescent="0.25">
      <c r="B704" s="1"/>
    </row>
    <row r="705" spans="2:2" x14ac:dyDescent="0.25">
      <c r="B705" s="1"/>
    </row>
    <row r="706" spans="2:2" x14ac:dyDescent="0.25">
      <c r="B706" s="1"/>
    </row>
    <row r="707" spans="2:2" x14ac:dyDescent="0.25">
      <c r="B707" s="1"/>
    </row>
    <row r="708" spans="2:2" x14ac:dyDescent="0.25">
      <c r="B708" s="1"/>
    </row>
    <row r="709" spans="2:2" x14ac:dyDescent="0.25">
      <c r="B709" s="1"/>
    </row>
    <row r="710" spans="2:2" x14ac:dyDescent="0.25">
      <c r="B710" s="1"/>
    </row>
    <row r="711" spans="2:2" x14ac:dyDescent="0.25">
      <c r="B711" s="1"/>
    </row>
    <row r="712" spans="2:2" x14ac:dyDescent="0.25">
      <c r="B712" s="1"/>
    </row>
    <row r="713" spans="2:2" x14ac:dyDescent="0.25">
      <c r="B713" s="1"/>
    </row>
    <row r="714" spans="2:2" x14ac:dyDescent="0.25">
      <c r="B714" s="1"/>
    </row>
    <row r="715" spans="2:2" x14ac:dyDescent="0.25">
      <c r="B715" s="1"/>
    </row>
    <row r="716" spans="2:2" x14ac:dyDescent="0.25">
      <c r="B716" s="1"/>
    </row>
    <row r="717" spans="2:2" x14ac:dyDescent="0.25">
      <c r="B717" s="1"/>
    </row>
    <row r="718" spans="2:2" x14ac:dyDescent="0.25">
      <c r="B718" s="1"/>
    </row>
    <row r="719" spans="2:2" x14ac:dyDescent="0.25">
      <c r="B719" s="1"/>
    </row>
    <row r="720" spans="2:2" x14ac:dyDescent="0.25">
      <c r="B720" s="1"/>
    </row>
    <row r="721" spans="2:2" x14ac:dyDescent="0.25">
      <c r="B721" s="1"/>
    </row>
    <row r="722" spans="2:2" x14ac:dyDescent="0.25">
      <c r="B722" s="1"/>
    </row>
    <row r="723" spans="2:2" x14ac:dyDescent="0.25">
      <c r="B723" s="1"/>
    </row>
    <row r="724" spans="2:2" x14ac:dyDescent="0.25">
      <c r="B724" s="1"/>
    </row>
    <row r="725" spans="2:2" x14ac:dyDescent="0.25">
      <c r="B725" s="1"/>
    </row>
    <row r="726" spans="2:2" x14ac:dyDescent="0.25">
      <c r="B726" s="1"/>
    </row>
    <row r="727" spans="2:2" x14ac:dyDescent="0.25">
      <c r="B727" s="1"/>
    </row>
    <row r="728" spans="2:2" x14ac:dyDescent="0.25">
      <c r="B728" s="1"/>
    </row>
    <row r="729" spans="2:2" x14ac:dyDescent="0.25">
      <c r="B729" s="1"/>
    </row>
    <row r="730" spans="2:2" x14ac:dyDescent="0.25">
      <c r="B730" s="1"/>
    </row>
    <row r="731" spans="2:2" x14ac:dyDescent="0.25">
      <c r="B731" s="1"/>
    </row>
    <row r="732" spans="2:2" x14ac:dyDescent="0.25">
      <c r="B732" s="1"/>
    </row>
    <row r="733" spans="2:2" x14ac:dyDescent="0.25">
      <c r="B733" s="1"/>
    </row>
    <row r="734" spans="2:2" x14ac:dyDescent="0.25">
      <c r="B734" s="1"/>
    </row>
    <row r="735" spans="2:2" x14ac:dyDescent="0.25">
      <c r="B735" s="1"/>
    </row>
    <row r="736" spans="2:2" x14ac:dyDescent="0.25">
      <c r="B736" s="1"/>
    </row>
    <row r="737" spans="2:2" x14ac:dyDescent="0.25">
      <c r="B737" s="1"/>
    </row>
    <row r="738" spans="2:2" x14ac:dyDescent="0.25">
      <c r="B738" s="1"/>
    </row>
    <row r="739" spans="2:2" x14ac:dyDescent="0.25">
      <c r="B739" s="1"/>
    </row>
    <row r="740" spans="2:2" x14ac:dyDescent="0.25">
      <c r="B740" s="1"/>
    </row>
    <row r="741" spans="2:2" x14ac:dyDescent="0.25">
      <c r="B741" s="1"/>
    </row>
    <row r="742" spans="2:2" x14ac:dyDescent="0.25">
      <c r="B742" s="1"/>
    </row>
    <row r="743" spans="2:2" x14ac:dyDescent="0.25">
      <c r="B743" s="1"/>
    </row>
    <row r="744" spans="2:2" x14ac:dyDescent="0.25">
      <c r="B744" s="1"/>
    </row>
    <row r="745" spans="2:2" x14ac:dyDescent="0.25">
      <c r="B745" s="1"/>
    </row>
    <row r="746" spans="2:2" x14ac:dyDescent="0.25">
      <c r="B746" s="1"/>
    </row>
    <row r="747" spans="2:2" x14ac:dyDescent="0.25">
      <c r="B747" s="1"/>
    </row>
    <row r="748" spans="2:2" x14ac:dyDescent="0.25">
      <c r="B748" s="1"/>
    </row>
    <row r="749" spans="2:2" x14ac:dyDescent="0.25">
      <c r="B749" s="1"/>
    </row>
    <row r="750" spans="2:2" x14ac:dyDescent="0.25">
      <c r="B750" s="1"/>
    </row>
    <row r="751" spans="2:2" x14ac:dyDescent="0.25">
      <c r="B751" s="1"/>
    </row>
    <row r="752" spans="2:2" x14ac:dyDescent="0.25">
      <c r="B752" s="1"/>
    </row>
    <row r="753" spans="2:2" x14ac:dyDescent="0.25">
      <c r="B753" s="1"/>
    </row>
    <row r="754" spans="2:2" x14ac:dyDescent="0.25">
      <c r="B754" s="1"/>
    </row>
    <row r="755" spans="2:2" x14ac:dyDescent="0.25">
      <c r="B755" s="1"/>
    </row>
    <row r="756" spans="2:2" x14ac:dyDescent="0.25">
      <c r="B756" s="1"/>
    </row>
    <row r="757" spans="2:2" x14ac:dyDescent="0.25">
      <c r="B757" s="1"/>
    </row>
    <row r="758" spans="2:2" x14ac:dyDescent="0.25">
      <c r="B758" s="1"/>
    </row>
    <row r="759" spans="2:2" x14ac:dyDescent="0.25">
      <c r="B759" s="1"/>
    </row>
    <row r="760" spans="2:2" x14ac:dyDescent="0.25">
      <c r="B760" s="1"/>
    </row>
    <row r="761" spans="2:2" x14ac:dyDescent="0.25">
      <c r="B761" s="1"/>
    </row>
    <row r="762" spans="2:2" x14ac:dyDescent="0.25">
      <c r="B762" s="1"/>
    </row>
    <row r="763" spans="2:2" x14ac:dyDescent="0.25">
      <c r="B763" s="1"/>
    </row>
    <row r="764" spans="2:2" x14ac:dyDescent="0.25">
      <c r="B764" s="1"/>
    </row>
    <row r="765" spans="2:2" x14ac:dyDescent="0.25">
      <c r="B765" s="1"/>
    </row>
    <row r="766" spans="2:2" x14ac:dyDescent="0.25">
      <c r="B766" s="1"/>
    </row>
    <row r="767" spans="2:2" x14ac:dyDescent="0.25">
      <c r="B767" s="1"/>
    </row>
    <row r="768" spans="2:2" x14ac:dyDescent="0.25">
      <c r="B768" s="1"/>
    </row>
    <row r="769" spans="2:2" x14ac:dyDescent="0.25">
      <c r="B769" s="1"/>
    </row>
    <row r="770" spans="2:2" x14ac:dyDescent="0.25">
      <c r="B770" s="1"/>
    </row>
    <row r="771" spans="2:2" x14ac:dyDescent="0.25">
      <c r="B771" s="1"/>
    </row>
    <row r="772" spans="2:2" x14ac:dyDescent="0.25">
      <c r="B772" s="1"/>
    </row>
    <row r="773" spans="2:2" x14ac:dyDescent="0.25">
      <c r="B773" s="1"/>
    </row>
    <row r="774" spans="2:2" x14ac:dyDescent="0.25">
      <c r="B774" s="1"/>
    </row>
    <row r="775" spans="2:2" x14ac:dyDescent="0.25">
      <c r="B775" s="1"/>
    </row>
    <row r="776" spans="2:2" x14ac:dyDescent="0.25">
      <c r="B776" s="1"/>
    </row>
    <row r="777" spans="2:2" x14ac:dyDescent="0.25">
      <c r="B777" s="1"/>
    </row>
    <row r="778" spans="2:2" x14ac:dyDescent="0.25">
      <c r="B778" s="1"/>
    </row>
    <row r="779" spans="2:2" x14ac:dyDescent="0.25">
      <c r="B779" s="1"/>
    </row>
    <row r="780" spans="2:2" x14ac:dyDescent="0.25">
      <c r="B780" s="1"/>
    </row>
    <row r="781" spans="2:2" x14ac:dyDescent="0.25">
      <c r="B781" s="1"/>
    </row>
    <row r="782" spans="2:2" x14ac:dyDescent="0.25">
      <c r="B782" s="1"/>
    </row>
    <row r="783" spans="2:2" x14ac:dyDescent="0.25">
      <c r="B783" s="1"/>
    </row>
    <row r="784" spans="2:2" x14ac:dyDescent="0.25">
      <c r="B784" s="1"/>
    </row>
    <row r="785" spans="2:2" x14ac:dyDescent="0.25">
      <c r="B785" s="1"/>
    </row>
    <row r="786" spans="2:2" x14ac:dyDescent="0.25">
      <c r="B786" s="1"/>
    </row>
    <row r="787" spans="2:2" x14ac:dyDescent="0.25">
      <c r="B787" s="1"/>
    </row>
    <row r="788" spans="2:2" x14ac:dyDescent="0.25">
      <c r="B788" s="1"/>
    </row>
    <row r="789" spans="2:2" x14ac:dyDescent="0.25">
      <c r="B789" s="1"/>
    </row>
    <row r="790" spans="2:2" x14ac:dyDescent="0.25">
      <c r="B790" s="1"/>
    </row>
    <row r="791" spans="2:2" x14ac:dyDescent="0.25">
      <c r="B791" s="1"/>
    </row>
    <row r="792" spans="2:2" x14ac:dyDescent="0.25">
      <c r="B792" s="1"/>
    </row>
    <row r="793" spans="2:2" x14ac:dyDescent="0.25">
      <c r="B793" s="1"/>
    </row>
    <row r="794" spans="2:2" x14ac:dyDescent="0.25">
      <c r="B794" s="1"/>
    </row>
    <row r="795" spans="2:2" x14ac:dyDescent="0.25">
      <c r="B795" s="1"/>
    </row>
    <row r="796" spans="2:2" x14ac:dyDescent="0.25">
      <c r="B796" s="1"/>
    </row>
    <row r="797" spans="2:2" x14ac:dyDescent="0.25">
      <c r="B797" s="1"/>
    </row>
    <row r="798" spans="2:2" x14ac:dyDescent="0.25">
      <c r="B798" s="1"/>
    </row>
    <row r="799" spans="2:2" x14ac:dyDescent="0.25">
      <c r="B799" s="1"/>
    </row>
    <row r="800" spans="2:2" x14ac:dyDescent="0.25">
      <c r="B800" s="1"/>
    </row>
    <row r="801" spans="2:2" x14ac:dyDescent="0.25">
      <c r="B801" s="1"/>
    </row>
    <row r="802" spans="2:2" x14ac:dyDescent="0.25">
      <c r="B802" s="1"/>
    </row>
    <row r="803" spans="2:2" x14ac:dyDescent="0.25">
      <c r="B803" s="1"/>
    </row>
    <row r="804" spans="2:2" x14ac:dyDescent="0.25">
      <c r="B804" s="1"/>
    </row>
    <row r="805" spans="2:2" x14ac:dyDescent="0.25">
      <c r="B805" s="1"/>
    </row>
    <row r="806" spans="2:2" x14ac:dyDescent="0.25">
      <c r="B806" s="1"/>
    </row>
    <row r="807" spans="2:2" x14ac:dyDescent="0.25">
      <c r="B807" s="1"/>
    </row>
    <row r="808" spans="2:2" x14ac:dyDescent="0.25">
      <c r="B808" s="1"/>
    </row>
    <row r="809" spans="2:2" x14ac:dyDescent="0.25">
      <c r="B809" s="1"/>
    </row>
    <row r="810" spans="2:2" x14ac:dyDescent="0.25">
      <c r="B810" s="1"/>
    </row>
    <row r="811" spans="2:2" x14ac:dyDescent="0.25">
      <c r="B811" s="1"/>
    </row>
    <row r="812" spans="2:2" x14ac:dyDescent="0.25">
      <c r="B812" s="1"/>
    </row>
    <row r="813" spans="2:2" x14ac:dyDescent="0.25">
      <c r="B813" s="1"/>
    </row>
    <row r="814" spans="2:2" x14ac:dyDescent="0.25">
      <c r="B814" s="1"/>
    </row>
    <row r="815" spans="2:2" x14ac:dyDescent="0.25">
      <c r="B815" s="1"/>
    </row>
    <row r="816" spans="2:2" x14ac:dyDescent="0.25">
      <c r="B816" s="1"/>
    </row>
    <row r="817" spans="2:2" x14ac:dyDescent="0.25">
      <c r="B817" s="1"/>
    </row>
    <row r="818" spans="2:2" x14ac:dyDescent="0.25">
      <c r="B818" s="1"/>
    </row>
    <row r="819" spans="2:2" x14ac:dyDescent="0.25">
      <c r="B819" s="1"/>
    </row>
    <row r="820" spans="2:2" x14ac:dyDescent="0.25">
      <c r="B820" s="1"/>
    </row>
    <row r="821" spans="2:2" x14ac:dyDescent="0.25">
      <c r="B821" s="1"/>
    </row>
    <row r="822" spans="2:2" x14ac:dyDescent="0.25">
      <c r="B822" s="1"/>
    </row>
    <row r="823" spans="2:2" x14ac:dyDescent="0.25">
      <c r="B823" s="1"/>
    </row>
    <row r="824" spans="2:2" x14ac:dyDescent="0.25">
      <c r="B824" s="1"/>
    </row>
    <row r="825" spans="2:2" x14ac:dyDescent="0.25">
      <c r="B825" s="1"/>
    </row>
    <row r="826" spans="2:2" x14ac:dyDescent="0.25">
      <c r="B826" s="1"/>
    </row>
    <row r="827" spans="2:2" x14ac:dyDescent="0.25">
      <c r="B827" s="1"/>
    </row>
    <row r="828" spans="2:2" x14ac:dyDescent="0.25">
      <c r="B828" s="1"/>
    </row>
    <row r="829" spans="2:2" x14ac:dyDescent="0.25">
      <c r="B829" s="1"/>
    </row>
    <row r="830" spans="2:2" x14ac:dyDescent="0.25">
      <c r="B830" s="1"/>
    </row>
    <row r="831" spans="2:2" x14ac:dyDescent="0.25">
      <c r="B831" s="1"/>
    </row>
    <row r="832" spans="2:2" x14ac:dyDescent="0.25">
      <c r="B832" s="1"/>
    </row>
    <row r="833" spans="2:2" x14ac:dyDescent="0.25">
      <c r="B833" s="1"/>
    </row>
    <row r="834" spans="2:2" x14ac:dyDescent="0.25">
      <c r="B834" s="1"/>
    </row>
    <row r="835" spans="2:2" x14ac:dyDescent="0.25">
      <c r="B835" s="1"/>
    </row>
    <row r="836" spans="2:2" x14ac:dyDescent="0.25">
      <c r="B836" s="1"/>
    </row>
    <row r="837" spans="2:2" x14ac:dyDescent="0.25">
      <c r="B837" s="1"/>
    </row>
    <row r="838" spans="2:2" x14ac:dyDescent="0.25">
      <c r="B838" s="1"/>
    </row>
    <row r="839" spans="2:2" x14ac:dyDescent="0.25">
      <c r="B839" s="1"/>
    </row>
    <row r="840" spans="2:2" x14ac:dyDescent="0.25">
      <c r="B840" s="1"/>
    </row>
    <row r="841" spans="2:2" x14ac:dyDescent="0.25">
      <c r="B841" s="1"/>
    </row>
    <row r="842" spans="2:2" x14ac:dyDescent="0.25">
      <c r="B842" s="1"/>
    </row>
    <row r="843" spans="2:2" x14ac:dyDescent="0.25">
      <c r="B843" s="1"/>
    </row>
    <row r="844" spans="2:2" x14ac:dyDescent="0.25">
      <c r="B844" s="1"/>
    </row>
    <row r="845" spans="2:2" x14ac:dyDescent="0.25">
      <c r="B845" s="1"/>
    </row>
    <row r="846" spans="2:2" x14ac:dyDescent="0.25">
      <c r="B846" s="1"/>
    </row>
    <row r="847" spans="2:2" x14ac:dyDescent="0.25">
      <c r="B847" s="1"/>
    </row>
    <row r="848" spans="2:2" x14ac:dyDescent="0.25">
      <c r="B848" s="1"/>
    </row>
    <row r="849" spans="2:2" x14ac:dyDescent="0.25">
      <c r="B849" s="1"/>
    </row>
    <row r="850" spans="2:2" x14ac:dyDescent="0.25">
      <c r="B850" s="1"/>
    </row>
    <row r="851" spans="2:2" x14ac:dyDescent="0.25">
      <c r="B851" s="1"/>
    </row>
    <row r="852" spans="2:2" x14ac:dyDescent="0.25">
      <c r="B852" s="1"/>
    </row>
    <row r="853" spans="2:2" x14ac:dyDescent="0.25">
      <c r="B853" s="1"/>
    </row>
    <row r="854" spans="2:2" x14ac:dyDescent="0.25">
      <c r="B854" s="1"/>
    </row>
    <row r="855" spans="2:2" x14ac:dyDescent="0.25">
      <c r="B855" s="1"/>
    </row>
    <row r="856" spans="2:2" x14ac:dyDescent="0.25">
      <c r="B856" s="1"/>
    </row>
    <row r="857" spans="2:2" x14ac:dyDescent="0.25">
      <c r="B857" s="1"/>
    </row>
    <row r="858" spans="2:2" x14ac:dyDescent="0.25">
      <c r="B858" s="1"/>
    </row>
    <row r="859" spans="2:2" x14ac:dyDescent="0.25">
      <c r="B859" s="1"/>
    </row>
    <row r="860" spans="2:2" x14ac:dyDescent="0.25">
      <c r="B860" s="1"/>
    </row>
    <row r="861" spans="2:2" x14ac:dyDescent="0.25">
      <c r="B861" s="1"/>
    </row>
    <row r="862" spans="2:2" x14ac:dyDescent="0.25">
      <c r="B862" s="1"/>
    </row>
    <row r="863" spans="2:2" x14ac:dyDescent="0.25">
      <c r="B863" s="1"/>
    </row>
    <row r="864" spans="2:2" x14ac:dyDescent="0.25">
      <c r="B864" s="1"/>
    </row>
    <row r="865" spans="2:2" x14ac:dyDescent="0.25">
      <c r="B865" s="1"/>
    </row>
    <row r="866" spans="2:2" x14ac:dyDescent="0.25">
      <c r="B866" s="1"/>
    </row>
    <row r="867" spans="2:2" x14ac:dyDescent="0.25">
      <c r="B867" s="1"/>
    </row>
    <row r="868" spans="2:2" x14ac:dyDescent="0.25">
      <c r="B868" s="1"/>
    </row>
    <row r="869" spans="2:2" x14ac:dyDescent="0.25">
      <c r="B869" s="1"/>
    </row>
    <row r="870" spans="2:2" x14ac:dyDescent="0.25">
      <c r="B870" s="1"/>
    </row>
    <row r="871" spans="2:2" x14ac:dyDescent="0.25">
      <c r="B871" s="1"/>
    </row>
    <row r="872" spans="2:2" x14ac:dyDescent="0.25">
      <c r="B872" s="1"/>
    </row>
    <row r="873" spans="2:2" x14ac:dyDescent="0.25">
      <c r="B873" s="1"/>
    </row>
    <row r="874" spans="2:2" x14ac:dyDescent="0.25">
      <c r="B874" s="1"/>
    </row>
    <row r="875" spans="2:2" x14ac:dyDescent="0.25">
      <c r="B875" s="1"/>
    </row>
    <row r="876" spans="2:2" x14ac:dyDescent="0.25">
      <c r="B876" s="1"/>
    </row>
    <row r="877" spans="2:2" x14ac:dyDescent="0.25">
      <c r="B877" s="1"/>
    </row>
    <row r="878" spans="2:2" x14ac:dyDescent="0.25">
      <c r="B878" s="1"/>
    </row>
    <row r="879" spans="2:2" x14ac:dyDescent="0.25">
      <c r="B879" s="1"/>
    </row>
    <row r="880" spans="2:2" x14ac:dyDescent="0.25">
      <c r="B880" s="1"/>
    </row>
    <row r="881" spans="2:2" x14ac:dyDescent="0.25">
      <c r="B881" s="1"/>
    </row>
    <row r="882" spans="2:2" x14ac:dyDescent="0.25">
      <c r="B882" s="1"/>
    </row>
    <row r="883" spans="2:2" x14ac:dyDescent="0.25">
      <c r="B883" s="1"/>
    </row>
    <row r="884" spans="2:2" x14ac:dyDescent="0.25">
      <c r="B884" s="1"/>
    </row>
    <row r="885" spans="2:2" x14ac:dyDescent="0.25">
      <c r="B885" s="1"/>
    </row>
    <row r="886" spans="2:2" x14ac:dyDescent="0.25">
      <c r="B886" s="1"/>
    </row>
    <row r="887" spans="2:2" x14ac:dyDescent="0.25">
      <c r="B887" s="1"/>
    </row>
    <row r="888" spans="2:2" x14ac:dyDescent="0.25">
      <c r="B888" s="1"/>
    </row>
    <row r="889" spans="2:2" x14ac:dyDescent="0.25">
      <c r="B889" s="1"/>
    </row>
    <row r="890" spans="2:2" x14ac:dyDescent="0.25">
      <c r="B890" s="1"/>
    </row>
    <row r="891" spans="2:2" x14ac:dyDescent="0.25">
      <c r="B891" s="1"/>
    </row>
    <row r="892" spans="2:2" x14ac:dyDescent="0.25">
      <c r="B892" s="1"/>
    </row>
    <row r="893" spans="2:2" x14ac:dyDescent="0.25">
      <c r="B893" s="1"/>
    </row>
    <row r="894" spans="2:2" x14ac:dyDescent="0.25">
      <c r="B894" s="1"/>
    </row>
    <row r="895" spans="2:2" x14ac:dyDescent="0.25">
      <c r="B895" s="1"/>
    </row>
    <row r="896" spans="2:2" x14ac:dyDescent="0.25">
      <c r="B896" s="1"/>
    </row>
    <row r="897" spans="2:2" x14ac:dyDescent="0.25">
      <c r="B897" s="1"/>
    </row>
    <row r="898" spans="2:2" x14ac:dyDescent="0.25">
      <c r="B898" s="1"/>
    </row>
    <row r="899" spans="2:2" x14ac:dyDescent="0.25">
      <c r="B899" s="1"/>
    </row>
    <row r="900" spans="2:2" x14ac:dyDescent="0.25">
      <c r="B900" s="1"/>
    </row>
    <row r="901" spans="2:2" x14ac:dyDescent="0.25">
      <c r="B901" s="1"/>
    </row>
    <row r="902" spans="2:2" x14ac:dyDescent="0.25">
      <c r="B902" s="1"/>
    </row>
    <row r="903" spans="2:2" x14ac:dyDescent="0.25">
      <c r="B903" s="1"/>
    </row>
    <row r="904" spans="2:2" x14ac:dyDescent="0.25">
      <c r="B904" s="1"/>
    </row>
    <row r="905" spans="2:2" x14ac:dyDescent="0.25">
      <c r="B905" s="1"/>
    </row>
    <row r="906" spans="2:2" x14ac:dyDescent="0.25">
      <c r="B906" s="1"/>
    </row>
    <row r="907" spans="2:2" x14ac:dyDescent="0.25">
      <c r="B907" s="1"/>
    </row>
    <row r="908" spans="2:2" x14ac:dyDescent="0.25">
      <c r="B908" s="1"/>
    </row>
    <row r="909" spans="2:2" x14ac:dyDescent="0.25">
      <c r="B909" s="1"/>
    </row>
    <row r="910" spans="2:2" x14ac:dyDescent="0.25">
      <c r="B910" s="1"/>
    </row>
    <row r="911" spans="2:2" x14ac:dyDescent="0.25">
      <c r="B911" s="1"/>
    </row>
    <row r="912" spans="2:2" x14ac:dyDescent="0.25">
      <c r="B912" s="1"/>
    </row>
    <row r="913" spans="2:2" x14ac:dyDescent="0.25">
      <c r="B913" s="1"/>
    </row>
    <row r="914" spans="2:2" x14ac:dyDescent="0.25">
      <c r="B914" s="1"/>
    </row>
    <row r="915" spans="2:2" x14ac:dyDescent="0.25">
      <c r="B915" s="1"/>
    </row>
    <row r="916" spans="2:2" x14ac:dyDescent="0.25">
      <c r="B916" s="1"/>
    </row>
    <row r="917" spans="2:2" x14ac:dyDescent="0.25">
      <c r="B917" s="1"/>
    </row>
    <row r="918" spans="2:2" x14ac:dyDescent="0.25">
      <c r="B918" s="1"/>
    </row>
    <row r="919" spans="2:2" x14ac:dyDescent="0.25">
      <c r="B919" s="1"/>
    </row>
    <row r="920" spans="2:2" x14ac:dyDescent="0.25">
      <c r="B920" s="1"/>
    </row>
    <row r="921" spans="2:2" x14ac:dyDescent="0.25">
      <c r="B921" s="1"/>
    </row>
    <row r="922" spans="2:2" x14ac:dyDescent="0.25">
      <c r="B922" s="1"/>
    </row>
    <row r="923" spans="2:2" x14ac:dyDescent="0.25">
      <c r="B923" s="1"/>
    </row>
    <row r="924" spans="2:2" x14ac:dyDescent="0.25">
      <c r="B924" s="1"/>
    </row>
    <row r="925" spans="2:2" x14ac:dyDescent="0.25">
      <c r="B925" s="1"/>
    </row>
    <row r="926" spans="2:2" x14ac:dyDescent="0.25">
      <c r="B926" s="1"/>
    </row>
    <row r="927" spans="2:2" x14ac:dyDescent="0.25">
      <c r="B927" s="1"/>
    </row>
    <row r="928" spans="2:2" x14ac:dyDescent="0.25">
      <c r="B928" s="1"/>
    </row>
    <row r="929" spans="2:2" x14ac:dyDescent="0.25">
      <c r="B929" s="1"/>
    </row>
    <row r="930" spans="2:2" x14ac:dyDescent="0.25">
      <c r="B930" s="1"/>
    </row>
    <row r="931" spans="2:2" x14ac:dyDescent="0.25">
      <c r="B931" s="1"/>
    </row>
    <row r="932" spans="2:2" x14ac:dyDescent="0.25">
      <c r="B932" s="1"/>
    </row>
    <row r="933" spans="2:2" x14ac:dyDescent="0.25">
      <c r="B933" s="1"/>
    </row>
    <row r="934" spans="2:2" x14ac:dyDescent="0.25">
      <c r="B934" s="1"/>
    </row>
    <row r="935" spans="2:2" x14ac:dyDescent="0.25">
      <c r="B935" s="1"/>
    </row>
    <row r="936" spans="2:2" x14ac:dyDescent="0.25">
      <c r="B936" s="1"/>
    </row>
    <row r="937" spans="2:2" x14ac:dyDescent="0.25">
      <c r="B937" s="1"/>
    </row>
    <row r="938" spans="2:2" x14ac:dyDescent="0.25">
      <c r="B938" s="1"/>
    </row>
    <row r="939" spans="2:2" x14ac:dyDescent="0.25">
      <c r="B939" s="1"/>
    </row>
    <row r="940" spans="2:2" x14ac:dyDescent="0.25">
      <c r="B940" s="1"/>
    </row>
    <row r="941" spans="2:2" x14ac:dyDescent="0.25">
      <c r="B941" s="1"/>
    </row>
    <row r="942" spans="2:2" x14ac:dyDescent="0.25">
      <c r="B942" s="1"/>
    </row>
    <row r="943" spans="2:2" x14ac:dyDescent="0.25">
      <c r="B943" s="1"/>
    </row>
    <row r="944" spans="2:2" x14ac:dyDescent="0.25">
      <c r="B944" s="1"/>
    </row>
    <row r="945" spans="2:2" x14ac:dyDescent="0.25">
      <c r="B945" s="1"/>
    </row>
    <row r="946" spans="2:2" x14ac:dyDescent="0.25">
      <c r="B946" s="1"/>
    </row>
    <row r="947" spans="2:2" x14ac:dyDescent="0.25">
      <c r="B947" s="1"/>
    </row>
    <row r="948" spans="2:2" x14ac:dyDescent="0.25">
      <c r="B948" s="1"/>
    </row>
    <row r="949" spans="2:2" x14ac:dyDescent="0.25">
      <c r="B949" s="1"/>
    </row>
    <row r="950" spans="2:2" x14ac:dyDescent="0.25">
      <c r="B950" s="1"/>
    </row>
    <row r="951" spans="2:2" x14ac:dyDescent="0.25">
      <c r="B951" s="1"/>
    </row>
    <row r="952" spans="2:2" x14ac:dyDescent="0.25">
      <c r="B952" s="1"/>
    </row>
    <row r="953" spans="2:2" x14ac:dyDescent="0.25">
      <c r="B953" s="1"/>
    </row>
    <row r="954" spans="2:2" x14ac:dyDescent="0.25">
      <c r="B954" s="1"/>
    </row>
    <row r="955" spans="2:2" x14ac:dyDescent="0.25">
      <c r="B955" s="1"/>
    </row>
    <row r="956" spans="2:2" x14ac:dyDescent="0.25">
      <c r="B956" s="1"/>
    </row>
    <row r="957" spans="2:2" x14ac:dyDescent="0.25">
      <c r="B957" s="1"/>
    </row>
    <row r="958" spans="2:2" x14ac:dyDescent="0.25">
      <c r="B958" s="1"/>
    </row>
    <row r="959" spans="2:2" x14ac:dyDescent="0.25">
      <c r="B959" s="1"/>
    </row>
    <row r="960" spans="2:2" x14ac:dyDescent="0.25">
      <c r="B960" s="1"/>
    </row>
    <row r="961" spans="2:2" x14ac:dyDescent="0.25">
      <c r="B961" s="1"/>
    </row>
    <row r="962" spans="2:2" x14ac:dyDescent="0.25">
      <c r="B962" s="1"/>
    </row>
    <row r="963" spans="2:2" x14ac:dyDescent="0.25">
      <c r="B963" s="1"/>
    </row>
    <row r="964" spans="2:2" x14ac:dyDescent="0.25">
      <c r="B964" s="1"/>
    </row>
    <row r="965" spans="2:2" x14ac:dyDescent="0.25">
      <c r="B965" s="1"/>
    </row>
    <row r="966" spans="2:2" x14ac:dyDescent="0.25">
      <c r="B966" s="1"/>
    </row>
    <row r="967" spans="2:2" x14ac:dyDescent="0.25">
      <c r="B967" s="1"/>
    </row>
    <row r="968" spans="2:2" x14ac:dyDescent="0.25">
      <c r="B968" s="1"/>
    </row>
    <row r="969" spans="2:2" x14ac:dyDescent="0.25">
      <c r="B969" s="1"/>
    </row>
    <row r="970" spans="2:2" x14ac:dyDescent="0.25">
      <c r="B970" s="1"/>
    </row>
    <row r="971" spans="2:2" x14ac:dyDescent="0.25">
      <c r="B971" s="1"/>
    </row>
    <row r="972" spans="2:2" x14ac:dyDescent="0.25">
      <c r="B972" s="1"/>
    </row>
    <row r="973" spans="2:2" x14ac:dyDescent="0.25">
      <c r="B973" s="1"/>
    </row>
    <row r="974" spans="2:2" x14ac:dyDescent="0.25">
      <c r="B974" s="1"/>
    </row>
    <row r="975" spans="2:2" x14ac:dyDescent="0.25">
      <c r="B975" s="1"/>
    </row>
    <row r="976" spans="2:2" x14ac:dyDescent="0.25">
      <c r="B976" s="1"/>
    </row>
    <row r="977" spans="2:2" x14ac:dyDescent="0.25">
      <c r="B977" s="1"/>
    </row>
    <row r="978" spans="2:2" x14ac:dyDescent="0.25">
      <c r="B978" s="1"/>
    </row>
    <row r="979" spans="2:2" x14ac:dyDescent="0.25">
      <c r="B979" s="1"/>
    </row>
    <row r="980" spans="2:2" x14ac:dyDescent="0.25">
      <c r="B980" s="1"/>
    </row>
    <row r="981" spans="2:2" x14ac:dyDescent="0.25">
      <c r="B981" s="1"/>
    </row>
    <row r="982" spans="2:2" x14ac:dyDescent="0.25">
      <c r="B982" s="1"/>
    </row>
    <row r="983" spans="2:2" x14ac:dyDescent="0.25">
      <c r="B983" s="1"/>
    </row>
    <row r="984" spans="2:2" x14ac:dyDescent="0.25">
      <c r="B984" s="1"/>
    </row>
    <row r="985" spans="2:2" x14ac:dyDescent="0.25">
      <c r="B985" s="1"/>
    </row>
    <row r="986" spans="2:2" x14ac:dyDescent="0.25">
      <c r="B986" s="1"/>
    </row>
    <row r="987" spans="2:2" x14ac:dyDescent="0.25">
      <c r="B987" s="1"/>
    </row>
    <row r="988" spans="2:2" x14ac:dyDescent="0.25">
      <c r="B988" s="1"/>
    </row>
    <row r="989" spans="2:2" x14ac:dyDescent="0.25">
      <c r="B989" s="1"/>
    </row>
    <row r="990" spans="2:2" x14ac:dyDescent="0.25">
      <c r="B990" s="1"/>
    </row>
    <row r="991" spans="2:2" x14ac:dyDescent="0.25">
      <c r="B991" s="1"/>
    </row>
    <row r="992" spans="2:2" x14ac:dyDescent="0.25">
      <c r="B992" s="1"/>
    </row>
    <row r="993" spans="2:2" x14ac:dyDescent="0.25">
      <c r="B993" s="1"/>
    </row>
    <row r="994" spans="2:2" x14ac:dyDescent="0.25">
      <c r="B994" s="1"/>
    </row>
    <row r="995" spans="2:2" x14ac:dyDescent="0.25">
      <c r="B995" s="1"/>
    </row>
    <row r="996" spans="2:2" x14ac:dyDescent="0.25">
      <c r="B996" s="1"/>
    </row>
    <row r="997" spans="2:2" x14ac:dyDescent="0.25">
      <c r="B997" s="1"/>
    </row>
    <row r="998" spans="2:2" x14ac:dyDescent="0.25">
      <c r="B998" s="1"/>
    </row>
    <row r="999" spans="2:2" x14ac:dyDescent="0.25">
      <c r="B999" s="1"/>
    </row>
    <row r="1000" spans="2:2" x14ac:dyDescent="0.25">
      <c r="B1000" s="1"/>
    </row>
    <row r="1001" spans="2:2" x14ac:dyDescent="0.25">
      <c r="B1001" s="1"/>
    </row>
    <row r="1002" spans="2:2" x14ac:dyDescent="0.25">
      <c r="B1002" s="1"/>
    </row>
    <row r="1003" spans="2:2" x14ac:dyDescent="0.25">
      <c r="B1003" s="1"/>
    </row>
    <row r="1004" spans="2:2" x14ac:dyDescent="0.25">
      <c r="B1004" s="1"/>
    </row>
    <row r="1005" spans="2:2" x14ac:dyDescent="0.25">
      <c r="B1005" s="1"/>
    </row>
    <row r="1006" spans="2:2" x14ac:dyDescent="0.25">
      <c r="B1006" s="1"/>
    </row>
    <row r="1007" spans="2:2" x14ac:dyDescent="0.25">
      <c r="B1007" s="1"/>
    </row>
    <row r="1008" spans="2:2" x14ac:dyDescent="0.25">
      <c r="B1008" s="1"/>
    </row>
    <row r="1009" spans="2:2" x14ac:dyDescent="0.25">
      <c r="B1009" s="1"/>
    </row>
    <row r="1010" spans="2:2" x14ac:dyDescent="0.25">
      <c r="B1010" s="1"/>
    </row>
    <row r="1011" spans="2:2" x14ac:dyDescent="0.25">
      <c r="B1011" s="1"/>
    </row>
    <row r="1012" spans="2:2" x14ac:dyDescent="0.25">
      <c r="B1012" s="1"/>
    </row>
    <row r="1013" spans="2:2" x14ac:dyDescent="0.25">
      <c r="B1013" s="1"/>
    </row>
    <row r="1014" spans="2:2" x14ac:dyDescent="0.25">
      <c r="B1014" s="1"/>
    </row>
    <row r="1015" spans="2:2" x14ac:dyDescent="0.25">
      <c r="B1015" s="1"/>
    </row>
    <row r="1016" spans="2:2" x14ac:dyDescent="0.25">
      <c r="B1016" s="1"/>
    </row>
    <row r="1017" spans="2:2" x14ac:dyDescent="0.25">
      <c r="B1017" s="1"/>
    </row>
    <row r="1018" spans="2:2" x14ac:dyDescent="0.25">
      <c r="B1018" s="1"/>
    </row>
    <row r="1019" spans="2:2" x14ac:dyDescent="0.25">
      <c r="B1019" s="1"/>
    </row>
    <row r="1020" spans="2:2" x14ac:dyDescent="0.25">
      <c r="B1020" s="1"/>
    </row>
    <row r="1021" spans="2:2" x14ac:dyDescent="0.25">
      <c r="B1021" s="1"/>
    </row>
    <row r="1022" spans="2:2" x14ac:dyDescent="0.25">
      <c r="B1022" s="1"/>
    </row>
    <row r="1023" spans="2:2" x14ac:dyDescent="0.25">
      <c r="B1023" s="1"/>
    </row>
    <row r="1024" spans="2:2" x14ac:dyDescent="0.25">
      <c r="B1024" s="1"/>
    </row>
    <row r="1025" spans="2:2" x14ac:dyDescent="0.25">
      <c r="B1025" s="1"/>
    </row>
    <row r="1026" spans="2:2" x14ac:dyDescent="0.25">
      <c r="B1026" s="1"/>
    </row>
    <row r="1027" spans="2:2" x14ac:dyDescent="0.25">
      <c r="B1027" s="1"/>
    </row>
    <row r="1028" spans="2:2" x14ac:dyDescent="0.25">
      <c r="B1028" s="1"/>
    </row>
    <row r="1029" spans="2:2" x14ac:dyDescent="0.25">
      <c r="B1029" s="1"/>
    </row>
    <row r="1030" spans="2:2" x14ac:dyDescent="0.25">
      <c r="B1030" s="1"/>
    </row>
    <row r="1031" spans="2:2" x14ac:dyDescent="0.25">
      <c r="B1031" s="1"/>
    </row>
    <row r="1032" spans="2:2" x14ac:dyDescent="0.25">
      <c r="B1032" s="1"/>
    </row>
    <row r="1033" spans="2:2" x14ac:dyDescent="0.25">
      <c r="B1033" s="1"/>
    </row>
    <row r="1034" spans="2:2" x14ac:dyDescent="0.25">
      <c r="B1034" s="1"/>
    </row>
    <row r="1035" spans="2:2" x14ac:dyDescent="0.25">
      <c r="B1035" s="1"/>
    </row>
    <row r="1036" spans="2:2" x14ac:dyDescent="0.25">
      <c r="B1036" s="1"/>
    </row>
    <row r="1037" spans="2:2" x14ac:dyDescent="0.25">
      <c r="B1037" s="1"/>
    </row>
    <row r="1038" spans="2:2" x14ac:dyDescent="0.25">
      <c r="B1038" s="1"/>
    </row>
    <row r="1039" spans="2:2" x14ac:dyDescent="0.25">
      <c r="B1039" s="1"/>
    </row>
    <row r="1040" spans="2:2" x14ac:dyDescent="0.25">
      <c r="B1040" s="1"/>
    </row>
    <row r="1041" spans="2:2" x14ac:dyDescent="0.25">
      <c r="B1041" s="1"/>
    </row>
    <row r="1042" spans="2:2" x14ac:dyDescent="0.25">
      <c r="B1042" s="1"/>
    </row>
    <row r="1043" spans="2:2" x14ac:dyDescent="0.25">
      <c r="B1043" s="1"/>
    </row>
    <row r="1044" spans="2:2" x14ac:dyDescent="0.25">
      <c r="B1044" s="1"/>
    </row>
    <row r="1045" spans="2:2" x14ac:dyDescent="0.25">
      <c r="B1045" s="1"/>
    </row>
    <row r="1046" spans="2:2" x14ac:dyDescent="0.25">
      <c r="B1046" s="1"/>
    </row>
    <row r="1047" spans="2:2" x14ac:dyDescent="0.25">
      <c r="B1047" s="1"/>
    </row>
    <row r="1048" spans="2:2" x14ac:dyDescent="0.25">
      <c r="B1048" s="1"/>
    </row>
    <row r="1049" spans="2:2" x14ac:dyDescent="0.25">
      <c r="B1049" s="1"/>
    </row>
    <row r="1050" spans="2:2" x14ac:dyDescent="0.25">
      <c r="B1050" s="1"/>
    </row>
    <row r="1051" spans="2:2" x14ac:dyDescent="0.25">
      <c r="B1051" s="1"/>
    </row>
    <row r="1052" spans="2:2" x14ac:dyDescent="0.25">
      <c r="B1052" s="1"/>
    </row>
    <row r="1053" spans="2:2" x14ac:dyDescent="0.25">
      <c r="B1053" s="1"/>
    </row>
    <row r="1054" spans="2:2" x14ac:dyDescent="0.25">
      <c r="B1054" s="1"/>
    </row>
    <row r="1055" spans="2:2" x14ac:dyDescent="0.25">
      <c r="B1055" s="1"/>
    </row>
    <row r="1056" spans="2:2" x14ac:dyDescent="0.25">
      <c r="B1056" s="1"/>
    </row>
    <row r="1057" spans="2:2" x14ac:dyDescent="0.25">
      <c r="B1057" s="1"/>
    </row>
    <row r="1058" spans="2:2" x14ac:dyDescent="0.25">
      <c r="B1058" s="1"/>
    </row>
    <row r="1059" spans="2:2" x14ac:dyDescent="0.25">
      <c r="B1059" s="1"/>
    </row>
    <row r="1060" spans="2:2" x14ac:dyDescent="0.25">
      <c r="B1060" s="1"/>
    </row>
    <row r="1061" spans="2:2" x14ac:dyDescent="0.25">
      <c r="B1061" s="1"/>
    </row>
    <row r="1062" spans="2:2" x14ac:dyDescent="0.25">
      <c r="B1062" s="1"/>
    </row>
    <row r="1063" spans="2:2" x14ac:dyDescent="0.25">
      <c r="B1063" s="1"/>
    </row>
    <row r="1064" spans="2:2" x14ac:dyDescent="0.25">
      <c r="B1064" s="1"/>
    </row>
    <row r="1065" spans="2:2" x14ac:dyDescent="0.25">
      <c r="B1065" s="1"/>
    </row>
    <row r="1066" spans="2:2" x14ac:dyDescent="0.25">
      <c r="B1066" s="1"/>
    </row>
    <row r="1067" spans="2:2" x14ac:dyDescent="0.25">
      <c r="B1067" s="1"/>
    </row>
    <row r="1068" spans="2:2" x14ac:dyDescent="0.25">
      <c r="B1068" s="1"/>
    </row>
    <row r="1069" spans="2:2" x14ac:dyDescent="0.25">
      <c r="B1069" s="1"/>
    </row>
    <row r="1070" spans="2:2" x14ac:dyDescent="0.25">
      <c r="B1070" s="1"/>
    </row>
    <row r="1071" spans="2:2" x14ac:dyDescent="0.25">
      <c r="B1071" s="1"/>
    </row>
    <row r="1072" spans="2:2" x14ac:dyDescent="0.25">
      <c r="B1072" s="1"/>
    </row>
    <row r="1073" spans="2:2" x14ac:dyDescent="0.25">
      <c r="B1073" s="1"/>
    </row>
    <row r="1074" spans="2:2" x14ac:dyDescent="0.25">
      <c r="B1074" s="1"/>
    </row>
    <row r="1075" spans="2:2" x14ac:dyDescent="0.25">
      <c r="B1075" s="1"/>
    </row>
    <row r="1076" spans="2:2" x14ac:dyDescent="0.25">
      <c r="B1076" s="1"/>
    </row>
    <row r="1077" spans="2:2" x14ac:dyDescent="0.25">
      <c r="B1077" s="1"/>
    </row>
    <row r="1078" spans="2:2" x14ac:dyDescent="0.25">
      <c r="B1078" s="1"/>
    </row>
    <row r="1079" spans="2:2" x14ac:dyDescent="0.25">
      <c r="B1079" s="1"/>
    </row>
    <row r="1080" spans="2:2" x14ac:dyDescent="0.25">
      <c r="B1080" s="1"/>
    </row>
    <row r="1081" spans="2:2" x14ac:dyDescent="0.25">
      <c r="B1081" s="1"/>
    </row>
    <row r="1082" spans="2:2" x14ac:dyDescent="0.25">
      <c r="B1082" s="1"/>
    </row>
    <row r="1083" spans="2:2" x14ac:dyDescent="0.25">
      <c r="B1083" s="1"/>
    </row>
    <row r="1084" spans="2:2" x14ac:dyDescent="0.25">
      <c r="B1084" s="1"/>
    </row>
    <row r="1085" spans="2:2" x14ac:dyDescent="0.25">
      <c r="B1085" s="1"/>
    </row>
    <row r="1086" spans="2:2" x14ac:dyDescent="0.25">
      <c r="B1086" s="1"/>
    </row>
    <row r="1087" spans="2:2" x14ac:dyDescent="0.25">
      <c r="B1087" s="1"/>
    </row>
    <row r="1088" spans="2:2" x14ac:dyDescent="0.25">
      <c r="B1088" s="1"/>
    </row>
    <row r="1089" spans="2:2" x14ac:dyDescent="0.25">
      <c r="B1089" s="1"/>
    </row>
    <row r="1090" spans="2:2" x14ac:dyDescent="0.25">
      <c r="B1090" s="1"/>
    </row>
    <row r="1091" spans="2:2" x14ac:dyDescent="0.25">
      <c r="B1091" s="1"/>
    </row>
    <row r="1092" spans="2:2" x14ac:dyDescent="0.25">
      <c r="B1092" s="1"/>
    </row>
    <row r="1093" spans="2:2" x14ac:dyDescent="0.25">
      <c r="B1093" s="1"/>
    </row>
    <row r="1094" spans="2:2" x14ac:dyDescent="0.25">
      <c r="B1094" s="1"/>
    </row>
    <row r="1095" spans="2:2" x14ac:dyDescent="0.25">
      <c r="B1095" s="1"/>
    </row>
    <row r="1096" spans="2:2" x14ac:dyDescent="0.25">
      <c r="B1096" s="1"/>
    </row>
    <row r="1097" spans="2:2" x14ac:dyDescent="0.25">
      <c r="B1097" s="1"/>
    </row>
    <row r="1098" spans="2:2" x14ac:dyDescent="0.25">
      <c r="B1098" s="1"/>
    </row>
    <row r="1099" spans="2:2" x14ac:dyDescent="0.25">
      <c r="B1099" s="1"/>
    </row>
    <row r="1100" spans="2:2" x14ac:dyDescent="0.25">
      <c r="B1100" s="1"/>
    </row>
    <row r="1101" spans="2:2" x14ac:dyDescent="0.25">
      <c r="B1101" s="1"/>
    </row>
    <row r="1102" spans="2:2" x14ac:dyDescent="0.25">
      <c r="B1102" s="1"/>
    </row>
    <row r="1103" spans="2:2" x14ac:dyDescent="0.25">
      <c r="B1103" s="1"/>
    </row>
    <row r="1104" spans="2:2" x14ac:dyDescent="0.25">
      <c r="B1104" s="1"/>
    </row>
    <row r="1105" spans="2:2" x14ac:dyDescent="0.25">
      <c r="B1105" s="1"/>
    </row>
    <row r="1106" spans="2:2" x14ac:dyDescent="0.25">
      <c r="B1106" s="1"/>
    </row>
    <row r="1107" spans="2:2" x14ac:dyDescent="0.25">
      <c r="B1107" s="1"/>
    </row>
    <row r="1108" spans="2:2" x14ac:dyDescent="0.25">
      <c r="B1108" s="1"/>
    </row>
    <row r="1109" spans="2:2" x14ac:dyDescent="0.25">
      <c r="B1109" s="1"/>
    </row>
    <row r="1110" spans="2:2" x14ac:dyDescent="0.25">
      <c r="B1110" s="1"/>
    </row>
    <row r="1111" spans="2:2" x14ac:dyDescent="0.25">
      <c r="B1111" s="1"/>
    </row>
    <row r="1112" spans="2:2" x14ac:dyDescent="0.25">
      <c r="B1112" s="1"/>
    </row>
    <row r="1113" spans="2:2" x14ac:dyDescent="0.25">
      <c r="B1113" s="1"/>
    </row>
    <row r="1114" spans="2:2" x14ac:dyDescent="0.25">
      <c r="B1114" s="1"/>
    </row>
    <row r="1115" spans="2:2" x14ac:dyDescent="0.25">
      <c r="B1115" s="1"/>
    </row>
    <row r="1116" spans="2:2" x14ac:dyDescent="0.25">
      <c r="B1116" s="1"/>
    </row>
    <row r="1117" spans="2:2" x14ac:dyDescent="0.25">
      <c r="B1117" s="1"/>
    </row>
    <row r="1118" spans="2:2" x14ac:dyDescent="0.25">
      <c r="B1118" s="1"/>
    </row>
    <row r="1119" spans="2:2" x14ac:dyDescent="0.25">
      <c r="B1119" s="1"/>
    </row>
    <row r="1120" spans="2:2" x14ac:dyDescent="0.25">
      <c r="B1120" s="1"/>
    </row>
    <row r="1121" spans="2:2" x14ac:dyDescent="0.25">
      <c r="B1121" s="1"/>
    </row>
    <row r="1122" spans="2:2" x14ac:dyDescent="0.25">
      <c r="B1122" s="1"/>
    </row>
    <row r="1123" spans="2:2" x14ac:dyDescent="0.25">
      <c r="B1123" s="1"/>
    </row>
    <row r="1124" spans="2:2" x14ac:dyDescent="0.25">
      <c r="B1124" s="1"/>
    </row>
    <row r="1125" spans="2:2" x14ac:dyDescent="0.25">
      <c r="B1125" s="1"/>
    </row>
    <row r="1126" spans="2:2" x14ac:dyDescent="0.25">
      <c r="B1126" s="1"/>
    </row>
    <row r="1127" spans="2:2" x14ac:dyDescent="0.25">
      <c r="B1127" s="1"/>
    </row>
    <row r="1128" spans="2:2" x14ac:dyDescent="0.25">
      <c r="B1128" s="1"/>
    </row>
    <row r="1129" spans="2:2" x14ac:dyDescent="0.25">
      <c r="B1129" s="1"/>
    </row>
    <row r="1130" spans="2:2" x14ac:dyDescent="0.25">
      <c r="B1130" s="1"/>
    </row>
    <row r="1131" spans="2:2" x14ac:dyDescent="0.25">
      <c r="B1131" s="1"/>
    </row>
    <row r="1132" spans="2:2" x14ac:dyDescent="0.25">
      <c r="B1132" s="1"/>
    </row>
    <row r="1133" spans="2:2" x14ac:dyDescent="0.25">
      <c r="B1133" s="1"/>
    </row>
    <row r="1134" spans="2:2" x14ac:dyDescent="0.25">
      <c r="B1134" s="1"/>
    </row>
    <row r="1135" spans="2:2" x14ac:dyDescent="0.25">
      <c r="B1135" s="1"/>
    </row>
    <row r="1136" spans="2:2" x14ac:dyDescent="0.25">
      <c r="B1136" s="1"/>
    </row>
    <row r="1137" spans="2:2" x14ac:dyDescent="0.25">
      <c r="B1137" s="1"/>
    </row>
    <row r="1138" spans="2:2" x14ac:dyDescent="0.25">
      <c r="B1138" s="1"/>
    </row>
    <row r="1139" spans="2:2" x14ac:dyDescent="0.25">
      <c r="B1139" s="1"/>
    </row>
    <row r="1140" spans="2:2" x14ac:dyDescent="0.25">
      <c r="B1140" s="1"/>
    </row>
    <row r="1141" spans="2:2" x14ac:dyDescent="0.25">
      <c r="B1141" s="1"/>
    </row>
    <row r="1142" spans="2:2" x14ac:dyDescent="0.25">
      <c r="B1142" s="1"/>
    </row>
    <row r="1143" spans="2:2" x14ac:dyDescent="0.25">
      <c r="B1143" s="1"/>
    </row>
    <row r="1144" spans="2:2" x14ac:dyDescent="0.25">
      <c r="B1144" s="1"/>
    </row>
    <row r="1145" spans="2:2" x14ac:dyDescent="0.25">
      <c r="B1145" s="1"/>
    </row>
    <row r="1146" spans="2:2" x14ac:dyDescent="0.25">
      <c r="B1146" s="1"/>
    </row>
    <row r="1147" spans="2:2" x14ac:dyDescent="0.25">
      <c r="B1147" s="1"/>
    </row>
    <row r="1148" spans="2:2" x14ac:dyDescent="0.25">
      <c r="B1148" s="1"/>
    </row>
    <row r="1149" spans="2:2" x14ac:dyDescent="0.25">
      <c r="B1149" s="1"/>
    </row>
    <row r="1150" spans="2:2" x14ac:dyDescent="0.25">
      <c r="B1150" s="1"/>
    </row>
    <row r="1151" spans="2:2" x14ac:dyDescent="0.25">
      <c r="B1151" s="1"/>
    </row>
    <row r="1152" spans="2:2" x14ac:dyDescent="0.25">
      <c r="B1152" s="1"/>
    </row>
    <row r="1153" spans="2:2" x14ac:dyDescent="0.25">
      <c r="B1153" s="1"/>
    </row>
    <row r="1154" spans="2:2" x14ac:dyDescent="0.25">
      <c r="B1154" s="1"/>
    </row>
    <row r="1155" spans="2:2" x14ac:dyDescent="0.25">
      <c r="B1155" s="1"/>
    </row>
    <row r="1156" spans="2:2" x14ac:dyDescent="0.25">
      <c r="B1156" s="1"/>
    </row>
    <row r="1157" spans="2:2" x14ac:dyDescent="0.25">
      <c r="B1157" s="1"/>
    </row>
    <row r="1158" spans="2:2" x14ac:dyDescent="0.25">
      <c r="B1158" s="1"/>
    </row>
    <row r="1159" spans="2:2" x14ac:dyDescent="0.25">
      <c r="B1159" s="1"/>
    </row>
    <row r="1160" spans="2:2" x14ac:dyDescent="0.25">
      <c r="B1160" s="1"/>
    </row>
    <row r="1161" spans="2:2" x14ac:dyDescent="0.25">
      <c r="B1161" s="1"/>
    </row>
    <row r="1162" spans="2:2" x14ac:dyDescent="0.25">
      <c r="B1162" s="1"/>
    </row>
    <row r="1163" spans="2:2" x14ac:dyDescent="0.25">
      <c r="B1163" s="1"/>
    </row>
    <row r="1164" spans="2:2" x14ac:dyDescent="0.25">
      <c r="B1164" s="1"/>
    </row>
    <row r="1165" spans="2:2" x14ac:dyDescent="0.25">
      <c r="B1165" s="1"/>
    </row>
    <row r="1166" spans="2:2" x14ac:dyDescent="0.25">
      <c r="B1166" s="1"/>
    </row>
    <row r="1167" spans="2:2" x14ac:dyDescent="0.25">
      <c r="B1167" s="1"/>
    </row>
    <row r="1168" spans="2:2" x14ac:dyDescent="0.25">
      <c r="B1168" s="1"/>
    </row>
    <row r="1169" spans="2:2" x14ac:dyDescent="0.25">
      <c r="B1169" s="1"/>
    </row>
    <row r="1170" spans="2:2" x14ac:dyDescent="0.25">
      <c r="B1170" s="1"/>
    </row>
    <row r="1171" spans="2:2" x14ac:dyDescent="0.25">
      <c r="B1171" s="1"/>
    </row>
    <row r="1172" spans="2:2" x14ac:dyDescent="0.25">
      <c r="B1172" s="1"/>
    </row>
    <row r="1173" spans="2:2" x14ac:dyDescent="0.25">
      <c r="B1173" s="1"/>
    </row>
    <row r="1174" spans="2:2" x14ac:dyDescent="0.25">
      <c r="B1174" s="1"/>
    </row>
    <row r="1175" spans="2:2" x14ac:dyDescent="0.25">
      <c r="B1175" s="1"/>
    </row>
    <row r="1176" spans="2:2" x14ac:dyDescent="0.25">
      <c r="B1176" s="1"/>
    </row>
    <row r="1177" spans="2:2" x14ac:dyDescent="0.25">
      <c r="B1177" s="1"/>
    </row>
    <row r="1178" spans="2:2" x14ac:dyDescent="0.25">
      <c r="B1178" s="1"/>
    </row>
    <row r="1179" spans="2:2" x14ac:dyDescent="0.25">
      <c r="B1179" s="1"/>
    </row>
    <row r="1180" spans="2:2" x14ac:dyDescent="0.25">
      <c r="B1180" s="1"/>
    </row>
    <row r="1181" spans="2:2" x14ac:dyDescent="0.25">
      <c r="B1181" s="1"/>
    </row>
    <row r="1182" spans="2:2" x14ac:dyDescent="0.25">
      <c r="B1182" s="1"/>
    </row>
    <row r="1183" spans="2:2" x14ac:dyDescent="0.25">
      <c r="B1183" s="1"/>
    </row>
    <row r="1184" spans="2:2" x14ac:dyDescent="0.25">
      <c r="B1184" s="1"/>
    </row>
    <row r="1185" spans="2:2" x14ac:dyDescent="0.25">
      <c r="B1185" s="1"/>
    </row>
    <row r="1186" spans="2:2" x14ac:dyDescent="0.25">
      <c r="B1186" s="1"/>
    </row>
    <row r="1187" spans="2:2" x14ac:dyDescent="0.25">
      <c r="B1187" s="1"/>
    </row>
    <row r="1188" spans="2:2" x14ac:dyDescent="0.25">
      <c r="B1188" s="1"/>
    </row>
    <row r="1189" spans="2:2" x14ac:dyDescent="0.25">
      <c r="B1189" s="1"/>
    </row>
    <row r="1190" spans="2:2" x14ac:dyDescent="0.25">
      <c r="B1190" s="1"/>
    </row>
    <row r="1191" spans="2:2" x14ac:dyDescent="0.25">
      <c r="B1191" s="1"/>
    </row>
    <row r="1192" spans="2:2" x14ac:dyDescent="0.25">
      <c r="B1192" s="1"/>
    </row>
    <row r="1193" spans="2:2" x14ac:dyDescent="0.25">
      <c r="B1193" s="1"/>
    </row>
    <row r="1194" spans="2:2" x14ac:dyDescent="0.25">
      <c r="B1194" s="1"/>
    </row>
    <row r="1195" spans="2:2" x14ac:dyDescent="0.25">
      <c r="B1195" s="1"/>
    </row>
    <row r="1196" spans="2:2" x14ac:dyDescent="0.25">
      <c r="B1196" s="1"/>
    </row>
    <row r="1197" spans="2:2" x14ac:dyDescent="0.25">
      <c r="B1197" s="1"/>
    </row>
    <row r="1198" spans="2:2" x14ac:dyDescent="0.25">
      <c r="B1198" s="1"/>
    </row>
    <row r="1199" spans="2:2" x14ac:dyDescent="0.25">
      <c r="B1199" s="1"/>
    </row>
    <row r="1200" spans="2:2" x14ac:dyDescent="0.25">
      <c r="B1200" s="1"/>
    </row>
    <row r="1201" spans="2:2" x14ac:dyDescent="0.25">
      <c r="B1201" s="1"/>
    </row>
    <row r="1202" spans="2:2" x14ac:dyDescent="0.25">
      <c r="B1202" s="1"/>
    </row>
    <row r="1203" spans="2:2" x14ac:dyDescent="0.25">
      <c r="B1203" s="1"/>
    </row>
    <row r="1204" spans="2:2" x14ac:dyDescent="0.25">
      <c r="B1204" s="1"/>
    </row>
    <row r="1205" spans="2:2" x14ac:dyDescent="0.25">
      <c r="B1205" s="1"/>
    </row>
    <row r="1206" spans="2:2" x14ac:dyDescent="0.25">
      <c r="B1206" s="1"/>
    </row>
    <row r="1207" spans="2:2" x14ac:dyDescent="0.25">
      <c r="B1207" s="1"/>
    </row>
    <row r="1208" spans="2:2" x14ac:dyDescent="0.25">
      <c r="B1208" s="1"/>
    </row>
    <row r="1209" spans="2:2" x14ac:dyDescent="0.25">
      <c r="B1209" s="1"/>
    </row>
    <row r="1210" spans="2:2" x14ac:dyDescent="0.25">
      <c r="B1210" s="1"/>
    </row>
    <row r="1211" spans="2:2" x14ac:dyDescent="0.25">
      <c r="B1211" s="1"/>
    </row>
    <row r="1212" spans="2:2" x14ac:dyDescent="0.25">
      <c r="B1212" s="1"/>
    </row>
    <row r="1213" spans="2:2" x14ac:dyDescent="0.25">
      <c r="B1213" s="1"/>
    </row>
    <row r="1214" spans="2:2" x14ac:dyDescent="0.25">
      <c r="B1214" s="1"/>
    </row>
    <row r="1215" spans="2:2" x14ac:dyDescent="0.25">
      <c r="B1215" s="1"/>
    </row>
    <row r="1216" spans="2:2" x14ac:dyDescent="0.25">
      <c r="B1216" s="1"/>
    </row>
    <row r="1217" spans="2:2" x14ac:dyDescent="0.25">
      <c r="B1217" s="1"/>
    </row>
    <row r="1218" spans="2:2" x14ac:dyDescent="0.25">
      <c r="B1218" s="1"/>
    </row>
    <row r="1219" spans="2:2" x14ac:dyDescent="0.25">
      <c r="B1219" s="1"/>
    </row>
    <row r="1220" spans="2:2" x14ac:dyDescent="0.25">
      <c r="B1220" s="1"/>
    </row>
    <row r="1221" spans="2:2" x14ac:dyDescent="0.25">
      <c r="B1221" s="1"/>
    </row>
    <row r="1222" spans="2:2" x14ac:dyDescent="0.25">
      <c r="B1222" s="1"/>
    </row>
    <row r="1223" spans="2:2" x14ac:dyDescent="0.25">
      <c r="B1223" s="1"/>
    </row>
    <row r="1224" spans="2:2" x14ac:dyDescent="0.25">
      <c r="B1224" s="1"/>
    </row>
    <row r="1225" spans="2:2" x14ac:dyDescent="0.25">
      <c r="B1225" s="1"/>
    </row>
    <row r="1226" spans="2:2" x14ac:dyDescent="0.25">
      <c r="B1226" s="1"/>
    </row>
    <row r="1227" spans="2:2" x14ac:dyDescent="0.25">
      <c r="B1227" s="1"/>
    </row>
    <row r="1228" spans="2:2" x14ac:dyDescent="0.25">
      <c r="B1228" s="1"/>
    </row>
    <row r="1229" spans="2:2" x14ac:dyDescent="0.25">
      <c r="B1229" s="1"/>
    </row>
    <row r="1230" spans="2:2" x14ac:dyDescent="0.25">
      <c r="B1230" s="1"/>
    </row>
    <row r="1231" spans="2:2" x14ac:dyDescent="0.25">
      <c r="B1231" s="1"/>
    </row>
    <row r="1232" spans="2:2" x14ac:dyDescent="0.25">
      <c r="B1232" s="1"/>
    </row>
    <row r="1233" spans="2:2" x14ac:dyDescent="0.25">
      <c r="B1233" s="1"/>
    </row>
    <row r="1234" spans="2:2" x14ac:dyDescent="0.25">
      <c r="B1234" s="1"/>
    </row>
    <row r="1235" spans="2:2" x14ac:dyDescent="0.25">
      <c r="B1235" s="1"/>
    </row>
    <row r="1236" spans="2:2" x14ac:dyDescent="0.25">
      <c r="B1236" s="1"/>
    </row>
    <row r="1237" spans="2:2" x14ac:dyDescent="0.25">
      <c r="B1237" s="1"/>
    </row>
    <row r="1238" spans="2:2" x14ac:dyDescent="0.25">
      <c r="B1238" s="1"/>
    </row>
    <row r="1239" spans="2:2" x14ac:dyDescent="0.25">
      <c r="B1239" s="1"/>
    </row>
    <row r="1240" spans="2:2" x14ac:dyDescent="0.25">
      <c r="B1240" s="1"/>
    </row>
    <row r="1241" spans="2:2" x14ac:dyDescent="0.25">
      <c r="B1241" s="1"/>
    </row>
    <row r="1242" spans="2:2" x14ac:dyDescent="0.25">
      <c r="B1242" s="1"/>
    </row>
    <row r="1243" spans="2:2" x14ac:dyDescent="0.25">
      <c r="B1243" s="1"/>
    </row>
    <row r="1244" spans="2:2" x14ac:dyDescent="0.25">
      <c r="B1244" s="1"/>
    </row>
    <row r="1245" spans="2:2" x14ac:dyDescent="0.25">
      <c r="B1245" s="1"/>
    </row>
    <row r="1246" spans="2:2" x14ac:dyDescent="0.25">
      <c r="B1246" s="1"/>
    </row>
    <row r="1247" spans="2:2" x14ac:dyDescent="0.25">
      <c r="B1247" s="1"/>
    </row>
    <row r="1248" spans="2:2" x14ac:dyDescent="0.25">
      <c r="B1248" s="1"/>
    </row>
    <row r="1249" spans="2:2" x14ac:dyDescent="0.25">
      <c r="B1249" s="1"/>
    </row>
    <row r="1250" spans="2:2" x14ac:dyDescent="0.25">
      <c r="B1250" s="1"/>
    </row>
    <row r="1251" spans="2:2" x14ac:dyDescent="0.25">
      <c r="B1251" s="1"/>
    </row>
    <row r="1252" spans="2:2" x14ac:dyDescent="0.25">
      <c r="B1252" s="1"/>
    </row>
    <row r="1253" spans="2:2" x14ac:dyDescent="0.25">
      <c r="B1253" s="1"/>
    </row>
    <row r="1254" spans="2:2" x14ac:dyDescent="0.25">
      <c r="B1254" s="1"/>
    </row>
    <row r="1255" spans="2:2" x14ac:dyDescent="0.25">
      <c r="B1255" s="1"/>
    </row>
    <row r="1256" spans="2:2" x14ac:dyDescent="0.25">
      <c r="B1256" s="1"/>
    </row>
    <row r="1257" spans="2:2" x14ac:dyDescent="0.25">
      <c r="B1257" s="1"/>
    </row>
    <row r="1258" spans="2:2" x14ac:dyDescent="0.25">
      <c r="B1258" s="1"/>
    </row>
    <row r="1259" spans="2:2" x14ac:dyDescent="0.25">
      <c r="B1259" s="1"/>
    </row>
    <row r="1260" spans="2:2" x14ac:dyDescent="0.25">
      <c r="B1260" s="1"/>
    </row>
    <row r="1261" spans="2:2" x14ac:dyDescent="0.25">
      <c r="B1261" s="1"/>
    </row>
    <row r="1262" spans="2:2" x14ac:dyDescent="0.25">
      <c r="B1262" s="1"/>
    </row>
    <row r="1263" spans="2:2" x14ac:dyDescent="0.25">
      <c r="B1263" s="1"/>
    </row>
    <row r="1264" spans="2:2" x14ac:dyDescent="0.25">
      <c r="B1264" s="1"/>
    </row>
    <row r="1265" spans="2:2" x14ac:dyDescent="0.25">
      <c r="B1265" s="1"/>
    </row>
    <row r="1266" spans="2:2" x14ac:dyDescent="0.25">
      <c r="B1266" s="1"/>
    </row>
    <row r="1267" spans="2:2" x14ac:dyDescent="0.25">
      <c r="B1267" s="1"/>
    </row>
    <row r="1268" spans="2:2" x14ac:dyDescent="0.25">
      <c r="B1268" s="1"/>
    </row>
    <row r="1269" spans="2:2" x14ac:dyDescent="0.25">
      <c r="B1269" s="1"/>
    </row>
    <row r="1270" spans="2:2" x14ac:dyDescent="0.25">
      <c r="B1270" s="1"/>
    </row>
    <row r="1271" spans="2:2" x14ac:dyDescent="0.25">
      <c r="B1271" s="1"/>
    </row>
    <row r="1272" spans="2:2" x14ac:dyDescent="0.25">
      <c r="B1272" s="1"/>
    </row>
    <row r="1273" spans="2:2" x14ac:dyDescent="0.25">
      <c r="B1273" s="1"/>
    </row>
    <row r="1274" spans="2:2" x14ac:dyDescent="0.25">
      <c r="B1274" s="1"/>
    </row>
    <row r="1275" spans="2:2" x14ac:dyDescent="0.25">
      <c r="B1275" s="1"/>
    </row>
    <row r="1276" spans="2:2" x14ac:dyDescent="0.25">
      <c r="B1276" s="1"/>
    </row>
    <row r="1277" spans="2:2" x14ac:dyDescent="0.25">
      <c r="B1277" s="1"/>
    </row>
    <row r="1278" spans="2:2" x14ac:dyDescent="0.25">
      <c r="B1278" s="1"/>
    </row>
    <row r="1279" spans="2:2" x14ac:dyDescent="0.25">
      <c r="B1279" s="1"/>
    </row>
    <row r="1280" spans="2:2" x14ac:dyDescent="0.25">
      <c r="B1280" s="1"/>
    </row>
    <row r="1281" spans="2:2" x14ac:dyDescent="0.25">
      <c r="B1281" s="1"/>
    </row>
    <row r="1282" spans="2:2" x14ac:dyDescent="0.25">
      <c r="B1282" s="1"/>
    </row>
    <row r="1283" spans="2:2" x14ac:dyDescent="0.25">
      <c r="B1283" s="1"/>
    </row>
    <row r="1284" spans="2:2" x14ac:dyDescent="0.25">
      <c r="B1284" s="1"/>
    </row>
    <row r="1285" spans="2:2" x14ac:dyDescent="0.25">
      <c r="B1285" s="1"/>
    </row>
    <row r="1286" spans="2:2" x14ac:dyDescent="0.25">
      <c r="B1286" s="1"/>
    </row>
    <row r="1287" spans="2:2" x14ac:dyDescent="0.25">
      <c r="B1287" s="1"/>
    </row>
    <row r="1288" spans="2:2" x14ac:dyDescent="0.25">
      <c r="B1288" s="1"/>
    </row>
    <row r="1289" spans="2:2" x14ac:dyDescent="0.25">
      <c r="B1289" s="1"/>
    </row>
    <row r="1290" spans="2:2" x14ac:dyDescent="0.25">
      <c r="B1290" s="1"/>
    </row>
    <row r="1291" spans="2:2" x14ac:dyDescent="0.25">
      <c r="B1291" s="1"/>
    </row>
    <row r="1292" spans="2:2" x14ac:dyDescent="0.25">
      <c r="B1292" s="1"/>
    </row>
    <row r="1293" spans="2:2" x14ac:dyDescent="0.25">
      <c r="B1293" s="1"/>
    </row>
    <row r="1294" spans="2:2" x14ac:dyDescent="0.25">
      <c r="B1294" s="1"/>
    </row>
    <row r="1295" spans="2:2" x14ac:dyDescent="0.25">
      <c r="B1295" s="1"/>
    </row>
    <row r="1296" spans="2:2" x14ac:dyDescent="0.25">
      <c r="B1296" s="1"/>
    </row>
    <row r="1297" spans="2:2" x14ac:dyDescent="0.25">
      <c r="B1297" s="1"/>
    </row>
    <row r="1298" spans="2:2" x14ac:dyDescent="0.25">
      <c r="B1298" s="1"/>
    </row>
    <row r="1299" spans="2:2" x14ac:dyDescent="0.25">
      <c r="B1299" s="1"/>
    </row>
    <row r="1300" spans="2:2" x14ac:dyDescent="0.25">
      <c r="B1300" s="1"/>
    </row>
    <row r="1301" spans="2:2" x14ac:dyDescent="0.25">
      <c r="B1301" s="1"/>
    </row>
    <row r="1302" spans="2:2" x14ac:dyDescent="0.25">
      <c r="B1302" s="1"/>
    </row>
    <row r="1303" spans="2:2" x14ac:dyDescent="0.25">
      <c r="B1303" s="1"/>
    </row>
    <row r="1304" spans="2:2" x14ac:dyDescent="0.25">
      <c r="B1304" s="1"/>
    </row>
    <row r="1305" spans="2:2" x14ac:dyDescent="0.25">
      <c r="B1305" s="1"/>
    </row>
    <row r="1306" spans="2:2" x14ac:dyDescent="0.25">
      <c r="B1306" s="1"/>
    </row>
    <row r="1307" spans="2:2" x14ac:dyDescent="0.25">
      <c r="B1307" s="1"/>
    </row>
    <row r="1308" spans="2:2" x14ac:dyDescent="0.25">
      <c r="B1308" s="1"/>
    </row>
    <row r="1309" spans="2:2" x14ac:dyDescent="0.25">
      <c r="B1309" s="1"/>
    </row>
    <row r="1310" spans="2:2" x14ac:dyDescent="0.25">
      <c r="B1310" s="1"/>
    </row>
    <row r="1311" spans="2:2" x14ac:dyDescent="0.25">
      <c r="B1311" s="1"/>
    </row>
    <row r="1312" spans="2:2" x14ac:dyDescent="0.25">
      <c r="B1312" s="1"/>
    </row>
    <row r="1313" spans="2:2" x14ac:dyDescent="0.25">
      <c r="B1313" s="1"/>
    </row>
    <row r="1314" spans="2:2" x14ac:dyDescent="0.25">
      <c r="B1314" s="1"/>
    </row>
    <row r="1315" spans="2:2" x14ac:dyDescent="0.25">
      <c r="B1315" s="1"/>
    </row>
    <row r="1316" spans="2:2" x14ac:dyDescent="0.25">
      <c r="B1316" s="1"/>
    </row>
    <row r="1317" spans="2:2" x14ac:dyDescent="0.25">
      <c r="B1317" s="1"/>
    </row>
    <row r="1318" spans="2:2" x14ac:dyDescent="0.25">
      <c r="B1318" s="1"/>
    </row>
    <row r="1319" spans="2:2" x14ac:dyDescent="0.25">
      <c r="B1319" s="1"/>
    </row>
    <row r="1320" spans="2:2" x14ac:dyDescent="0.25">
      <c r="B1320" s="1"/>
    </row>
    <row r="1321" spans="2:2" x14ac:dyDescent="0.25">
      <c r="B1321" s="1"/>
    </row>
    <row r="1322" spans="2:2" x14ac:dyDescent="0.25">
      <c r="B1322" s="1"/>
    </row>
    <row r="1323" spans="2:2" x14ac:dyDescent="0.25">
      <c r="B1323" s="1"/>
    </row>
    <row r="1324" spans="2:2" x14ac:dyDescent="0.25">
      <c r="B1324" s="1"/>
    </row>
    <row r="1325" spans="2:2" x14ac:dyDescent="0.25">
      <c r="B1325" s="1"/>
    </row>
    <row r="1326" spans="2:2" x14ac:dyDescent="0.25">
      <c r="B1326" s="1"/>
    </row>
    <row r="1327" spans="2:2" x14ac:dyDescent="0.25">
      <c r="B1327" s="1"/>
    </row>
    <row r="1328" spans="2:2" x14ac:dyDescent="0.25">
      <c r="B1328" s="1"/>
    </row>
    <row r="1329" spans="2:2" x14ac:dyDescent="0.25">
      <c r="B1329" s="1"/>
    </row>
    <row r="1330" spans="2:2" x14ac:dyDescent="0.25">
      <c r="B1330" s="1"/>
    </row>
    <row r="1331" spans="2:2" x14ac:dyDescent="0.25">
      <c r="B1331" s="1"/>
    </row>
    <row r="1332" spans="2:2" x14ac:dyDescent="0.25">
      <c r="B1332" s="1"/>
    </row>
    <row r="1333" spans="2:2" x14ac:dyDescent="0.25">
      <c r="B1333" s="1"/>
    </row>
    <row r="1334" spans="2:2" x14ac:dyDescent="0.25">
      <c r="B1334" s="1"/>
    </row>
    <row r="1335" spans="2:2" x14ac:dyDescent="0.25">
      <c r="B1335" s="1"/>
    </row>
    <row r="1336" spans="2:2" x14ac:dyDescent="0.25">
      <c r="B1336" s="1"/>
    </row>
    <row r="1337" spans="2:2" x14ac:dyDescent="0.25">
      <c r="B1337" s="1"/>
    </row>
    <row r="1338" spans="2:2" x14ac:dyDescent="0.25">
      <c r="B1338" s="1"/>
    </row>
    <row r="1339" spans="2:2" x14ac:dyDescent="0.25">
      <c r="B1339" s="1"/>
    </row>
    <row r="1340" spans="2:2" x14ac:dyDescent="0.25">
      <c r="B1340" s="1"/>
    </row>
    <row r="1341" spans="2:2" x14ac:dyDescent="0.25">
      <c r="B1341" s="1"/>
    </row>
    <row r="1342" spans="2:2" x14ac:dyDescent="0.25">
      <c r="B1342" s="1"/>
    </row>
    <row r="1343" spans="2:2" x14ac:dyDescent="0.25">
      <c r="B1343" s="1"/>
    </row>
    <row r="1344" spans="2:2" x14ac:dyDescent="0.25">
      <c r="B1344" s="1"/>
    </row>
    <row r="1345" spans="2:2" x14ac:dyDescent="0.25">
      <c r="B1345" s="1"/>
    </row>
    <row r="1346" spans="2:2" x14ac:dyDescent="0.25">
      <c r="B1346" s="1"/>
    </row>
    <row r="1347" spans="2:2" x14ac:dyDescent="0.25">
      <c r="B1347" s="1"/>
    </row>
    <row r="1348" spans="2:2" x14ac:dyDescent="0.25">
      <c r="B1348" s="1"/>
    </row>
    <row r="1349" spans="2:2" x14ac:dyDescent="0.25">
      <c r="B1349" s="1"/>
    </row>
    <row r="1350" spans="2:2" x14ac:dyDescent="0.25">
      <c r="B1350" s="1"/>
    </row>
    <row r="1351" spans="2:2" x14ac:dyDescent="0.25">
      <c r="B1351" s="1"/>
    </row>
    <row r="1352" spans="2:2" x14ac:dyDescent="0.25">
      <c r="B1352" s="1"/>
    </row>
    <row r="1353" spans="2:2" x14ac:dyDescent="0.25">
      <c r="B1353" s="1"/>
    </row>
    <row r="1354" spans="2:2" x14ac:dyDescent="0.25">
      <c r="B1354" s="1"/>
    </row>
    <row r="1355" spans="2:2" x14ac:dyDescent="0.25">
      <c r="B1355" s="1"/>
    </row>
    <row r="1356" spans="2:2" x14ac:dyDescent="0.25">
      <c r="B1356" s="1"/>
    </row>
    <row r="1357" spans="2:2" x14ac:dyDescent="0.25">
      <c r="B1357" s="1"/>
    </row>
    <row r="1358" spans="2:2" x14ac:dyDescent="0.25">
      <c r="B1358" s="1"/>
    </row>
    <row r="1359" spans="2:2" x14ac:dyDescent="0.25">
      <c r="B1359" s="1"/>
    </row>
    <row r="1360" spans="2:2" x14ac:dyDescent="0.25">
      <c r="B1360" s="1"/>
    </row>
    <row r="1361" spans="2:2" x14ac:dyDescent="0.25">
      <c r="B1361" s="1"/>
    </row>
    <row r="1362" spans="2:2" x14ac:dyDescent="0.25">
      <c r="B1362" s="1"/>
    </row>
    <row r="1363" spans="2:2" x14ac:dyDescent="0.25">
      <c r="B1363" s="1"/>
    </row>
    <row r="1364" spans="2:2" x14ac:dyDescent="0.25">
      <c r="B1364" s="1"/>
    </row>
    <row r="1365" spans="2:2" x14ac:dyDescent="0.25">
      <c r="B1365" s="1"/>
    </row>
    <row r="1366" spans="2:2" x14ac:dyDescent="0.25">
      <c r="B1366" s="1"/>
    </row>
    <row r="1367" spans="2:2" x14ac:dyDescent="0.25">
      <c r="B1367" s="1"/>
    </row>
    <row r="1368" spans="2:2" x14ac:dyDescent="0.25">
      <c r="B1368" s="1"/>
    </row>
    <row r="1369" spans="2:2" x14ac:dyDescent="0.25">
      <c r="B1369" s="1"/>
    </row>
    <row r="1370" spans="2:2" x14ac:dyDescent="0.25">
      <c r="B1370" s="1"/>
    </row>
    <row r="1371" spans="2:2" x14ac:dyDescent="0.25">
      <c r="B1371" s="1"/>
    </row>
    <row r="1372" spans="2:2" x14ac:dyDescent="0.25">
      <c r="B1372" s="1"/>
    </row>
    <row r="1373" spans="2:2" x14ac:dyDescent="0.25">
      <c r="B1373" s="1"/>
    </row>
    <row r="1374" spans="2:2" x14ac:dyDescent="0.25">
      <c r="B1374" s="1"/>
    </row>
    <row r="1375" spans="2:2" x14ac:dyDescent="0.25">
      <c r="B1375" s="1"/>
    </row>
    <row r="1376" spans="2:2" x14ac:dyDescent="0.25">
      <c r="B1376" s="1"/>
    </row>
    <row r="1377" spans="2:2" x14ac:dyDescent="0.25">
      <c r="B1377" s="1"/>
    </row>
    <row r="1378" spans="2:2" x14ac:dyDescent="0.25">
      <c r="B1378" s="1"/>
    </row>
    <row r="1379" spans="2:2" x14ac:dyDescent="0.25">
      <c r="B1379" s="1"/>
    </row>
    <row r="1380" spans="2:2" x14ac:dyDescent="0.25">
      <c r="B1380" s="1"/>
    </row>
    <row r="1381" spans="2:2" x14ac:dyDescent="0.25">
      <c r="B1381" s="1"/>
    </row>
    <row r="1382" spans="2:2" x14ac:dyDescent="0.25">
      <c r="B1382" s="1"/>
    </row>
    <row r="1383" spans="2:2" x14ac:dyDescent="0.25">
      <c r="B1383" s="1"/>
    </row>
    <row r="1384" spans="2:2" x14ac:dyDescent="0.25">
      <c r="B1384" s="1"/>
    </row>
    <row r="1385" spans="2:2" x14ac:dyDescent="0.25">
      <c r="B1385" s="1"/>
    </row>
    <row r="1386" spans="2:2" x14ac:dyDescent="0.25">
      <c r="B1386" s="1"/>
    </row>
    <row r="1387" spans="2:2" x14ac:dyDescent="0.25">
      <c r="B1387" s="1"/>
    </row>
    <row r="1388" spans="2:2" x14ac:dyDescent="0.25">
      <c r="B1388" s="1"/>
    </row>
    <row r="1389" spans="2:2" x14ac:dyDescent="0.25">
      <c r="B1389" s="1"/>
    </row>
    <row r="1390" spans="2:2" x14ac:dyDescent="0.25">
      <c r="B1390" s="1"/>
    </row>
    <row r="1391" spans="2:2" x14ac:dyDescent="0.25">
      <c r="B1391" s="1"/>
    </row>
    <row r="1392" spans="2:2" x14ac:dyDescent="0.25">
      <c r="B1392" s="1"/>
    </row>
    <row r="1393" spans="2:2" x14ac:dyDescent="0.25">
      <c r="B1393" s="1"/>
    </row>
    <row r="1394" spans="2:2" x14ac:dyDescent="0.25">
      <c r="B1394" s="1"/>
    </row>
    <row r="1395" spans="2:2" x14ac:dyDescent="0.25">
      <c r="B1395" s="1"/>
    </row>
    <row r="1396" spans="2:2" x14ac:dyDescent="0.25">
      <c r="B1396" s="1"/>
    </row>
    <row r="1397" spans="2:2" x14ac:dyDescent="0.25">
      <c r="B1397" s="1"/>
    </row>
    <row r="1398" spans="2:2" x14ac:dyDescent="0.25">
      <c r="B1398" s="1"/>
    </row>
    <row r="1399" spans="2:2" x14ac:dyDescent="0.25">
      <c r="B1399" s="1"/>
    </row>
    <row r="1400" spans="2:2" x14ac:dyDescent="0.25">
      <c r="B1400" s="1"/>
    </row>
    <row r="1401" spans="2:2" x14ac:dyDescent="0.25">
      <c r="B1401" s="1"/>
    </row>
    <row r="1402" spans="2:2" x14ac:dyDescent="0.25">
      <c r="B1402" s="1"/>
    </row>
    <row r="1403" spans="2:2" x14ac:dyDescent="0.25">
      <c r="B1403" s="1"/>
    </row>
    <row r="1404" spans="2:2" x14ac:dyDescent="0.25">
      <c r="B1404" s="1"/>
    </row>
    <row r="1405" spans="2:2" x14ac:dyDescent="0.25">
      <c r="B1405" s="1"/>
    </row>
    <row r="1406" spans="2:2" x14ac:dyDescent="0.25">
      <c r="B1406" s="1"/>
    </row>
    <row r="1407" spans="2:2" x14ac:dyDescent="0.25">
      <c r="B1407" s="1"/>
    </row>
    <row r="1408" spans="2:2" x14ac:dyDescent="0.25">
      <c r="B1408" s="1"/>
    </row>
    <row r="1409" spans="2:2" x14ac:dyDescent="0.25">
      <c r="B1409" s="1"/>
    </row>
    <row r="1410" spans="2:2" x14ac:dyDescent="0.25">
      <c r="B1410" s="1"/>
    </row>
    <row r="1411" spans="2:2" x14ac:dyDescent="0.25">
      <c r="B1411" s="1"/>
    </row>
    <row r="1412" spans="2:2" x14ac:dyDescent="0.25">
      <c r="B1412" s="1"/>
    </row>
    <row r="1413" spans="2:2" x14ac:dyDescent="0.25">
      <c r="B1413" s="1"/>
    </row>
    <row r="1414" spans="2:2" x14ac:dyDescent="0.25">
      <c r="B1414" s="1"/>
    </row>
    <row r="1415" spans="2:2" x14ac:dyDescent="0.25">
      <c r="B1415" s="1"/>
    </row>
    <row r="1416" spans="2:2" x14ac:dyDescent="0.25">
      <c r="B1416" s="1"/>
    </row>
    <row r="1417" spans="2:2" x14ac:dyDescent="0.25">
      <c r="B1417" s="1"/>
    </row>
    <row r="1418" spans="2:2" x14ac:dyDescent="0.25">
      <c r="B1418" s="1"/>
    </row>
    <row r="1419" spans="2:2" x14ac:dyDescent="0.25">
      <c r="B1419" s="1"/>
    </row>
    <row r="1420" spans="2:2" x14ac:dyDescent="0.25">
      <c r="B1420" s="1"/>
    </row>
    <row r="1421" spans="2:2" x14ac:dyDescent="0.25">
      <c r="B1421" s="1"/>
    </row>
    <row r="1422" spans="2:2" x14ac:dyDescent="0.25">
      <c r="B1422" s="1"/>
    </row>
    <row r="1423" spans="2:2" x14ac:dyDescent="0.25">
      <c r="B1423" s="1"/>
    </row>
    <row r="1424" spans="2:2" x14ac:dyDescent="0.25">
      <c r="B1424" s="1"/>
    </row>
    <row r="1425" spans="2:2" x14ac:dyDescent="0.25">
      <c r="B1425" s="1"/>
    </row>
    <row r="1426" spans="2:2" x14ac:dyDescent="0.25">
      <c r="B1426" s="1"/>
    </row>
    <row r="1427" spans="2:2" x14ac:dyDescent="0.25">
      <c r="B1427" s="1"/>
    </row>
    <row r="1428" spans="2:2" x14ac:dyDescent="0.25">
      <c r="B1428" s="1"/>
    </row>
    <row r="1429" spans="2:2" x14ac:dyDescent="0.25">
      <c r="B1429" s="1"/>
    </row>
    <row r="1430" spans="2:2" x14ac:dyDescent="0.25">
      <c r="B1430" s="1"/>
    </row>
    <row r="1431" spans="2:2" x14ac:dyDescent="0.25">
      <c r="B1431" s="1"/>
    </row>
    <row r="1432" spans="2:2" x14ac:dyDescent="0.25">
      <c r="B1432" s="1"/>
    </row>
    <row r="1433" spans="2:2" x14ac:dyDescent="0.25">
      <c r="B1433" s="1"/>
    </row>
    <row r="1434" spans="2:2" x14ac:dyDescent="0.25">
      <c r="B1434" s="1"/>
    </row>
    <row r="1435" spans="2:2" x14ac:dyDescent="0.25">
      <c r="B1435" s="1"/>
    </row>
    <row r="1436" spans="2:2" x14ac:dyDescent="0.25">
      <c r="B1436" s="1"/>
    </row>
    <row r="1437" spans="2:2" x14ac:dyDescent="0.25">
      <c r="B1437" s="1"/>
    </row>
    <row r="1438" spans="2:2" x14ac:dyDescent="0.25">
      <c r="B1438" s="1"/>
    </row>
    <row r="1439" spans="2:2" x14ac:dyDescent="0.25">
      <c r="B1439" s="1"/>
    </row>
    <row r="1440" spans="2:2" x14ac:dyDescent="0.25">
      <c r="B1440" s="1"/>
    </row>
    <row r="1441" spans="2:2" x14ac:dyDescent="0.25">
      <c r="B1441" s="1"/>
    </row>
    <row r="1442" spans="2:2" x14ac:dyDescent="0.25">
      <c r="B1442" s="1"/>
    </row>
    <row r="1443" spans="2:2" x14ac:dyDescent="0.25">
      <c r="B1443" s="1"/>
    </row>
    <row r="1444" spans="2:2" x14ac:dyDescent="0.25">
      <c r="B1444" s="1"/>
    </row>
    <row r="1445" spans="2:2" x14ac:dyDescent="0.25">
      <c r="B1445" s="1"/>
    </row>
    <row r="1446" spans="2:2" x14ac:dyDescent="0.25">
      <c r="B1446" s="1"/>
    </row>
    <row r="1447" spans="2:2" x14ac:dyDescent="0.25">
      <c r="B1447" s="1"/>
    </row>
    <row r="1448" spans="2:2" x14ac:dyDescent="0.25">
      <c r="B1448" s="1"/>
    </row>
    <row r="1449" spans="2:2" x14ac:dyDescent="0.25">
      <c r="B1449" s="1"/>
    </row>
    <row r="1450" spans="2:2" x14ac:dyDescent="0.25">
      <c r="B1450" s="1"/>
    </row>
    <row r="1451" spans="2:2" x14ac:dyDescent="0.25">
      <c r="B1451" s="1"/>
    </row>
    <row r="1452" spans="2:2" x14ac:dyDescent="0.25">
      <c r="B1452" s="1"/>
    </row>
    <row r="1453" spans="2:2" x14ac:dyDescent="0.25">
      <c r="B1453" s="1"/>
    </row>
    <row r="1454" spans="2:2" x14ac:dyDescent="0.25">
      <c r="B1454" s="1"/>
    </row>
    <row r="1455" spans="2:2" x14ac:dyDescent="0.25">
      <c r="B1455" s="1"/>
    </row>
    <row r="1456" spans="2:2" x14ac:dyDescent="0.25">
      <c r="B1456" s="1"/>
    </row>
    <row r="1457" spans="2:2" x14ac:dyDescent="0.25">
      <c r="B1457" s="1"/>
    </row>
    <row r="1458" spans="2:2" x14ac:dyDescent="0.25">
      <c r="B1458" s="1"/>
    </row>
    <row r="1459" spans="2:2" x14ac:dyDescent="0.25">
      <c r="B1459" s="1"/>
    </row>
    <row r="1460" spans="2:2" x14ac:dyDescent="0.25">
      <c r="B1460" s="1"/>
    </row>
    <row r="1461" spans="2:2" x14ac:dyDescent="0.25">
      <c r="B1461" s="1"/>
    </row>
    <row r="1462" spans="2:2" x14ac:dyDescent="0.25">
      <c r="B1462" s="1"/>
    </row>
    <row r="1463" spans="2:2" x14ac:dyDescent="0.25">
      <c r="B1463" s="1"/>
    </row>
    <row r="1464" spans="2:2" x14ac:dyDescent="0.25">
      <c r="B1464" s="1"/>
    </row>
    <row r="1465" spans="2:2" x14ac:dyDescent="0.25">
      <c r="B1465" s="1"/>
    </row>
    <row r="1466" spans="2:2" x14ac:dyDescent="0.25">
      <c r="B1466" s="1"/>
    </row>
    <row r="1467" spans="2:2" x14ac:dyDescent="0.25">
      <c r="B1467" s="1"/>
    </row>
    <row r="1468" spans="2:2" x14ac:dyDescent="0.25">
      <c r="B1468" s="1"/>
    </row>
    <row r="1469" spans="2:2" x14ac:dyDescent="0.25">
      <c r="B1469" s="1"/>
    </row>
    <row r="1470" spans="2:2" x14ac:dyDescent="0.25">
      <c r="B1470" s="1"/>
    </row>
    <row r="1471" spans="2:2" x14ac:dyDescent="0.25">
      <c r="B1471" s="1"/>
    </row>
    <row r="1472" spans="2:2" x14ac:dyDescent="0.25">
      <c r="B1472" s="1"/>
    </row>
    <row r="1473" spans="2:2" x14ac:dyDescent="0.25">
      <c r="B1473" s="1"/>
    </row>
    <row r="1474" spans="2:2" x14ac:dyDescent="0.25">
      <c r="B1474" s="1"/>
    </row>
    <row r="1475" spans="2:2" x14ac:dyDescent="0.25">
      <c r="B1475" s="1"/>
    </row>
    <row r="1476" spans="2:2" x14ac:dyDescent="0.25">
      <c r="B1476" s="1"/>
    </row>
    <row r="1477" spans="2:2" x14ac:dyDescent="0.25">
      <c r="B1477" s="1"/>
    </row>
    <row r="1478" spans="2:2" x14ac:dyDescent="0.25">
      <c r="B1478" s="1"/>
    </row>
    <row r="1479" spans="2:2" x14ac:dyDescent="0.25">
      <c r="B1479" s="1"/>
    </row>
    <row r="1480" spans="2:2" x14ac:dyDescent="0.25">
      <c r="B1480" s="1"/>
    </row>
    <row r="1481" spans="2:2" x14ac:dyDescent="0.25">
      <c r="B1481" s="1"/>
    </row>
    <row r="1482" spans="2:2" x14ac:dyDescent="0.25">
      <c r="B1482" s="1"/>
    </row>
    <row r="1483" spans="2:2" x14ac:dyDescent="0.25">
      <c r="B1483" s="1"/>
    </row>
    <row r="1484" spans="2:2" x14ac:dyDescent="0.25">
      <c r="B1484" s="1"/>
    </row>
    <row r="1485" spans="2:2" x14ac:dyDescent="0.25">
      <c r="B1485" s="1"/>
    </row>
    <row r="1486" spans="2:2" x14ac:dyDescent="0.25">
      <c r="B1486" s="1"/>
    </row>
    <row r="1487" spans="2:2" x14ac:dyDescent="0.25">
      <c r="B1487" s="1"/>
    </row>
    <row r="1488" spans="2:2" x14ac:dyDescent="0.25">
      <c r="B1488" s="1"/>
    </row>
    <row r="1489" spans="2:2" x14ac:dyDescent="0.25">
      <c r="B1489" s="1"/>
    </row>
    <row r="1490" spans="2:2" x14ac:dyDescent="0.25">
      <c r="B1490" s="1"/>
    </row>
    <row r="1491" spans="2:2" x14ac:dyDescent="0.25">
      <c r="B1491" s="1"/>
    </row>
    <row r="1492" spans="2:2" x14ac:dyDescent="0.25">
      <c r="B1492" s="1"/>
    </row>
    <row r="1493" spans="2:2" x14ac:dyDescent="0.25">
      <c r="B1493" s="1"/>
    </row>
    <row r="1494" spans="2:2" x14ac:dyDescent="0.25">
      <c r="B1494" s="1"/>
    </row>
    <row r="1495" spans="2:2" x14ac:dyDescent="0.25">
      <c r="B1495" s="1"/>
    </row>
    <row r="1496" spans="2:2" x14ac:dyDescent="0.25">
      <c r="B1496" s="1"/>
    </row>
    <row r="1497" spans="2:2" x14ac:dyDescent="0.25">
      <c r="B1497" s="1"/>
    </row>
    <row r="1498" spans="2:2" x14ac:dyDescent="0.25">
      <c r="B1498" s="1"/>
    </row>
    <row r="1499" spans="2:2" x14ac:dyDescent="0.25">
      <c r="B1499" s="1"/>
    </row>
    <row r="1500" spans="2:2" x14ac:dyDescent="0.25">
      <c r="B1500" s="1"/>
    </row>
    <row r="1501" spans="2:2" x14ac:dyDescent="0.25">
      <c r="B1501" s="1"/>
    </row>
    <row r="1502" spans="2:2" x14ac:dyDescent="0.25">
      <c r="B1502" s="1"/>
    </row>
    <row r="1503" spans="2:2" x14ac:dyDescent="0.25">
      <c r="B1503" s="1"/>
    </row>
    <row r="1504" spans="2:2" x14ac:dyDescent="0.25">
      <c r="B1504" s="1"/>
    </row>
    <row r="1505" spans="2:2" x14ac:dyDescent="0.25">
      <c r="B1505" s="1"/>
    </row>
    <row r="1506" spans="2:2" x14ac:dyDescent="0.25">
      <c r="B1506" s="1"/>
    </row>
    <row r="1507" spans="2:2" x14ac:dyDescent="0.25">
      <c r="B1507" s="1"/>
    </row>
    <row r="1508" spans="2:2" x14ac:dyDescent="0.25">
      <c r="B1508" s="1"/>
    </row>
    <row r="1509" spans="2:2" x14ac:dyDescent="0.25">
      <c r="B1509" s="1"/>
    </row>
    <row r="1510" spans="2:2" x14ac:dyDescent="0.25">
      <c r="B1510" s="1"/>
    </row>
    <row r="1511" spans="2:2" x14ac:dyDescent="0.25">
      <c r="B1511" s="1"/>
    </row>
    <row r="1512" spans="2:2" x14ac:dyDescent="0.25">
      <c r="B1512" s="1"/>
    </row>
    <row r="1513" spans="2:2" x14ac:dyDescent="0.25">
      <c r="B1513" s="1"/>
    </row>
    <row r="1514" spans="2:2" x14ac:dyDescent="0.25">
      <c r="B1514" s="1"/>
    </row>
    <row r="1515" spans="2:2" x14ac:dyDescent="0.25">
      <c r="B1515" s="1"/>
    </row>
    <row r="1516" spans="2:2" x14ac:dyDescent="0.25">
      <c r="B1516" s="1"/>
    </row>
    <row r="1517" spans="2:2" x14ac:dyDescent="0.25">
      <c r="B1517" s="1"/>
    </row>
    <row r="1518" spans="2:2" x14ac:dyDescent="0.25">
      <c r="B1518" s="1"/>
    </row>
    <row r="1519" spans="2:2" x14ac:dyDescent="0.25">
      <c r="B1519" s="1"/>
    </row>
    <row r="1520" spans="2:2" x14ac:dyDescent="0.25">
      <c r="B1520" s="1"/>
    </row>
    <row r="1521" spans="2:2" x14ac:dyDescent="0.25">
      <c r="B1521" s="1"/>
    </row>
    <row r="1522" spans="2:2" x14ac:dyDescent="0.25">
      <c r="B1522" s="1"/>
    </row>
    <row r="1523" spans="2:2" x14ac:dyDescent="0.25">
      <c r="B1523" s="1"/>
    </row>
    <row r="1524" spans="2:2" x14ac:dyDescent="0.25">
      <c r="B1524" s="1"/>
    </row>
    <row r="1525" spans="2:2" x14ac:dyDescent="0.25">
      <c r="B1525" s="1"/>
    </row>
    <row r="1526" spans="2:2" x14ac:dyDescent="0.25">
      <c r="B1526" s="1"/>
    </row>
    <row r="1527" spans="2:2" x14ac:dyDescent="0.25">
      <c r="B1527" s="1"/>
    </row>
    <row r="1528" spans="2:2" x14ac:dyDescent="0.25">
      <c r="B1528" s="1"/>
    </row>
    <row r="1529" spans="2:2" x14ac:dyDescent="0.25">
      <c r="B1529" s="1"/>
    </row>
    <row r="1530" spans="2:2" x14ac:dyDescent="0.25">
      <c r="B1530" s="1"/>
    </row>
    <row r="1531" spans="2:2" x14ac:dyDescent="0.25">
      <c r="B1531" s="1"/>
    </row>
    <row r="1532" spans="2:2" x14ac:dyDescent="0.25">
      <c r="B1532" s="1"/>
    </row>
    <row r="1533" spans="2:2" x14ac:dyDescent="0.25">
      <c r="B1533" s="1"/>
    </row>
    <row r="1534" spans="2:2" x14ac:dyDescent="0.25">
      <c r="B1534" s="1"/>
    </row>
    <row r="1535" spans="2:2" x14ac:dyDescent="0.25">
      <c r="B1535" s="1"/>
    </row>
    <row r="1536" spans="2:2" x14ac:dyDescent="0.25">
      <c r="B1536" s="1"/>
    </row>
    <row r="1537" spans="2:2" x14ac:dyDescent="0.25">
      <c r="B1537" s="1"/>
    </row>
    <row r="1538" spans="2:2" x14ac:dyDescent="0.25">
      <c r="B1538" s="1"/>
    </row>
    <row r="1539" spans="2:2" x14ac:dyDescent="0.25">
      <c r="B1539" s="1"/>
    </row>
    <row r="1540" spans="2:2" x14ac:dyDescent="0.25">
      <c r="B1540" s="1"/>
    </row>
    <row r="1541" spans="2:2" x14ac:dyDescent="0.25">
      <c r="B1541" s="1"/>
    </row>
    <row r="1542" spans="2:2" x14ac:dyDescent="0.25">
      <c r="B1542" s="1"/>
    </row>
    <row r="1543" spans="2:2" x14ac:dyDescent="0.25">
      <c r="B1543" s="1"/>
    </row>
    <row r="1544" spans="2:2" x14ac:dyDescent="0.25">
      <c r="B1544" s="1"/>
    </row>
    <row r="1545" spans="2:2" x14ac:dyDescent="0.25">
      <c r="B1545" s="1"/>
    </row>
    <row r="1546" spans="2:2" x14ac:dyDescent="0.25">
      <c r="B1546" s="1"/>
    </row>
    <row r="1547" spans="2:2" x14ac:dyDescent="0.25">
      <c r="B1547" s="1"/>
    </row>
    <row r="1548" spans="2:2" x14ac:dyDescent="0.25">
      <c r="B1548" s="1"/>
    </row>
    <row r="1549" spans="2:2" x14ac:dyDescent="0.25">
      <c r="B1549" s="1"/>
    </row>
    <row r="1550" spans="2:2" x14ac:dyDescent="0.25">
      <c r="B1550" s="1"/>
    </row>
    <row r="1551" spans="2:2" x14ac:dyDescent="0.25">
      <c r="B1551" s="1"/>
    </row>
    <row r="1552" spans="2:2" x14ac:dyDescent="0.25">
      <c r="B1552" s="1"/>
    </row>
    <row r="1553" spans="2:2" x14ac:dyDescent="0.25">
      <c r="B1553" s="1"/>
    </row>
    <row r="1554" spans="2:2" x14ac:dyDescent="0.25">
      <c r="B1554" s="1"/>
    </row>
    <row r="1555" spans="2:2" x14ac:dyDescent="0.25">
      <c r="B1555" s="1"/>
    </row>
    <row r="1556" spans="2:2" x14ac:dyDescent="0.25">
      <c r="B1556" s="1"/>
    </row>
    <row r="1557" spans="2:2" x14ac:dyDescent="0.25">
      <c r="B1557" s="1"/>
    </row>
    <row r="1558" spans="2:2" x14ac:dyDescent="0.25">
      <c r="B1558" s="1"/>
    </row>
    <row r="1559" spans="2:2" x14ac:dyDescent="0.25">
      <c r="B1559" s="1"/>
    </row>
    <row r="1560" spans="2:2" x14ac:dyDescent="0.25">
      <c r="B1560" s="1"/>
    </row>
    <row r="1561" spans="2:2" x14ac:dyDescent="0.25">
      <c r="B1561" s="1"/>
    </row>
    <row r="1562" spans="2:2" x14ac:dyDescent="0.25">
      <c r="B1562" s="1"/>
    </row>
    <row r="1563" spans="2:2" x14ac:dyDescent="0.25">
      <c r="B1563" s="1"/>
    </row>
    <row r="1564" spans="2:2" x14ac:dyDescent="0.25">
      <c r="B1564" s="1"/>
    </row>
    <row r="1565" spans="2:2" x14ac:dyDescent="0.25">
      <c r="B1565" s="1"/>
    </row>
    <row r="1566" spans="2:2" x14ac:dyDescent="0.25">
      <c r="B1566" s="1"/>
    </row>
    <row r="1567" spans="2:2" x14ac:dyDescent="0.25">
      <c r="B1567" s="1"/>
    </row>
    <row r="1568" spans="2:2" x14ac:dyDescent="0.25">
      <c r="B1568" s="1"/>
    </row>
    <row r="1569" spans="2:2" x14ac:dyDescent="0.25">
      <c r="B1569" s="1"/>
    </row>
    <row r="1570" spans="2:2" x14ac:dyDescent="0.25">
      <c r="B1570" s="1"/>
    </row>
    <row r="1571" spans="2:2" x14ac:dyDescent="0.25">
      <c r="B1571" s="1"/>
    </row>
    <row r="1572" spans="2:2" x14ac:dyDescent="0.25">
      <c r="B1572" s="1"/>
    </row>
    <row r="1573" spans="2:2" x14ac:dyDescent="0.25">
      <c r="B1573" s="1"/>
    </row>
    <row r="1574" spans="2:2" x14ac:dyDescent="0.25">
      <c r="B1574" s="1"/>
    </row>
    <row r="1575" spans="2:2" x14ac:dyDescent="0.25">
      <c r="B1575" s="1"/>
    </row>
    <row r="1576" spans="2:2" x14ac:dyDescent="0.25">
      <c r="B1576" s="1"/>
    </row>
    <row r="1577" spans="2:2" x14ac:dyDescent="0.25">
      <c r="B1577" s="1"/>
    </row>
    <row r="1578" spans="2:2" x14ac:dyDescent="0.25">
      <c r="B1578" s="1"/>
    </row>
    <row r="1579" spans="2:2" x14ac:dyDescent="0.25">
      <c r="B1579" s="1"/>
    </row>
    <row r="1580" spans="2:2" x14ac:dyDescent="0.25">
      <c r="B1580" s="1"/>
    </row>
    <row r="1581" spans="2:2" x14ac:dyDescent="0.25">
      <c r="B1581" s="1"/>
    </row>
    <row r="1582" spans="2:2" x14ac:dyDescent="0.25">
      <c r="B1582" s="1"/>
    </row>
    <row r="1583" spans="2:2" x14ac:dyDescent="0.25">
      <c r="B1583" s="1"/>
    </row>
    <row r="1584" spans="2:2" x14ac:dyDescent="0.25">
      <c r="B1584" s="1"/>
    </row>
    <row r="1585" spans="2:2" x14ac:dyDescent="0.25">
      <c r="B1585" s="1"/>
    </row>
    <row r="1586" spans="2:2" x14ac:dyDescent="0.25">
      <c r="B1586" s="1"/>
    </row>
    <row r="1587" spans="2:2" x14ac:dyDescent="0.25">
      <c r="B1587" s="1"/>
    </row>
    <row r="1588" spans="2:2" x14ac:dyDescent="0.25">
      <c r="B1588" s="1"/>
    </row>
    <row r="1589" spans="2:2" x14ac:dyDescent="0.25">
      <c r="B1589" s="1"/>
    </row>
    <row r="1590" spans="2:2" x14ac:dyDescent="0.25">
      <c r="B1590" s="1"/>
    </row>
    <row r="1591" spans="2:2" x14ac:dyDescent="0.25">
      <c r="B1591" s="1"/>
    </row>
    <row r="1592" spans="2:2" x14ac:dyDescent="0.25">
      <c r="B1592" s="1"/>
    </row>
    <row r="1593" spans="2:2" x14ac:dyDescent="0.25">
      <c r="B1593" s="1"/>
    </row>
    <row r="1594" spans="2:2" x14ac:dyDescent="0.25">
      <c r="B1594" s="1"/>
    </row>
    <row r="1595" spans="2:2" x14ac:dyDescent="0.25">
      <c r="B1595" s="1"/>
    </row>
    <row r="1596" spans="2:2" x14ac:dyDescent="0.25">
      <c r="B1596" s="1"/>
    </row>
    <row r="1597" spans="2:2" x14ac:dyDescent="0.25">
      <c r="B1597" s="1"/>
    </row>
    <row r="1598" spans="2:2" x14ac:dyDescent="0.25">
      <c r="B1598" s="1"/>
    </row>
    <row r="1599" spans="2:2" x14ac:dyDescent="0.25">
      <c r="B1599" s="1"/>
    </row>
    <row r="1600" spans="2:2" x14ac:dyDescent="0.25">
      <c r="B1600" s="1"/>
    </row>
    <row r="1601" spans="2:2" x14ac:dyDescent="0.25">
      <c r="B1601" s="1"/>
    </row>
    <row r="1602" spans="2:2" x14ac:dyDescent="0.25">
      <c r="B1602" s="1"/>
    </row>
    <row r="1603" spans="2:2" x14ac:dyDescent="0.25">
      <c r="B1603" s="1"/>
    </row>
    <row r="1604" spans="2:2" x14ac:dyDescent="0.25">
      <c r="B1604" s="1"/>
    </row>
    <row r="1605" spans="2:2" x14ac:dyDescent="0.25">
      <c r="B1605" s="1"/>
    </row>
    <row r="1606" spans="2:2" x14ac:dyDescent="0.25">
      <c r="B1606" s="1"/>
    </row>
    <row r="1607" spans="2:2" x14ac:dyDescent="0.25">
      <c r="B1607" s="1"/>
    </row>
    <row r="1608" spans="2:2" x14ac:dyDescent="0.25">
      <c r="B1608" s="1"/>
    </row>
    <row r="1609" spans="2:2" x14ac:dyDescent="0.25">
      <c r="B1609" s="1"/>
    </row>
    <row r="1610" spans="2:2" x14ac:dyDescent="0.25">
      <c r="B1610" s="1"/>
    </row>
    <row r="1611" spans="2:2" x14ac:dyDescent="0.25">
      <c r="B1611" s="1"/>
    </row>
    <row r="1612" spans="2:2" x14ac:dyDescent="0.25">
      <c r="B1612" s="1"/>
    </row>
    <row r="1613" spans="2:2" x14ac:dyDescent="0.25">
      <c r="B1613" s="1"/>
    </row>
    <row r="1614" spans="2:2" x14ac:dyDescent="0.25">
      <c r="B1614" s="1"/>
    </row>
    <row r="1615" spans="2:2" x14ac:dyDescent="0.25">
      <c r="B1615" s="1"/>
    </row>
    <row r="1616" spans="2:2" x14ac:dyDescent="0.25">
      <c r="B1616" s="1"/>
    </row>
    <row r="1617" spans="2:2" x14ac:dyDescent="0.25">
      <c r="B1617" s="1"/>
    </row>
    <row r="1618" spans="2:2" x14ac:dyDescent="0.25">
      <c r="B1618" s="1"/>
    </row>
    <row r="1619" spans="2:2" x14ac:dyDescent="0.25">
      <c r="B1619" s="1"/>
    </row>
    <row r="1620" spans="2:2" x14ac:dyDescent="0.25">
      <c r="B1620" s="1"/>
    </row>
    <row r="1621" spans="2:2" x14ac:dyDescent="0.25">
      <c r="B1621" s="1"/>
    </row>
    <row r="1622" spans="2:2" x14ac:dyDescent="0.25">
      <c r="B1622" s="1"/>
    </row>
    <row r="1623" spans="2:2" x14ac:dyDescent="0.25">
      <c r="B1623" s="1"/>
    </row>
    <row r="1624" spans="2:2" x14ac:dyDescent="0.25">
      <c r="B1624" s="1"/>
    </row>
    <row r="1625" spans="2:2" x14ac:dyDescent="0.25">
      <c r="B1625" s="1"/>
    </row>
    <row r="1626" spans="2:2" x14ac:dyDescent="0.25">
      <c r="B1626" s="1"/>
    </row>
    <row r="1627" spans="2:2" x14ac:dyDescent="0.25">
      <c r="B1627" s="1"/>
    </row>
    <row r="1628" spans="2:2" x14ac:dyDescent="0.25">
      <c r="B1628" s="1"/>
    </row>
    <row r="1629" spans="2:2" x14ac:dyDescent="0.25">
      <c r="B1629" s="1"/>
    </row>
    <row r="1630" spans="2:2" x14ac:dyDescent="0.25">
      <c r="B1630" s="1"/>
    </row>
    <row r="1631" spans="2:2" x14ac:dyDescent="0.25">
      <c r="B1631" s="1"/>
    </row>
    <row r="1632" spans="2:2" x14ac:dyDescent="0.25">
      <c r="B1632" s="1"/>
    </row>
    <row r="1633" spans="2:2" x14ac:dyDescent="0.25">
      <c r="B1633" s="1"/>
    </row>
    <row r="1634" spans="2:2" x14ac:dyDescent="0.25">
      <c r="B1634" s="1"/>
    </row>
    <row r="1635" spans="2:2" x14ac:dyDescent="0.25">
      <c r="B1635" s="1"/>
    </row>
    <row r="1636" spans="2:2" x14ac:dyDescent="0.25">
      <c r="B1636" s="1"/>
    </row>
    <row r="1637" spans="2:2" x14ac:dyDescent="0.25">
      <c r="B1637" s="1"/>
    </row>
    <row r="1638" spans="2:2" x14ac:dyDescent="0.25">
      <c r="B1638" s="1"/>
    </row>
    <row r="1639" spans="2:2" x14ac:dyDescent="0.25">
      <c r="B1639" s="1"/>
    </row>
    <row r="1640" spans="2:2" x14ac:dyDescent="0.25">
      <c r="B1640" s="1"/>
    </row>
    <row r="1641" spans="2:2" x14ac:dyDescent="0.25">
      <c r="B1641" s="1"/>
    </row>
    <row r="1642" spans="2:2" x14ac:dyDescent="0.25">
      <c r="B1642" s="1"/>
    </row>
    <row r="1643" spans="2:2" x14ac:dyDescent="0.25">
      <c r="B1643" s="1"/>
    </row>
    <row r="1644" spans="2:2" x14ac:dyDescent="0.25">
      <c r="B1644" s="1"/>
    </row>
    <row r="1645" spans="2:2" x14ac:dyDescent="0.25">
      <c r="B1645" s="1"/>
    </row>
    <row r="1646" spans="2:2" x14ac:dyDescent="0.25">
      <c r="B1646" s="1"/>
    </row>
    <row r="1647" spans="2:2" x14ac:dyDescent="0.25">
      <c r="B1647" s="1"/>
    </row>
    <row r="1648" spans="2:2" x14ac:dyDescent="0.25">
      <c r="B1648" s="1"/>
    </row>
    <row r="1649" spans="2:2" x14ac:dyDescent="0.25">
      <c r="B1649" s="1"/>
    </row>
    <row r="1650" spans="2:2" x14ac:dyDescent="0.25">
      <c r="B1650" s="1"/>
    </row>
    <row r="1651" spans="2:2" x14ac:dyDescent="0.25">
      <c r="B1651" s="1"/>
    </row>
    <row r="1652" spans="2:2" x14ac:dyDescent="0.25">
      <c r="B1652" s="1"/>
    </row>
    <row r="1653" spans="2:2" x14ac:dyDescent="0.25">
      <c r="B1653" s="1"/>
    </row>
    <row r="1654" spans="2:2" x14ac:dyDescent="0.25">
      <c r="B1654" s="1"/>
    </row>
    <row r="1655" spans="2:2" x14ac:dyDescent="0.25">
      <c r="B1655" s="1"/>
    </row>
    <row r="1656" spans="2:2" x14ac:dyDescent="0.25">
      <c r="B1656" s="1"/>
    </row>
    <row r="1657" spans="2:2" x14ac:dyDescent="0.25">
      <c r="B1657" s="1"/>
    </row>
    <row r="1658" spans="2:2" x14ac:dyDescent="0.25">
      <c r="B1658" s="1"/>
    </row>
    <row r="1659" spans="2:2" x14ac:dyDescent="0.25">
      <c r="B1659" s="1"/>
    </row>
    <row r="1660" spans="2:2" x14ac:dyDescent="0.25">
      <c r="B1660" s="1"/>
    </row>
    <row r="1661" spans="2:2" x14ac:dyDescent="0.25">
      <c r="B1661" s="1"/>
    </row>
    <row r="1662" spans="2:2" x14ac:dyDescent="0.25">
      <c r="B1662" s="1"/>
    </row>
    <row r="1663" spans="2:2" x14ac:dyDescent="0.25">
      <c r="B1663" s="1"/>
    </row>
    <row r="1664" spans="2:2" x14ac:dyDescent="0.25">
      <c r="B1664" s="1"/>
    </row>
    <row r="1665" spans="2:2" x14ac:dyDescent="0.25">
      <c r="B1665" s="1"/>
    </row>
    <row r="1666" spans="2:2" x14ac:dyDescent="0.25">
      <c r="B1666" s="1"/>
    </row>
    <row r="1667" spans="2:2" x14ac:dyDescent="0.25">
      <c r="B1667" s="1"/>
    </row>
    <row r="1668" spans="2:2" x14ac:dyDescent="0.25">
      <c r="B1668" s="1"/>
    </row>
    <row r="1669" spans="2:2" x14ac:dyDescent="0.25">
      <c r="B1669" s="1"/>
    </row>
    <row r="1670" spans="2:2" x14ac:dyDescent="0.25">
      <c r="B1670" s="1"/>
    </row>
    <row r="1671" spans="2:2" x14ac:dyDescent="0.25">
      <c r="B1671" s="1"/>
    </row>
    <row r="1672" spans="2:2" x14ac:dyDescent="0.25">
      <c r="B1672" s="1"/>
    </row>
    <row r="1673" spans="2:2" x14ac:dyDescent="0.25">
      <c r="B1673" s="1"/>
    </row>
    <row r="1674" spans="2:2" x14ac:dyDescent="0.25">
      <c r="B1674" s="1"/>
    </row>
    <row r="1675" spans="2:2" x14ac:dyDescent="0.25">
      <c r="B1675" s="1"/>
    </row>
    <row r="1676" spans="2:2" x14ac:dyDescent="0.25">
      <c r="B1676" s="1"/>
    </row>
    <row r="1677" spans="2:2" x14ac:dyDescent="0.25">
      <c r="B1677" s="1"/>
    </row>
    <row r="1678" spans="2:2" x14ac:dyDescent="0.25">
      <c r="B1678" s="1"/>
    </row>
    <row r="1679" spans="2:2" x14ac:dyDescent="0.25">
      <c r="B1679" s="1"/>
    </row>
    <row r="1680" spans="2:2" x14ac:dyDescent="0.25">
      <c r="B1680" s="1"/>
    </row>
    <row r="1681" spans="2:2" x14ac:dyDescent="0.25">
      <c r="B1681" s="1"/>
    </row>
    <row r="1682" spans="2:2" x14ac:dyDescent="0.25">
      <c r="B1682" s="1"/>
    </row>
    <row r="1683" spans="2:2" x14ac:dyDescent="0.25">
      <c r="B1683" s="1"/>
    </row>
    <row r="1684" spans="2:2" x14ac:dyDescent="0.25">
      <c r="B1684" s="1"/>
    </row>
    <row r="1685" spans="2:2" x14ac:dyDescent="0.25">
      <c r="B1685" s="1"/>
    </row>
    <row r="1686" spans="2:2" x14ac:dyDescent="0.25">
      <c r="B1686" s="1"/>
    </row>
    <row r="1687" spans="2:2" x14ac:dyDescent="0.25">
      <c r="B1687" s="1"/>
    </row>
    <row r="1688" spans="2:2" x14ac:dyDescent="0.25">
      <c r="B1688" s="1"/>
    </row>
    <row r="1689" spans="2:2" x14ac:dyDescent="0.25">
      <c r="B1689" s="1"/>
    </row>
    <row r="1690" spans="2:2" x14ac:dyDescent="0.25">
      <c r="B1690" s="1"/>
    </row>
    <row r="1691" spans="2:2" x14ac:dyDescent="0.25">
      <c r="B1691" s="1"/>
    </row>
    <row r="1692" spans="2:2" x14ac:dyDescent="0.25">
      <c r="B1692" s="1"/>
    </row>
    <row r="1693" spans="2:2" x14ac:dyDescent="0.25">
      <c r="B1693" s="1"/>
    </row>
    <row r="1694" spans="2:2" x14ac:dyDescent="0.25">
      <c r="B1694" s="1"/>
    </row>
    <row r="1695" spans="2:2" x14ac:dyDescent="0.25">
      <c r="B1695" s="1"/>
    </row>
    <row r="1696" spans="2:2" x14ac:dyDescent="0.25">
      <c r="B1696" s="1"/>
    </row>
    <row r="1697" spans="2:2" x14ac:dyDescent="0.25">
      <c r="B1697" s="1"/>
    </row>
    <row r="1698" spans="2:2" x14ac:dyDescent="0.25">
      <c r="B1698" s="1"/>
    </row>
    <row r="1699" spans="2:2" x14ac:dyDescent="0.25">
      <c r="B1699" s="1"/>
    </row>
    <row r="1700" spans="2:2" x14ac:dyDescent="0.25">
      <c r="B1700" s="1"/>
    </row>
    <row r="1701" spans="2:2" x14ac:dyDescent="0.25">
      <c r="B1701" s="1"/>
    </row>
    <row r="1702" spans="2:2" x14ac:dyDescent="0.25">
      <c r="B1702" s="1"/>
    </row>
    <row r="1703" spans="2:2" x14ac:dyDescent="0.25">
      <c r="B1703" s="1"/>
    </row>
    <row r="1704" spans="2:2" x14ac:dyDescent="0.25">
      <c r="B1704" s="1"/>
    </row>
    <row r="1705" spans="2:2" x14ac:dyDescent="0.25">
      <c r="B1705" s="1"/>
    </row>
    <row r="1706" spans="2:2" x14ac:dyDescent="0.25">
      <c r="B1706" s="1"/>
    </row>
    <row r="1707" spans="2:2" x14ac:dyDescent="0.25">
      <c r="B1707" s="1"/>
    </row>
    <row r="1708" spans="2:2" x14ac:dyDescent="0.25">
      <c r="B1708" s="1"/>
    </row>
    <row r="1709" spans="2:2" x14ac:dyDescent="0.25">
      <c r="B1709" s="1"/>
    </row>
    <row r="1710" spans="2:2" x14ac:dyDescent="0.25">
      <c r="B1710" s="1"/>
    </row>
    <row r="1711" spans="2:2" x14ac:dyDescent="0.25">
      <c r="B1711" s="1"/>
    </row>
    <row r="1712" spans="2:2" x14ac:dyDescent="0.25">
      <c r="B1712" s="1"/>
    </row>
    <row r="1713" spans="2:2" x14ac:dyDescent="0.25">
      <c r="B1713" s="1"/>
    </row>
    <row r="1714" spans="2:2" x14ac:dyDescent="0.25">
      <c r="B1714" s="1"/>
    </row>
    <row r="1715" spans="2:2" x14ac:dyDescent="0.25">
      <c r="B1715" s="1"/>
    </row>
    <row r="1716" spans="2:2" x14ac:dyDescent="0.25">
      <c r="B1716" s="1"/>
    </row>
    <row r="1717" spans="2:2" x14ac:dyDescent="0.25">
      <c r="B1717" s="1"/>
    </row>
    <row r="1718" spans="2:2" x14ac:dyDescent="0.25">
      <c r="B1718" s="1"/>
    </row>
    <row r="1719" spans="2:2" x14ac:dyDescent="0.25">
      <c r="B1719" s="1"/>
    </row>
    <row r="1720" spans="2:2" x14ac:dyDescent="0.25">
      <c r="B1720" s="1"/>
    </row>
    <row r="1721" spans="2:2" x14ac:dyDescent="0.25">
      <c r="B1721" s="1"/>
    </row>
    <row r="1722" spans="2:2" x14ac:dyDescent="0.25">
      <c r="B1722" s="1"/>
    </row>
    <row r="1723" spans="2:2" x14ac:dyDescent="0.25">
      <c r="B1723" s="1"/>
    </row>
    <row r="1724" spans="2:2" x14ac:dyDescent="0.25">
      <c r="B1724" s="1"/>
    </row>
    <row r="1725" spans="2:2" x14ac:dyDescent="0.25">
      <c r="B1725" s="1"/>
    </row>
    <row r="1726" spans="2:2" x14ac:dyDescent="0.25">
      <c r="B1726" s="1"/>
    </row>
    <row r="1727" spans="2:2" x14ac:dyDescent="0.25">
      <c r="B1727" s="1"/>
    </row>
    <row r="1728" spans="2:2" x14ac:dyDescent="0.25">
      <c r="B1728" s="1"/>
    </row>
    <row r="1729" spans="2:2" x14ac:dyDescent="0.25">
      <c r="B1729" s="1"/>
    </row>
    <row r="1730" spans="2:2" x14ac:dyDescent="0.25">
      <c r="B1730" s="1"/>
    </row>
    <row r="1731" spans="2:2" x14ac:dyDescent="0.25">
      <c r="B1731" s="1"/>
    </row>
    <row r="1732" spans="2:2" x14ac:dyDescent="0.25">
      <c r="B1732" s="1"/>
    </row>
    <row r="1733" spans="2:2" x14ac:dyDescent="0.25">
      <c r="B1733" s="1"/>
    </row>
    <row r="1734" spans="2:2" x14ac:dyDescent="0.25">
      <c r="B1734" s="1"/>
    </row>
    <row r="1735" spans="2:2" x14ac:dyDescent="0.25">
      <c r="B1735" s="1"/>
    </row>
    <row r="1736" spans="2:2" x14ac:dyDescent="0.25">
      <c r="B1736" s="1"/>
    </row>
    <row r="1737" spans="2:2" x14ac:dyDescent="0.25">
      <c r="B1737" s="1"/>
    </row>
    <row r="1738" spans="2:2" x14ac:dyDescent="0.25">
      <c r="B1738" s="1"/>
    </row>
    <row r="1739" spans="2:2" x14ac:dyDescent="0.25">
      <c r="B1739" s="1"/>
    </row>
    <row r="1740" spans="2:2" x14ac:dyDescent="0.25">
      <c r="B1740" s="1"/>
    </row>
    <row r="1741" spans="2:2" x14ac:dyDescent="0.25">
      <c r="B1741" s="1"/>
    </row>
    <row r="1742" spans="2:2" x14ac:dyDescent="0.25">
      <c r="B1742" s="1"/>
    </row>
    <row r="1743" spans="2:2" x14ac:dyDescent="0.25">
      <c r="B1743" s="1"/>
    </row>
    <row r="1744" spans="2:2" x14ac:dyDescent="0.25">
      <c r="B1744" s="1"/>
    </row>
    <row r="1745" spans="2:2" x14ac:dyDescent="0.25">
      <c r="B1745" s="1"/>
    </row>
    <row r="1746" spans="2:2" x14ac:dyDescent="0.25">
      <c r="B1746" s="1"/>
    </row>
    <row r="1747" spans="2:2" x14ac:dyDescent="0.25">
      <c r="B1747" s="1"/>
    </row>
    <row r="1748" spans="2:2" x14ac:dyDescent="0.25">
      <c r="B1748" s="1"/>
    </row>
    <row r="1749" spans="2:2" x14ac:dyDescent="0.25">
      <c r="B1749" s="1"/>
    </row>
    <row r="1750" spans="2:2" x14ac:dyDescent="0.25">
      <c r="B1750" s="1"/>
    </row>
    <row r="1751" spans="2:2" x14ac:dyDescent="0.25">
      <c r="B1751" s="1"/>
    </row>
    <row r="1752" spans="2:2" x14ac:dyDescent="0.25">
      <c r="B1752" s="1"/>
    </row>
    <row r="1753" spans="2:2" x14ac:dyDescent="0.25">
      <c r="B1753" s="1"/>
    </row>
    <row r="1754" spans="2:2" x14ac:dyDescent="0.25">
      <c r="B1754" s="1"/>
    </row>
    <row r="1755" spans="2:2" x14ac:dyDescent="0.25">
      <c r="B1755" s="1"/>
    </row>
    <row r="1756" spans="2:2" x14ac:dyDescent="0.25">
      <c r="B1756" s="1"/>
    </row>
    <row r="1757" spans="2:2" x14ac:dyDescent="0.25">
      <c r="B1757" s="1"/>
    </row>
    <row r="1758" spans="2:2" x14ac:dyDescent="0.25">
      <c r="B1758" s="1"/>
    </row>
    <row r="1759" spans="2:2" x14ac:dyDescent="0.25">
      <c r="B1759" s="1"/>
    </row>
    <row r="1760" spans="2:2" x14ac:dyDescent="0.25">
      <c r="B1760" s="1"/>
    </row>
    <row r="1761" spans="2:2" x14ac:dyDescent="0.25">
      <c r="B1761" s="1"/>
    </row>
    <row r="1762" spans="2:2" x14ac:dyDescent="0.25">
      <c r="B1762" s="1"/>
    </row>
    <row r="1763" spans="2:2" x14ac:dyDescent="0.25">
      <c r="B1763" s="1"/>
    </row>
    <row r="1764" spans="2:2" x14ac:dyDescent="0.25">
      <c r="B1764" s="1"/>
    </row>
    <row r="1765" spans="2:2" x14ac:dyDescent="0.25">
      <c r="B1765" s="1"/>
    </row>
    <row r="1766" spans="2:2" x14ac:dyDescent="0.25">
      <c r="B1766" s="1"/>
    </row>
    <row r="1767" spans="2:2" x14ac:dyDescent="0.25">
      <c r="B1767" s="1"/>
    </row>
    <row r="1768" spans="2:2" x14ac:dyDescent="0.25">
      <c r="B1768" s="1"/>
    </row>
    <row r="1769" spans="2:2" x14ac:dyDescent="0.25">
      <c r="B1769" s="1"/>
    </row>
    <row r="1770" spans="2:2" x14ac:dyDescent="0.25">
      <c r="B1770" s="1"/>
    </row>
    <row r="1771" spans="2:2" x14ac:dyDescent="0.25">
      <c r="B1771" s="1"/>
    </row>
    <row r="1772" spans="2:2" x14ac:dyDescent="0.25">
      <c r="B1772" s="1"/>
    </row>
    <row r="1773" spans="2:2" x14ac:dyDescent="0.25">
      <c r="B1773" s="1"/>
    </row>
    <row r="1774" spans="2:2" x14ac:dyDescent="0.25">
      <c r="B1774" s="1"/>
    </row>
    <row r="1775" spans="2:2" x14ac:dyDescent="0.25">
      <c r="B1775" s="1"/>
    </row>
    <row r="1776" spans="2:2" x14ac:dyDescent="0.25">
      <c r="B1776" s="1"/>
    </row>
    <row r="1777" spans="1:18" x14ac:dyDescent="0.25">
      <c r="B1777" s="1"/>
    </row>
    <row r="1778" spans="1:18" x14ac:dyDescent="0.25">
      <c r="B1778" s="1"/>
    </row>
    <row r="1779" spans="1:18" x14ac:dyDescent="0.25">
      <c r="B1779" s="1"/>
    </row>
    <row r="1780" spans="1:18" x14ac:dyDescent="0.25">
      <c r="B1780" s="1"/>
    </row>
    <row r="1781" spans="1:18" x14ac:dyDescent="0.25">
      <c r="B1781" s="1"/>
    </row>
    <row r="1782" spans="1:18" x14ac:dyDescent="0.25">
      <c r="B1782" s="1"/>
    </row>
    <row r="1783" spans="1:18" x14ac:dyDescent="0.25">
      <c r="B1783" s="1"/>
    </row>
    <row r="1784" spans="1:18" x14ac:dyDescent="0.25">
      <c r="B1784" s="1"/>
    </row>
    <row r="1785" spans="1:18" x14ac:dyDescent="0.25">
      <c r="B1785" s="1"/>
    </row>
    <row r="1786" spans="1:18" x14ac:dyDescent="0.25">
      <c r="B1786" s="1"/>
    </row>
    <row r="1787" spans="1:18" x14ac:dyDescent="0.25">
      <c r="B1787" s="1"/>
    </row>
    <row r="1788" spans="1:18" x14ac:dyDescent="0.25">
      <c r="B1788" s="1"/>
    </row>
    <row r="1789" spans="1:18" x14ac:dyDescent="0.25">
      <c r="B1789" s="1"/>
    </row>
    <row r="1790" spans="1:18" x14ac:dyDescent="0.25">
      <c r="B1790" s="1"/>
    </row>
    <row r="1791" spans="1:18" x14ac:dyDescent="0.25">
      <c r="B1791" s="1"/>
    </row>
    <row r="1792" spans="1:18" x14ac:dyDescent="0.25">
      <c r="A1792">
        <v>1</v>
      </c>
      <c r="B1792" s="1">
        <v>40544</v>
      </c>
      <c r="C1792">
        <v>1</v>
      </c>
      <c r="D1792">
        <v>0</v>
      </c>
      <c r="E1792">
        <v>1</v>
      </c>
      <c r="F1792">
        <v>0</v>
      </c>
      <c r="G1792" t="b">
        <v>0</v>
      </c>
      <c r="H1792">
        <v>6</v>
      </c>
      <c r="I1792">
        <v>1</v>
      </c>
      <c r="J1792">
        <v>0.24</v>
      </c>
      <c r="K1792">
        <v>0.28789999999999999</v>
      </c>
      <c r="L1792">
        <v>0.81</v>
      </c>
      <c r="M1792">
        <v>0</v>
      </c>
      <c r="N1792">
        <v>3</v>
      </c>
      <c r="O1792">
        <v>13</v>
      </c>
      <c r="P1792">
        <v>16</v>
      </c>
      <c r="Q1792">
        <v>0</v>
      </c>
      <c r="R1792">
        <v>1</v>
      </c>
    </row>
    <row r="1793" spans="1:18" x14ac:dyDescent="0.25">
      <c r="A1793">
        <v>2</v>
      </c>
      <c r="B1793" s="1">
        <v>40544</v>
      </c>
      <c r="C1793">
        <v>1</v>
      </c>
      <c r="D1793">
        <v>0</v>
      </c>
      <c r="E1793">
        <v>1</v>
      </c>
      <c r="F1793">
        <v>1</v>
      </c>
      <c r="G1793" t="b">
        <v>0</v>
      </c>
      <c r="H1793">
        <v>6</v>
      </c>
      <c r="I1793">
        <v>1</v>
      </c>
      <c r="J1793">
        <v>0.22</v>
      </c>
      <c r="K1793">
        <v>0.2727</v>
      </c>
      <c r="L1793">
        <v>0.8</v>
      </c>
      <c r="M1793">
        <v>0</v>
      </c>
      <c r="N1793">
        <v>8</v>
      </c>
      <c r="O1793">
        <v>32</v>
      </c>
      <c r="P1793">
        <v>40</v>
      </c>
      <c r="Q1793">
        <v>1</v>
      </c>
      <c r="R1793">
        <v>2</v>
      </c>
    </row>
    <row r="1794" spans="1:18" x14ac:dyDescent="0.25">
      <c r="A1794">
        <v>3</v>
      </c>
      <c r="B1794" s="1">
        <v>40544</v>
      </c>
      <c r="C1794">
        <v>1</v>
      </c>
      <c r="D1794">
        <v>0</v>
      </c>
      <c r="E1794">
        <v>1</v>
      </c>
      <c r="F1794">
        <v>2</v>
      </c>
      <c r="G1794" t="b">
        <v>0</v>
      </c>
      <c r="H1794">
        <v>6</v>
      </c>
      <c r="I1794">
        <v>1</v>
      </c>
      <c r="J1794">
        <v>0.22</v>
      </c>
      <c r="K1794">
        <v>0.2727</v>
      </c>
      <c r="L1794">
        <v>0.8</v>
      </c>
      <c r="M1794">
        <v>0</v>
      </c>
      <c r="N1794">
        <v>5</v>
      </c>
      <c r="O1794">
        <v>27</v>
      </c>
      <c r="P1794">
        <v>32</v>
      </c>
      <c r="Q1794">
        <v>2</v>
      </c>
      <c r="R1794">
        <v>3</v>
      </c>
    </row>
    <row r="1795" spans="1:18" x14ac:dyDescent="0.25">
      <c r="A1795">
        <v>4</v>
      </c>
      <c r="B1795" s="1">
        <v>40544</v>
      </c>
      <c r="C1795">
        <v>1</v>
      </c>
      <c r="D1795">
        <v>0</v>
      </c>
      <c r="E1795">
        <v>1</v>
      </c>
      <c r="F1795">
        <v>3</v>
      </c>
      <c r="G1795" t="b">
        <v>0</v>
      </c>
      <c r="H1795">
        <v>6</v>
      </c>
      <c r="I1795">
        <v>1</v>
      </c>
      <c r="J1795">
        <v>0.24</v>
      </c>
      <c r="K1795">
        <v>0.28789999999999999</v>
      </c>
      <c r="L1795">
        <v>0.75</v>
      </c>
      <c r="M1795">
        <v>0</v>
      </c>
      <c r="N1795">
        <v>3</v>
      </c>
      <c r="O1795">
        <v>10</v>
      </c>
      <c r="P1795">
        <v>13</v>
      </c>
      <c r="Q1795">
        <v>3</v>
      </c>
      <c r="R1795">
        <v>4</v>
      </c>
    </row>
    <row r="1796" spans="1:18" x14ac:dyDescent="0.25">
      <c r="A1796">
        <v>5</v>
      </c>
      <c r="B1796" s="1">
        <v>40544</v>
      </c>
      <c r="C1796">
        <v>1</v>
      </c>
      <c r="D1796">
        <v>0</v>
      </c>
      <c r="E1796">
        <v>1</v>
      </c>
      <c r="F1796">
        <v>4</v>
      </c>
      <c r="G1796" t="b">
        <v>0</v>
      </c>
      <c r="H1796">
        <v>6</v>
      </c>
      <c r="I1796">
        <v>1</v>
      </c>
      <c r="J1796">
        <v>0.24</v>
      </c>
      <c r="K1796">
        <v>0.28789999999999999</v>
      </c>
      <c r="L1796">
        <v>0.75</v>
      </c>
      <c r="M1796">
        <v>0</v>
      </c>
      <c r="N1796">
        <v>0</v>
      </c>
      <c r="O1796">
        <v>1</v>
      </c>
      <c r="P1796">
        <v>1</v>
      </c>
      <c r="Q1796">
        <v>4</v>
      </c>
      <c r="R1796">
        <v>5</v>
      </c>
    </row>
    <row r="1797" spans="1:18" x14ac:dyDescent="0.25">
      <c r="A1797">
        <v>6</v>
      </c>
      <c r="B1797" s="1">
        <v>40544</v>
      </c>
      <c r="C1797">
        <v>1</v>
      </c>
      <c r="D1797">
        <v>0</v>
      </c>
      <c r="E1797">
        <v>1</v>
      </c>
      <c r="F1797">
        <v>5</v>
      </c>
      <c r="G1797" t="b">
        <v>0</v>
      </c>
      <c r="H1797">
        <v>6</v>
      </c>
      <c r="I1797">
        <v>2</v>
      </c>
      <c r="J1797">
        <v>0.24</v>
      </c>
      <c r="K1797">
        <v>0.2576</v>
      </c>
      <c r="L1797">
        <v>0.75</v>
      </c>
      <c r="M1797">
        <v>8.9599999999999999E-2</v>
      </c>
      <c r="N1797">
        <v>0</v>
      </c>
      <c r="O1797">
        <v>1</v>
      </c>
      <c r="P1797">
        <v>1</v>
      </c>
      <c r="Q1797">
        <v>5</v>
      </c>
      <c r="R1797">
        <v>6</v>
      </c>
    </row>
    <row r="1798" spans="1:18" x14ac:dyDescent="0.25">
      <c r="A1798">
        <v>7</v>
      </c>
      <c r="B1798" s="1">
        <v>40544</v>
      </c>
      <c r="C1798">
        <v>1</v>
      </c>
      <c r="D1798">
        <v>0</v>
      </c>
      <c r="E1798">
        <v>1</v>
      </c>
      <c r="F1798">
        <v>6</v>
      </c>
      <c r="G1798" t="b">
        <v>0</v>
      </c>
      <c r="H1798">
        <v>6</v>
      </c>
      <c r="I1798">
        <v>1</v>
      </c>
      <c r="J1798">
        <v>0.22</v>
      </c>
      <c r="K1798">
        <v>0.2727</v>
      </c>
      <c r="L1798">
        <v>0.8</v>
      </c>
      <c r="M1798">
        <v>0</v>
      </c>
      <c r="N1798">
        <v>2</v>
      </c>
      <c r="O1798">
        <v>0</v>
      </c>
      <c r="P1798">
        <v>2</v>
      </c>
      <c r="Q1798">
        <v>6</v>
      </c>
      <c r="R1798">
        <v>7</v>
      </c>
    </row>
    <row r="1799" spans="1:18" x14ac:dyDescent="0.25">
      <c r="A1799">
        <v>8</v>
      </c>
      <c r="B1799" s="1">
        <v>40544</v>
      </c>
      <c r="C1799">
        <v>1</v>
      </c>
      <c r="D1799">
        <v>0</v>
      </c>
      <c r="E1799">
        <v>1</v>
      </c>
      <c r="F1799">
        <v>7</v>
      </c>
      <c r="G1799" t="b">
        <v>0</v>
      </c>
      <c r="H1799">
        <v>6</v>
      </c>
      <c r="I1799">
        <v>1</v>
      </c>
      <c r="J1799">
        <v>0.2</v>
      </c>
      <c r="K1799">
        <v>0.2576</v>
      </c>
      <c r="L1799">
        <v>0.86</v>
      </c>
      <c r="M1799">
        <v>0</v>
      </c>
      <c r="N1799">
        <v>1</v>
      </c>
      <c r="O1799">
        <v>2</v>
      </c>
      <c r="P1799">
        <v>3</v>
      </c>
      <c r="Q1799">
        <v>7</v>
      </c>
      <c r="R1799">
        <v>8</v>
      </c>
    </row>
    <row r="1800" spans="1:18" x14ac:dyDescent="0.25">
      <c r="A1800">
        <v>9</v>
      </c>
      <c r="B1800" s="1">
        <v>40544</v>
      </c>
      <c r="C1800">
        <v>1</v>
      </c>
      <c r="D1800">
        <v>0</v>
      </c>
      <c r="E1800">
        <v>1</v>
      </c>
      <c r="F1800">
        <v>8</v>
      </c>
      <c r="G1800" t="b">
        <v>0</v>
      </c>
      <c r="H1800">
        <v>6</v>
      </c>
      <c r="I1800">
        <v>1</v>
      </c>
      <c r="J1800">
        <v>0.24</v>
      </c>
      <c r="L1800">
        <v>0.75</v>
      </c>
      <c r="M1800">
        <v>0</v>
      </c>
      <c r="N1800">
        <v>1</v>
      </c>
      <c r="O1800">
        <v>7</v>
      </c>
      <c r="P1800">
        <v>8</v>
      </c>
      <c r="Q1800">
        <v>8</v>
      </c>
      <c r="R1800">
        <v>9</v>
      </c>
    </row>
    <row r="1801" spans="1:18" x14ac:dyDescent="0.25">
      <c r="A1801">
        <v>10</v>
      </c>
      <c r="B1801" s="1">
        <v>40544</v>
      </c>
      <c r="C1801">
        <v>1</v>
      </c>
      <c r="D1801">
        <v>0</v>
      </c>
      <c r="E1801">
        <v>1</v>
      </c>
      <c r="F1801">
        <v>9</v>
      </c>
      <c r="G1801" t="b">
        <v>0</v>
      </c>
      <c r="H1801">
        <v>6</v>
      </c>
      <c r="I1801">
        <v>1</v>
      </c>
      <c r="J1801">
        <v>0.32</v>
      </c>
      <c r="K1801">
        <v>0.34849999999999998</v>
      </c>
      <c r="L1801">
        <v>0.76</v>
      </c>
      <c r="M1801">
        <v>0</v>
      </c>
      <c r="N1801">
        <v>8</v>
      </c>
      <c r="O1801">
        <v>6</v>
      </c>
      <c r="P1801">
        <v>14</v>
      </c>
      <c r="Q1801">
        <v>9</v>
      </c>
      <c r="R1801">
        <v>10</v>
      </c>
    </row>
    <row r="1802" spans="1:18" x14ac:dyDescent="0.25">
      <c r="A1802">
        <v>11</v>
      </c>
      <c r="B1802" s="1">
        <v>40544</v>
      </c>
      <c r="C1802">
        <v>1</v>
      </c>
      <c r="D1802">
        <v>0</v>
      </c>
      <c r="E1802">
        <v>1</v>
      </c>
      <c r="F1802">
        <v>10</v>
      </c>
      <c r="G1802" t="b">
        <v>0</v>
      </c>
      <c r="H1802">
        <v>6</v>
      </c>
      <c r="I1802">
        <v>1</v>
      </c>
      <c r="J1802">
        <v>0.38</v>
      </c>
      <c r="K1802">
        <v>0.39389999999999997</v>
      </c>
      <c r="L1802">
        <v>0.76</v>
      </c>
      <c r="M1802">
        <v>0.25369999999999998</v>
      </c>
      <c r="N1802">
        <v>12</v>
      </c>
      <c r="O1802">
        <v>24</v>
      </c>
      <c r="P1802">
        <v>36</v>
      </c>
      <c r="Q1802">
        <v>10</v>
      </c>
      <c r="R1802">
        <v>11</v>
      </c>
    </row>
    <row r="1803" spans="1:18" x14ac:dyDescent="0.25">
      <c r="A1803">
        <v>12</v>
      </c>
      <c r="B1803" s="1">
        <v>40544</v>
      </c>
      <c r="C1803">
        <v>1</v>
      </c>
      <c r="D1803">
        <v>0</v>
      </c>
      <c r="E1803">
        <v>1</v>
      </c>
      <c r="F1803">
        <v>11</v>
      </c>
      <c r="G1803" t="b">
        <v>0</v>
      </c>
      <c r="H1803">
        <v>6</v>
      </c>
      <c r="I1803">
        <v>1</v>
      </c>
      <c r="J1803">
        <v>0.36</v>
      </c>
      <c r="K1803">
        <v>0.33329999999999999</v>
      </c>
      <c r="L1803">
        <v>0.81</v>
      </c>
      <c r="M1803">
        <v>0.28360000000000002</v>
      </c>
      <c r="N1803">
        <v>26</v>
      </c>
      <c r="O1803">
        <v>30</v>
      </c>
      <c r="P1803">
        <v>56</v>
      </c>
      <c r="Q1803">
        <v>11</v>
      </c>
      <c r="R1803">
        <v>12</v>
      </c>
    </row>
    <row r="1804" spans="1:18" x14ac:dyDescent="0.25">
      <c r="A1804">
        <v>13</v>
      </c>
      <c r="B1804" s="1">
        <v>40544</v>
      </c>
      <c r="C1804">
        <v>1</v>
      </c>
      <c r="D1804">
        <v>0</v>
      </c>
      <c r="E1804">
        <v>1</v>
      </c>
      <c r="F1804">
        <v>12</v>
      </c>
      <c r="G1804" t="b">
        <v>0</v>
      </c>
      <c r="H1804">
        <v>6</v>
      </c>
      <c r="I1804">
        <v>1</v>
      </c>
      <c r="J1804">
        <v>0.42</v>
      </c>
      <c r="K1804">
        <v>0.42420000000000002</v>
      </c>
      <c r="L1804">
        <v>0.77</v>
      </c>
      <c r="M1804">
        <v>0.28360000000000002</v>
      </c>
      <c r="N1804">
        <v>29</v>
      </c>
      <c r="O1804">
        <v>55</v>
      </c>
      <c r="P1804">
        <v>84</v>
      </c>
      <c r="Q1804">
        <v>12</v>
      </c>
      <c r="R1804">
        <v>13</v>
      </c>
    </row>
    <row r="1805" spans="1:18" x14ac:dyDescent="0.25">
      <c r="A1805">
        <v>14</v>
      </c>
      <c r="B1805" s="1">
        <v>40544</v>
      </c>
      <c r="C1805">
        <v>1</v>
      </c>
      <c r="D1805">
        <v>0</v>
      </c>
      <c r="E1805">
        <v>1</v>
      </c>
      <c r="F1805">
        <v>13</v>
      </c>
      <c r="G1805" t="b">
        <v>0</v>
      </c>
      <c r="H1805">
        <v>6</v>
      </c>
      <c r="I1805">
        <v>2</v>
      </c>
      <c r="J1805">
        <v>0.46</v>
      </c>
      <c r="K1805">
        <v>0.45450000000000002</v>
      </c>
      <c r="L1805">
        <v>0.72</v>
      </c>
      <c r="M1805">
        <v>0.29849999999999999</v>
      </c>
      <c r="N1805">
        <v>47</v>
      </c>
      <c r="O1805">
        <v>47</v>
      </c>
      <c r="P1805">
        <v>94</v>
      </c>
      <c r="Q1805">
        <v>13</v>
      </c>
      <c r="R1805">
        <v>14</v>
      </c>
    </row>
    <row r="1806" spans="1:18" x14ac:dyDescent="0.25">
      <c r="A1806">
        <v>15</v>
      </c>
      <c r="B1806" s="1">
        <v>40544</v>
      </c>
      <c r="C1806">
        <v>1</v>
      </c>
      <c r="D1806">
        <v>0</v>
      </c>
      <c r="E1806">
        <v>1</v>
      </c>
      <c r="F1806">
        <v>14</v>
      </c>
      <c r="G1806" t="b">
        <v>0</v>
      </c>
      <c r="H1806">
        <v>6</v>
      </c>
      <c r="I1806">
        <v>2</v>
      </c>
      <c r="J1806">
        <v>0.46</v>
      </c>
      <c r="K1806">
        <v>0.45450000000000002</v>
      </c>
      <c r="L1806">
        <v>0.72</v>
      </c>
      <c r="M1806">
        <v>0.28360000000000002</v>
      </c>
      <c r="N1806">
        <v>35</v>
      </c>
      <c r="O1806">
        <v>71</v>
      </c>
      <c r="P1806">
        <v>106</v>
      </c>
      <c r="Q1806">
        <v>14</v>
      </c>
      <c r="R1806">
        <v>15</v>
      </c>
    </row>
    <row r="1807" spans="1:18" x14ac:dyDescent="0.25">
      <c r="A1807">
        <v>16</v>
      </c>
      <c r="B1807" s="1">
        <v>40544</v>
      </c>
      <c r="C1807">
        <v>1</v>
      </c>
      <c r="D1807">
        <v>0</v>
      </c>
      <c r="E1807">
        <v>1</v>
      </c>
      <c r="F1807">
        <v>15</v>
      </c>
      <c r="G1807" t="b">
        <v>0</v>
      </c>
      <c r="H1807">
        <v>6</v>
      </c>
      <c r="I1807">
        <v>2</v>
      </c>
      <c r="J1807">
        <v>0.44</v>
      </c>
      <c r="K1807">
        <v>0.43940000000000001</v>
      </c>
      <c r="L1807">
        <v>0.77</v>
      </c>
      <c r="M1807">
        <v>0.29849999999999999</v>
      </c>
      <c r="N1807">
        <v>40</v>
      </c>
      <c r="O1807">
        <v>70</v>
      </c>
      <c r="P1807">
        <v>110</v>
      </c>
      <c r="Q1807">
        <v>15</v>
      </c>
      <c r="R1807">
        <v>16</v>
      </c>
    </row>
    <row r="1808" spans="1:18" x14ac:dyDescent="0.25">
      <c r="A1808">
        <v>17</v>
      </c>
      <c r="B1808" s="1">
        <v>40544</v>
      </c>
      <c r="C1808">
        <v>1</v>
      </c>
      <c r="D1808">
        <v>0</v>
      </c>
      <c r="E1808">
        <v>1</v>
      </c>
      <c r="F1808">
        <v>16</v>
      </c>
      <c r="G1808" t="b">
        <v>0</v>
      </c>
      <c r="H1808">
        <v>6</v>
      </c>
      <c r="I1808">
        <v>2</v>
      </c>
      <c r="J1808">
        <v>0.42</v>
      </c>
      <c r="K1808">
        <v>0.42420000000000002</v>
      </c>
      <c r="L1808">
        <v>0.82</v>
      </c>
      <c r="M1808">
        <v>0.29849999999999999</v>
      </c>
      <c r="N1808">
        <v>41</v>
      </c>
      <c r="O1808">
        <v>52</v>
      </c>
      <c r="P1808">
        <v>93</v>
      </c>
      <c r="Q1808">
        <v>16</v>
      </c>
      <c r="R1808">
        <v>17</v>
      </c>
    </row>
    <row r="1809" spans="1:18" x14ac:dyDescent="0.25">
      <c r="A1809">
        <v>18</v>
      </c>
      <c r="B1809" s="1">
        <v>40544</v>
      </c>
      <c r="C1809">
        <v>1</v>
      </c>
      <c r="D1809">
        <v>0</v>
      </c>
      <c r="E1809">
        <v>1</v>
      </c>
      <c r="F1809">
        <v>17</v>
      </c>
      <c r="G1809" t="b">
        <v>0</v>
      </c>
      <c r="H1809">
        <v>6</v>
      </c>
      <c r="I1809">
        <v>2</v>
      </c>
      <c r="J1809">
        <v>0.44</v>
      </c>
      <c r="L1809">
        <v>0.82</v>
      </c>
      <c r="M1809">
        <v>0.28360000000000002</v>
      </c>
      <c r="N1809">
        <v>15</v>
      </c>
      <c r="O1809">
        <v>52</v>
      </c>
      <c r="P1809">
        <v>67</v>
      </c>
      <c r="Q1809">
        <v>17</v>
      </c>
      <c r="R1809">
        <v>18</v>
      </c>
    </row>
    <row r="1810" spans="1:18" x14ac:dyDescent="0.25">
      <c r="A1810">
        <v>19</v>
      </c>
      <c r="B1810" s="1">
        <v>40544</v>
      </c>
      <c r="C1810">
        <v>1</v>
      </c>
      <c r="D1810">
        <v>0</v>
      </c>
      <c r="E1810">
        <v>1</v>
      </c>
      <c r="F1810">
        <v>18</v>
      </c>
      <c r="G1810" t="b">
        <v>0</v>
      </c>
      <c r="H1810">
        <v>6</v>
      </c>
      <c r="I1810">
        <v>3</v>
      </c>
      <c r="J1810">
        <v>0.42</v>
      </c>
      <c r="K1810">
        <v>0.42420000000000002</v>
      </c>
      <c r="L1810">
        <v>0.88</v>
      </c>
      <c r="M1810">
        <v>0.25369999999999998</v>
      </c>
      <c r="N1810">
        <v>9</v>
      </c>
      <c r="O1810">
        <v>26</v>
      </c>
      <c r="P1810">
        <v>35</v>
      </c>
      <c r="Q1810">
        <v>18</v>
      </c>
      <c r="R1810">
        <v>19</v>
      </c>
    </row>
    <row r="1811" spans="1:18" x14ac:dyDescent="0.25">
      <c r="A1811">
        <v>20</v>
      </c>
      <c r="B1811" s="1">
        <v>40544</v>
      </c>
      <c r="C1811">
        <v>1</v>
      </c>
      <c r="D1811">
        <v>0</v>
      </c>
      <c r="E1811">
        <v>1</v>
      </c>
      <c r="F1811">
        <v>19</v>
      </c>
      <c r="G1811" t="b">
        <v>0</v>
      </c>
      <c r="H1811">
        <v>6</v>
      </c>
      <c r="I1811">
        <v>3</v>
      </c>
      <c r="J1811">
        <v>0.42</v>
      </c>
      <c r="K1811">
        <v>0.42420000000000002</v>
      </c>
      <c r="L1811">
        <v>0.88</v>
      </c>
      <c r="M1811">
        <v>0.25369999999999998</v>
      </c>
      <c r="N1811">
        <v>6</v>
      </c>
      <c r="O1811">
        <v>31</v>
      </c>
      <c r="P1811">
        <v>37</v>
      </c>
      <c r="Q1811">
        <v>19</v>
      </c>
      <c r="R1811">
        <v>20</v>
      </c>
    </row>
    <row r="1812" spans="1:18" x14ac:dyDescent="0.25">
      <c r="A1812">
        <v>21</v>
      </c>
      <c r="B1812" s="1">
        <v>40544</v>
      </c>
      <c r="C1812">
        <v>1</v>
      </c>
      <c r="D1812">
        <v>0</v>
      </c>
      <c r="E1812">
        <v>1</v>
      </c>
      <c r="F1812">
        <v>20</v>
      </c>
      <c r="G1812" t="b">
        <v>0</v>
      </c>
      <c r="H1812">
        <v>6</v>
      </c>
      <c r="I1812">
        <v>2</v>
      </c>
      <c r="J1812">
        <v>0.4</v>
      </c>
      <c r="K1812">
        <v>0.40910000000000002</v>
      </c>
      <c r="L1812">
        <v>0.87</v>
      </c>
      <c r="M1812">
        <v>0.25369999999999998</v>
      </c>
      <c r="N1812">
        <v>11</v>
      </c>
      <c r="O1812">
        <v>25</v>
      </c>
      <c r="P1812">
        <v>36</v>
      </c>
      <c r="Q1812">
        <v>20</v>
      </c>
      <c r="R1812">
        <v>21</v>
      </c>
    </row>
    <row r="1813" spans="1:18" x14ac:dyDescent="0.25">
      <c r="A1813">
        <v>22</v>
      </c>
      <c r="B1813" s="1">
        <v>40544</v>
      </c>
      <c r="C1813">
        <v>1</v>
      </c>
      <c r="D1813">
        <v>0</v>
      </c>
      <c r="E1813">
        <v>1</v>
      </c>
      <c r="F1813">
        <v>21</v>
      </c>
      <c r="G1813" t="b">
        <v>0</v>
      </c>
      <c r="H1813">
        <v>6</v>
      </c>
      <c r="I1813">
        <v>2</v>
      </c>
      <c r="J1813">
        <v>0.4</v>
      </c>
      <c r="K1813">
        <v>0.40910000000000002</v>
      </c>
      <c r="L1813">
        <v>0.87</v>
      </c>
      <c r="M1813">
        <v>0.19400000000000001</v>
      </c>
      <c r="N1813">
        <v>3</v>
      </c>
      <c r="O1813">
        <v>31</v>
      </c>
      <c r="P1813">
        <v>34</v>
      </c>
      <c r="Q1813">
        <v>21</v>
      </c>
      <c r="R1813">
        <v>22</v>
      </c>
    </row>
    <row r="1814" spans="1:18" x14ac:dyDescent="0.25">
      <c r="A1814">
        <v>23</v>
      </c>
      <c r="B1814" s="1">
        <v>40544</v>
      </c>
      <c r="C1814">
        <v>1</v>
      </c>
      <c r="D1814">
        <v>0</v>
      </c>
      <c r="E1814">
        <v>1</v>
      </c>
      <c r="F1814">
        <v>22</v>
      </c>
      <c r="G1814" t="b">
        <v>0</v>
      </c>
      <c r="H1814">
        <v>6</v>
      </c>
      <c r="I1814">
        <v>2</v>
      </c>
      <c r="J1814">
        <v>0.4</v>
      </c>
      <c r="K1814">
        <v>0.40910000000000002</v>
      </c>
      <c r="L1814">
        <v>0.94</v>
      </c>
      <c r="M1814">
        <v>0.22389999999999999</v>
      </c>
      <c r="N1814">
        <v>11</v>
      </c>
      <c r="O1814">
        <v>17</v>
      </c>
      <c r="P1814">
        <v>28</v>
      </c>
      <c r="Q1814">
        <v>22</v>
      </c>
      <c r="R1814">
        <v>23</v>
      </c>
    </row>
    <row r="1815" spans="1:18" x14ac:dyDescent="0.25">
      <c r="A1815">
        <v>24</v>
      </c>
      <c r="B1815" s="1">
        <v>40544</v>
      </c>
      <c r="C1815">
        <v>1</v>
      </c>
      <c r="D1815">
        <v>0</v>
      </c>
      <c r="E1815">
        <v>1</v>
      </c>
      <c r="F1815">
        <v>23</v>
      </c>
      <c r="G1815" t="b">
        <v>0</v>
      </c>
      <c r="H1815">
        <v>6</v>
      </c>
      <c r="I1815">
        <v>2</v>
      </c>
      <c r="J1815">
        <v>0.46</v>
      </c>
      <c r="L1815">
        <v>0.88</v>
      </c>
      <c r="M1815">
        <v>0.29849999999999999</v>
      </c>
      <c r="N1815">
        <v>15</v>
      </c>
      <c r="O1815">
        <v>24</v>
      </c>
      <c r="P1815">
        <v>39</v>
      </c>
      <c r="Q1815">
        <v>23</v>
      </c>
      <c r="R1815">
        <v>24</v>
      </c>
    </row>
    <row r="1816" spans="1:18" x14ac:dyDescent="0.25">
      <c r="A1816">
        <v>25</v>
      </c>
      <c r="B1816" s="1">
        <v>40545</v>
      </c>
      <c r="C1816">
        <v>1</v>
      </c>
      <c r="D1816">
        <v>0</v>
      </c>
      <c r="E1816">
        <v>1</v>
      </c>
      <c r="F1816">
        <v>0</v>
      </c>
      <c r="G1816" t="b">
        <v>0</v>
      </c>
      <c r="H1816">
        <v>0</v>
      </c>
      <c r="I1816">
        <v>2</v>
      </c>
      <c r="J1816">
        <v>0.46</v>
      </c>
      <c r="K1816">
        <v>0.45450000000000002</v>
      </c>
      <c r="L1816">
        <v>0.88</v>
      </c>
      <c r="M1816">
        <v>0.29849999999999999</v>
      </c>
      <c r="N1816">
        <v>4</v>
      </c>
      <c r="O1816">
        <v>13</v>
      </c>
      <c r="P1816">
        <v>17</v>
      </c>
      <c r="Q1816">
        <v>24</v>
      </c>
      <c r="R1816">
        <v>25</v>
      </c>
    </row>
    <row r="1817" spans="1:18" x14ac:dyDescent="0.25">
      <c r="A1817">
        <v>26</v>
      </c>
      <c r="B1817" s="1">
        <v>40545</v>
      </c>
      <c r="C1817">
        <v>1</v>
      </c>
      <c r="D1817">
        <v>0</v>
      </c>
      <c r="E1817">
        <v>1</v>
      </c>
      <c r="F1817">
        <v>1</v>
      </c>
      <c r="G1817" t="b">
        <v>0</v>
      </c>
      <c r="H1817">
        <v>0</v>
      </c>
      <c r="I1817">
        <v>2</v>
      </c>
      <c r="J1817">
        <v>0.44</v>
      </c>
      <c r="K1817">
        <v>0.43940000000000001</v>
      </c>
      <c r="L1817">
        <v>0.94</v>
      </c>
      <c r="M1817">
        <v>0.25369999999999998</v>
      </c>
      <c r="N1817">
        <v>1</v>
      </c>
      <c r="O1817">
        <v>16</v>
      </c>
      <c r="P1817">
        <v>17</v>
      </c>
      <c r="Q1817">
        <v>25</v>
      </c>
      <c r="R1817">
        <v>26</v>
      </c>
    </row>
    <row r="1818" spans="1:18" x14ac:dyDescent="0.25">
      <c r="A1818">
        <v>27</v>
      </c>
      <c r="B1818" s="1">
        <v>40545</v>
      </c>
      <c r="C1818">
        <v>1</v>
      </c>
      <c r="D1818">
        <v>0</v>
      </c>
      <c r="E1818">
        <v>1</v>
      </c>
      <c r="F1818">
        <v>2</v>
      </c>
      <c r="G1818" t="b">
        <v>0</v>
      </c>
      <c r="H1818">
        <v>0</v>
      </c>
      <c r="I1818">
        <v>2</v>
      </c>
      <c r="J1818">
        <v>0.42</v>
      </c>
      <c r="K1818">
        <v>0.42420000000000002</v>
      </c>
      <c r="L1818">
        <v>1</v>
      </c>
      <c r="M1818">
        <v>0.28360000000000002</v>
      </c>
      <c r="N1818">
        <v>1</v>
      </c>
      <c r="O1818">
        <v>8</v>
      </c>
      <c r="P1818">
        <v>9</v>
      </c>
      <c r="Q1818">
        <v>26</v>
      </c>
      <c r="R1818">
        <v>27</v>
      </c>
    </row>
    <row r="1819" spans="1:18" x14ac:dyDescent="0.25">
      <c r="A1819">
        <v>28</v>
      </c>
      <c r="B1819" s="1">
        <v>40545</v>
      </c>
      <c r="C1819">
        <v>1</v>
      </c>
      <c r="D1819">
        <v>0</v>
      </c>
      <c r="E1819">
        <v>1</v>
      </c>
      <c r="F1819">
        <v>3</v>
      </c>
      <c r="G1819" t="b">
        <v>0</v>
      </c>
      <c r="H1819">
        <v>0</v>
      </c>
      <c r="I1819">
        <v>2</v>
      </c>
      <c r="J1819">
        <v>0.46</v>
      </c>
      <c r="K1819">
        <v>0.45450000000000002</v>
      </c>
      <c r="L1819">
        <v>0.94</v>
      </c>
      <c r="M1819">
        <v>0.19400000000000001</v>
      </c>
      <c r="N1819">
        <v>2</v>
      </c>
      <c r="O1819">
        <v>4</v>
      </c>
      <c r="P1819">
        <v>6</v>
      </c>
      <c r="Q1819">
        <v>27</v>
      </c>
      <c r="R1819">
        <v>28</v>
      </c>
    </row>
    <row r="1820" spans="1:18" x14ac:dyDescent="0.25">
      <c r="A1820">
        <v>29</v>
      </c>
      <c r="B1820" s="1">
        <v>40545</v>
      </c>
      <c r="C1820">
        <v>1</v>
      </c>
      <c r="D1820">
        <v>0</v>
      </c>
      <c r="E1820">
        <v>1</v>
      </c>
      <c r="F1820">
        <v>4</v>
      </c>
      <c r="G1820" t="b">
        <v>0</v>
      </c>
      <c r="H1820">
        <v>0</v>
      </c>
      <c r="I1820">
        <v>2</v>
      </c>
      <c r="J1820">
        <v>0.46</v>
      </c>
      <c r="L1820">
        <v>0.94</v>
      </c>
      <c r="M1820">
        <v>0.19400000000000001</v>
      </c>
      <c r="N1820">
        <v>2</v>
      </c>
      <c r="O1820">
        <v>1</v>
      </c>
      <c r="P1820">
        <v>3</v>
      </c>
      <c r="Q1820">
        <v>28</v>
      </c>
      <c r="R1820">
        <v>29</v>
      </c>
    </row>
    <row r="1821" spans="1:18" x14ac:dyDescent="0.25">
      <c r="A1821">
        <v>30</v>
      </c>
      <c r="B1821" s="1">
        <v>40545</v>
      </c>
      <c r="C1821">
        <v>1</v>
      </c>
      <c r="D1821">
        <v>0</v>
      </c>
      <c r="E1821">
        <v>1</v>
      </c>
      <c r="F1821">
        <v>6</v>
      </c>
      <c r="G1821" t="b">
        <v>0</v>
      </c>
      <c r="H1821">
        <v>0</v>
      </c>
      <c r="I1821">
        <v>3</v>
      </c>
      <c r="J1821">
        <v>0.42</v>
      </c>
      <c r="K1821">
        <v>0.42420000000000002</v>
      </c>
      <c r="L1821">
        <v>0.77</v>
      </c>
      <c r="M1821">
        <v>0.29849999999999999</v>
      </c>
      <c r="N1821">
        <v>0</v>
      </c>
      <c r="O1821">
        <v>2</v>
      </c>
      <c r="P1821">
        <v>2</v>
      </c>
      <c r="Q1821">
        <v>29</v>
      </c>
      <c r="R1821">
        <v>30</v>
      </c>
    </row>
    <row r="1822" spans="1:18" x14ac:dyDescent="0.25">
      <c r="A1822">
        <v>31</v>
      </c>
      <c r="B1822" s="1">
        <v>40545</v>
      </c>
      <c r="C1822">
        <v>1</v>
      </c>
      <c r="D1822">
        <v>0</v>
      </c>
      <c r="E1822">
        <v>1</v>
      </c>
      <c r="F1822">
        <v>7</v>
      </c>
      <c r="G1822" t="b">
        <v>0</v>
      </c>
      <c r="H1822">
        <v>0</v>
      </c>
      <c r="I1822">
        <v>2</v>
      </c>
      <c r="J1822">
        <v>0.4</v>
      </c>
      <c r="K1822">
        <v>0.40910000000000002</v>
      </c>
      <c r="L1822">
        <v>0.76</v>
      </c>
      <c r="M1822">
        <v>0.19400000000000001</v>
      </c>
      <c r="N1822">
        <v>0</v>
      </c>
      <c r="O1822">
        <v>1</v>
      </c>
      <c r="P1822">
        <v>1</v>
      </c>
      <c r="Q1822">
        <v>30</v>
      </c>
      <c r="R1822">
        <v>31</v>
      </c>
    </row>
    <row r="1823" spans="1:18" x14ac:dyDescent="0.25">
      <c r="A1823">
        <v>32</v>
      </c>
      <c r="B1823" s="1">
        <v>40545</v>
      </c>
      <c r="C1823">
        <v>1</v>
      </c>
      <c r="D1823">
        <v>0</v>
      </c>
      <c r="E1823">
        <v>1</v>
      </c>
      <c r="F1823">
        <v>8</v>
      </c>
      <c r="G1823" t="b">
        <v>0</v>
      </c>
      <c r="H1823">
        <v>0</v>
      </c>
      <c r="I1823">
        <v>3</v>
      </c>
      <c r="J1823">
        <v>0.4</v>
      </c>
      <c r="K1823">
        <v>0.40910000000000002</v>
      </c>
      <c r="L1823">
        <v>0.71</v>
      </c>
      <c r="M1823">
        <v>0.22389999999999999</v>
      </c>
      <c r="N1823">
        <v>0</v>
      </c>
      <c r="O1823">
        <v>8</v>
      </c>
      <c r="P1823">
        <v>8</v>
      </c>
      <c r="Q1823">
        <v>31</v>
      </c>
      <c r="R1823">
        <v>32</v>
      </c>
    </row>
    <row r="1824" spans="1:18" x14ac:dyDescent="0.25">
      <c r="A1824">
        <v>33</v>
      </c>
      <c r="B1824" s="1">
        <v>40545</v>
      </c>
      <c r="C1824">
        <v>1</v>
      </c>
      <c r="D1824">
        <v>0</v>
      </c>
      <c r="E1824">
        <v>1</v>
      </c>
      <c r="F1824">
        <v>9</v>
      </c>
      <c r="G1824" t="b">
        <v>0</v>
      </c>
      <c r="H1824">
        <v>0</v>
      </c>
      <c r="I1824">
        <v>2</v>
      </c>
      <c r="J1824">
        <v>0.38</v>
      </c>
      <c r="L1824">
        <v>0.76</v>
      </c>
      <c r="M1824">
        <v>0.22389999999999999</v>
      </c>
      <c r="N1824">
        <v>1</v>
      </c>
      <c r="O1824">
        <v>19</v>
      </c>
      <c r="P1824">
        <v>20</v>
      </c>
      <c r="Q1824">
        <v>32</v>
      </c>
      <c r="R1824">
        <v>33</v>
      </c>
    </row>
    <row r="1825" spans="1:18" x14ac:dyDescent="0.25">
      <c r="A1825">
        <v>34</v>
      </c>
      <c r="B1825" s="1">
        <v>40545</v>
      </c>
      <c r="C1825">
        <v>1</v>
      </c>
      <c r="D1825">
        <v>0</v>
      </c>
      <c r="E1825">
        <v>1</v>
      </c>
      <c r="F1825">
        <v>10</v>
      </c>
      <c r="G1825" t="b">
        <v>0</v>
      </c>
      <c r="H1825">
        <v>0</v>
      </c>
      <c r="I1825">
        <v>2</v>
      </c>
      <c r="J1825">
        <v>0.36</v>
      </c>
      <c r="K1825">
        <v>0.34849999999999998</v>
      </c>
      <c r="L1825">
        <v>0.81</v>
      </c>
      <c r="M1825">
        <v>0.22389999999999999</v>
      </c>
      <c r="N1825">
        <v>7</v>
      </c>
      <c r="O1825">
        <v>46</v>
      </c>
      <c r="P1825">
        <v>53</v>
      </c>
      <c r="Q1825">
        <v>33</v>
      </c>
      <c r="R1825">
        <v>34</v>
      </c>
    </row>
    <row r="1826" spans="1:18" x14ac:dyDescent="0.25">
      <c r="A1826">
        <v>35</v>
      </c>
      <c r="B1826" s="1">
        <v>40545</v>
      </c>
      <c r="C1826">
        <v>1</v>
      </c>
      <c r="D1826">
        <v>0</v>
      </c>
      <c r="E1826">
        <v>1</v>
      </c>
      <c r="F1826">
        <v>11</v>
      </c>
      <c r="G1826" t="b">
        <v>0</v>
      </c>
      <c r="H1826">
        <v>0</v>
      </c>
      <c r="I1826">
        <v>2</v>
      </c>
      <c r="J1826">
        <v>0.36</v>
      </c>
      <c r="K1826">
        <v>0.33329999999999999</v>
      </c>
      <c r="L1826">
        <v>0.71</v>
      </c>
      <c r="M1826">
        <v>0.25369999999999998</v>
      </c>
      <c r="N1826">
        <v>16</v>
      </c>
      <c r="O1826">
        <v>54</v>
      </c>
      <c r="P1826">
        <v>70</v>
      </c>
      <c r="Q1826">
        <v>34</v>
      </c>
      <c r="R1826">
        <v>35</v>
      </c>
    </row>
    <row r="1827" spans="1:18" x14ac:dyDescent="0.25">
      <c r="A1827">
        <v>36</v>
      </c>
      <c r="B1827" s="1">
        <v>40545</v>
      </c>
      <c r="C1827">
        <v>1</v>
      </c>
      <c r="D1827">
        <v>0</v>
      </c>
      <c r="E1827">
        <v>1</v>
      </c>
      <c r="F1827">
        <v>12</v>
      </c>
      <c r="G1827" t="b">
        <v>0</v>
      </c>
      <c r="H1827">
        <v>0</v>
      </c>
      <c r="I1827">
        <v>2</v>
      </c>
      <c r="J1827">
        <v>0.36</v>
      </c>
      <c r="K1827">
        <v>0.33329999999999999</v>
      </c>
      <c r="L1827">
        <v>0.66</v>
      </c>
      <c r="M1827">
        <v>0.29849999999999999</v>
      </c>
      <c r="N1827">
        <v>20</v>
      </c>
      <c r="O1827">
        <v>73</v>
      </c>
      <c r="P1827">
        <v>93</v>
      </c>
      <c r="Q1827">
        <v>35</v>
      </c>
      <c r="R1827">
        <v>36</v>
      </c>
    </row>
    <row r="1828" spans="1:18" x14ac:dyDescent="0.25">
      <c r="A1828">
        <v>37</v>
      </c>
      <c r="B1828" s="1">
        <v>40545</v>
      </c>
      <c r="C1828">
        <v>1</v>
      </c>
      <c r="D1828">
        <v>0</v>
      </c>
      <c r="E1828">
        <v>1</v>
      </c>
      <c r="F1828">
        <v>13</v>
      </c>
      <c r="G1828" t="b">
        <v>0</v>
      </c>
      <c r="H1828">
        <v>0</v>
      </c>
      <c r="I1828">
        <v>2</v>
      </c>
      <c r="J1828">
        <v>0.36</v>
      </c>
      <c r="K1828">
        <v>0.34849999999999998</v>
      </c>
      <c r="L1828">
        <v>0.66</v>
      </c>
      <c r="M1828">
        <v>0.1343</v>
      </c>
      <c r="N1828">
        <v>11</v>
      </c>
      <c r="O1828">
        <v>64</v>
      </c>
      <c r="P1828">
        <v>75</v>
      </c>
      <c r="Q1828">
        <v>36</v>
      </c>
      <c r="R1828">
        <v>37</v>
      </c>
    </row>
    <row r="1829" spans="1:18" x14ac:dyDescent="0.25">
      <c r="A1829">
        <v>38</v>
      </c>
      <c r="B1829" s="1">
        <v>40545</v>
      </c>
      <c r="C1829">
        <v>1</v>
      </c>
      <c r="D1829">
        <v>0</v>
      </c>
      <c r="E1829">
        <v>1</v>
      </c>
      <c r="F1829">
        <v>14</v>
      </c>
      <c r="G1829" t="b">
        <v>0</v>
      </c>
      <c r="H1829">
        <v>0</v>
      </c>
      <c r="I1829">
        <v>3</v>
      </c>
      <c r="J1829">
        <v>0.36</v>
      </c>
      <c r="L1829">
        <v>0.76</v>
      </c>
      <c r="M1829">
        <v>0.19400000000000001</v>
      </c>
      <c r="N1829">
        <v>4</v>
      </c>
      <c r="O1829">
        <v>55</v>
      </c>
      <c r="P1829">
        <v>59</v>
      </c>
      <c r="Q1829">
        <v>37</v>
      </c>
      <c r="R1829">
        <v>38</v>
      </c>
    </row>
    <row r="1830" spans="1:18" x14ac:dyDescent="0.25">
      <c r="A1830">
        <v>39</v>
      </c>
      <c r="B1830" s="1">
        <v>40545</v>
      </c>
      <c r="C1830">
        <v>1</v>
      </c>
      <c r="D1830">
        <v>0</v>
      </c>
      <c r="E1830">
        <v>1</v>
      </c>
      <c r="F1830">
        <v>15</v>
      </c>
      <c r="G1830" t="b">
        <v>0</v>
      </c>
      <c r="H1830">
        <v>0</v>
      </c>
      <c r="I1830">
        <v>3</v>
      </c>
      <c r="J1830">
        <v>0.34</v>
      </c>
      <c r="K1830">
        <v>0.33329999999999999</v>
      </c>
      <c r="L1830">
        <v>0.81</v>
      </c>
      <c r="M1830">
        <v>0.16420000000000001</v>
      </c>
      <c r="N1830">
        <v>19</v>
      </c>
      <c r="O1830">
        <v>55</v>
      </c>
      <c r="P1830">
        <v>74</v>
      </c>
      <c r="Q1830">
        <v>38</v>
      </c>
      <c r="R1830">
        <v>39</v>
      </c>
    </row>
    <row r="1831" spans="1:18" x14ac:dyDescent="0.25">
      <c r="A1831">
        <v>40</v>
      </c>
      <c r="B1831" s="1">
        <v>40545</v>
      </c>
      <c r="C1831">
        <v>1</v>
      </c>
      <c r="D1831">
        <v>0</v>
      </c>
      <c r="E1831">
        <v>1</v>
      </c>
      <c r="F1831">
        <v>16</v>
      </c>
      <c r="G1831" t="b">
        <v>0</v>
      </c>
      <c r="H1831">
        <v>0</v>
      </c>
      <c r="I1831">
        <v>3</v>
      </c>
      <c r="J1831">
        <v>0.34</v>
      </c>
      <c r="K1831">
        <v>0.33329999999999999</v>
      </c>
      <c r="L1831">
        <v>0.71</v>
      </c>
      <c r="M1831">
        <v>0.16420000000000001</v>
      </c>
      <c r="N1831">
        <v>9</v>
      </c>
      <c r="O1831">
        <v>67</v>
      </c>
      <c r="P1831">
        <v>76</v>
      </c>
      <c r="Q1831">
        <v>39</v>
      </c>
      <c r="R1831">
        <v>40</v>
      </c>
    </row>
    <row r="1832" spans="1:18" x14ac:dyDescent="0.25">
      <c r="A1832">
        <v>41</v>
      </c>
      <c r="B1832" s="1">
        <v>40545</v>
      </c>
      <c r="C1832">
        <v>1</v>
      </c>
      <c r="D1832">
        <v>0</v>
      </c>
      <c r="E1832">
        <v>1</v>
      </c>
      <c r="F1832">
        <v>17</v>
      </c>
      <c r="G1832" t="b">
        <v>0</v>
      </c>
      <c r="H1832">
        <v>0</v>
      </c>
      <c r="I1832">
        <v>1</v>
      </c>
      <c r="J1832">
        <v>0.34</v>
      </c>
      <c r="K1832">
        <v>0.33329999999999999</v>
      </c>
      <c r="L1832">
        <v>0.56999999999999995</v>
      </c>
      <c r="M1832">
        <v>0.19400000000000001</v>
      </c>
      <c r="N1832">
        <v>7</v>
      </c>
      <c r="O1832">
        <v>58</v>
      </c>
      <c r="P1832">
        <v>65</v>
      </c>
      <c r="Q1832">
        <v>40</v>
      </c>
      <c r="R1832">
        <v>41</v>
      </c>
    </row>
    <row r="1833" spans="1:18" x14ac:dyDescent="0.25">
      <c r="A1833">
        <v>42</v>
      </c>
      <c r="B1833" s="1">
        <v>40545</v>
      </c>
      <c r="C1833">
        <v>1</v>
      </c>
      <c r="D1833">
        <v>0</v>
      </c>
      <c r="E1833">
        <v>1</v>
      </c>
      <c r="F1833">
        <v>18</v>
      </c>
      <c r="G1833" t="b">
        <v>0</v>
      </c>
      <c r="H1833">
        <v>0</v>
      </c>
      <c r="I1833">
        <v>2</v>
      </c>
      <c r="J1833">
        <v>0.36</v>
      </c>
      <c r="K1833">
        <v>0.33329999999999999</v>
      </c>
      <c r="L1833">
        <v>0.46</v>
      </c>
      <c r="M1833">
        <v>0.32840000000000003</v>
      </c>
      <c r="N1833">
        <v>10</v>
      </c>
      <c r="O1833">
        <v>43</v>
      </c>
      <c r="P1833">
        <v>53</v>
      </c>
      <c r="Q1833">
        <v>41</v>
      </c>
      <c r="R1833">
        <v>42</v>
      </c>
    </row>
    <row r="1834" spans="1:18" x14ac:dyDescent="0.25">
      <c r="A1834">
        <v>43</v>
      </c>
      <c r="B1834" s="1">
        <v>40545</v>
      </c>
      <c r="C1834">
        <v>1</v>
      </c>
      <c r="D1834">
        <v>0</v>
      </c>
      <c r="E1834">
        <v>1</v>
      </c>
      <c r="F1834">
        <v>19</v>
      </c>
      <c r="G1834" t="b">
        <v>0</v>
      </c>
      <c r="H1834">
        <v>0</v>
      </c>
      <c r="I1834">
        <v>1</v>
      </c>
      <c r="J1834">
        <v>0.32</v>
      </c>
      <c r="K1834">
        <v>0.28789999999999999</v>
      </c>
      <c r="L1834">
        <v>0.42</v>
      </c>
      <c r="M1834">
        <v>0.44779999999999998</v>
      </c>
      <c r="N1834">
        <v>1</v>
      </c>
      <c r="O1834">
        <v>29</v>
      </c>
      <c r="P1834">
        <v>30</v>
      </c>
      <c r="Q1834">
        <v>42</v>
      </c>
      <c r="R1834">
        <v>43</v>
      </c>
    </row>
    <row r="1835" spans="1:18" x14ac:dyDescent="0.25">
      <c r="A1835">
        <v>44</v>
      </c>
      <c r="B1835" s="1">
        <v>40545</v>
      </c>
      <c r="C1835">
        <v>1</v>
      </c>
      <c r="D1835">
        <v>0</v>
      </c>
      <c r="E1835">
        <v>1</v>
      </c>
      <c r="F1835">
        <v>20</v>
      </c>
      <c r="G1835" t="b">
        <v>0</v>
      </c>
      <c r="H1835">
        <v>0</v>
      </c>
      <c r="I1835">
        <v>1</v>
      </c>
      <c r="J1835">
        <v>0.3</v>
      </c>
      <c r="L1835">
        <v>0.39</v>
      </c>
      <c r="M1835">
        <v>0.35820000000000002</v>
      </c>
      <c r="N1835">
        <v>5</v>
      </c>
      <c r="O1835">
        <v>17</v>
      </c>
      <c r="P1835">
        <v>22</v>
      </c>
      <c r="Q1835">
        <v>43</v>
      </c>
      <c r="R1835">
        <v>44</v>
      </c>
    </row>
    <row r="1836" spans="1:18" x14ac:dyDescent="0.25">
      <c r="A1836">
        <v>45</v>
      </c>
      <c r="B1836" s="1">
        <v>40545</v>
      </c>
      <c r="C1836">
        <v>1</v>
      </c>
      <c r="D1836">
        <v>0</v>
      </c>
      <c r="E1836">
        <v>1</v>
      </c>
      <c r="F1836">
        <v>21</v>
      </c>
      <c r="G1836" t="b">
        <v>0</v>
      </c>
      <c r="H1836">
        <v>0</v>
      </c>
      <c r="I1836">
        <v>1</v>
      </c>
      <c r="J1836">
        <v>0.26</v>
      </c>
      <c r="K1836">
        <v>0.2273</v>
      </c>
      <c r="L1836">
        <v>0.44</v>
      </c>
      <c r="M1836">
        <v>0.32840000000000003</v>
      </c>
      <c r="N1836">
        <v>11</v>
      </c>
      <c r="O1836">
        <v>20</v>
      </c>
      <c r="P1836">
        <v>31</v>
      </c>
      <c r="Q1836">
        <v>44</v>
      </c>
      <c r="R1836">
        <v>45</v>
      </c>
    </row>
    <row r="1837" spans="1:18" x14ac:dyDescent="0.25">
      <c r="A1837">
        <v>46</v>
      </c>
      <c r="B1837" s="1">
        <v>40545</v>
      </c>
      <c r="C1837">
        <v>1</v>
      </c>
      <c r="D1837">
        <v>0</v>
      </c>
      <c r="E1837">
        <v>1</v>
      </c>
      <c r="F1837">
        <v>22</v>
      </c>
      <c r="G1837" t="b">
        <v>0</v>
      </c>
      <c r="H1837">
        <v>0</v>
      </c>
      <c r="I1837">
        <v>1</v>
      </c>
      <c r="J1837">
        <v>0.24</v>
      </c>
      <c r="K1837">
        <v>0.21210000000000001</v>
      </c>
      <c r="L1837">
        <v>0.44</v>
      </c>
      <c r="M1837">
        <v>0.29849999999999999</v>
      </c>
      <c r="N1837">
        <v>0</v>
      </c>
      <c r="O1837">
        <v>9</v>
      </c>
      <c r="P1837">
        <v>9</v>
      </c>
      <c r="Q1837">
        <v>45</v>
      </c>
      <c r="R1837">
        <v>46</v>
      </c>
    </row>
    <row r="1838" spans="1:18" x14ac:dyDescent="0.25">
      <c r="A1838">
        <v>47</v>
      </c>
      <c r="B1838" s="1">
        <v>40545</v>
      </c>
      <c r="C1838">
        <v>1</v>
      </c>
      <c r="D1838">
        <v>0</v>
      </c>
      <c r="E1838">
        <v>1</v>
      </c>
      <c r="F1838">
        <v>23</v>
      </c>
      <c r="G1838" t="b">
        <v>0</v>
      </c>
      <c r="H1838">
        <v>0</v>
      </c>
      <c r="I1838">
        <v>1</v>
      </c>
      <c r="J1838">
        <v>0.22</v>
      </c>
      <c r="K1838">
        <v>0.2273</v>
      </c>
      <c r="L1838">
        <v>0.47</v>
      </c>
      <c r="M1838">
        <v>0.16420000000000001</v>
      </c>
      <c r="N1838">
        <v>0</v>
      </c>
      <c r="O1838">
        <v>8</v>
      </c>
      <c r="P1838">
        <v>8</v>
      </c>
      <c r="Q1838">
        <v>46</v>
      </c>
      <c r="R1838">
        <v>47</v>
      </c>
    </row>
    <row r="1839" spans="1:18" x14ac:dyDescent="0.25">
      <c r="A1839">
        <v>48</v>
      </c>
      <c r="B1839" s="1">
        <v>40546</v>
      </c>
      <c r="C1839">
        <v>1</v>
      </c>
      <c r="D1839">
        <v>0</v>
      </c>
      <c r="E1839">
        <v>1</v>
      </c>
      <c r="F1839">
        <v>0</v>
      </c>
      <c r="G1839" t="b">
        <v>0</v>
      </c>
      <c r="H1839">
        <v>1</v>
      </c>
      <c r="I1839">
        <v>1</v>
      </c>
      <c r="J1839">
        <v>0.22</v>
      </c>
      <c r="K1839">
        <v>0.19700000000000001</v>
      </c>
      <c r="L1839">
        <v>0.44</v>
      </c>
      <c r="M1839">
        <v>0.35820000000000002</v>
      </c>
      <c r="N1839">
        <v>0</v>
      </c>
      <c r="O1839">
        <v>5</v>
      </c>
      <c r="P1839">
        <v>5</v>
      </c>
      <c r="Q1839">
        <v>47</v>
      </c>
      <c r="R1839">
        <v>48</v>
      </c>
    </row>
    <row r="1840" spans="1:18" x14ac:dyDescent="0.25">
      <c r="A1840">
        <v>49</v>
      </c>
      <c r="B1840" s="1">
        <v>40546</v>
      </c>
      <c r="C1840">
        <v>1</v>
      </c>
      <c r="D1840">
        <v>0</v>
      </c>
      <c r="E1840">
        <v>1</v>
      </c>
      <c r="F1840">
        <v>1</v>
      </c>
      <c r="G1840" t="b">
        <v>0</v>
      </c>
      <c r="H1840">
        <v>1</v>
      </c>
      <c r="I1840">
        <v>1</v>
      </c>
      <c r="J1840">
        <v>0.2</v>
      </c>
      <c r="L1840">
        <v>0.44</v>
      </c>
      <c r="M1840">
        <v>0.41789999999999999</v>
      </c>
      <c r="N1840">
        <v>0</v>
      </c>
      <c r="O1840">
        <v>2</v>
      </c>
      <c r="P1840">
        <v>2</v>
      </c>
      <c r="Q1840">
        <v>48</v>
      </c>
      <c r="R1840">
        <v>49</v>
      </c>
    </row>
    <row r="1841" spans="1:18" x14ac:dyDescent="0.25">
      <c r="A1841">
        <v>50</v>
      </c>
      <c r="B1841" s="1">
        <v>40546</v>
      </c>
      <c r="C1841">
        <v>1</v>
      </c>
      <c r="D1841">
        <v>0</v>
      </c>
      <c r="E1841">
        <v>1</v>
      </c>
      <c r="F1841">
        <v>4</v>
      </c>
      <c r="G1841" t="b">
        <v>0</v>
      </c>
      <c r="H1841">
        <v>1</v>
      </c>
      <c r="I1841">
        <v>1</v>
      </c>
      <c r="J1841">
        <v>0.16</v>
      </c>
      <c r="K1841">
        <v>0.13639999999999999</v>
      </c>
      <c r="L1841">
        <v>0.47</v>
      </c>
      <c r="M1841">
        <v>0.3881</v>
      </c>
      <c r="N1841">
        <v>0</v>
      </c>
      <c r="O1841">
        <v>1</v>
      </c>
      <c r="P1841">
        <v>1</v>
      </c>
      <c r="Q1841">
        <v>49</v>
      </c>
      <c r="R1841">
        <v>50</v>
      </c>
    </row>
    <row r="1842" spans="1:18" x14ac:dyDescent="0.25">
      <c r="A1842">
        <v>51</v>
      </c>
      <c r="B1842" s="1">
        <v>40546</v>
      </c>
      <c r="C1842">
        <v>1</v>
      </c>
      <c r="D1842">
        <v>0</v>
      </c>
      <c r="E1842">
        <v>1</v>
      </c>
      <c r="F1842">
        <v>5</v>
      </c>
      <c r="G1842" t="b">
        <v>0</v>
      </c>
      <c r="H1842">
        <v>1</v>
      </c>
      <c r="I1842">
        <v>1</v>
      </c>
      <c r="J1842">
        <v>0.16</v>
      </c>
      <c r="K1842">
        <v>0.13639999999999999</v>
      </c>
      <c r="L1842">
        <v>0.47</v>
      </c>
      <c r="M1842">
        <v>0.28360000000000002</v>
      </c>
      <c r="N1842">
        <v>0</v>
      </c>
      <c r="O1842">
        <v>3</v>
      </c>
      <c r="P1842">
        <v>3</v>
      </c>
      <c r="Q1842">
        <v>50</v>
      </c>
      <c r="R1842">
        <v>51</v>
      </c>
    </row>
    <row r="1843" spans="1:18" x14ac:dyDescent="0.25">
      <c r="A1843">
        <v>52</v>
      </c>
      <c r="B1843" s="1">
        <v>40546</v>
      </c>
      <c r="C1843">
        <v>1</v>
      </c>
      <c r="D1843">
        <v>0</v>
      </c>
      <c r="E1843">
        <v>1</v>
      </c>
      <c r="F1843">
        <v>6</v>
      </c>
      <c r="G1843" t="b">
        <v>0</v>
      </c>
      <c r="H1843">
        <v>1</v>
      </c>
      <c r="I1843">
        <v>1</v>
      </c>
      <c r="J1843">
        <v>0.14000000000000001</v>
      </c>
      <c r="K1843">
        <v>0.1061</v>
      </c>
      <c r="L1843">
        <v>0.5</v>
      </c>
      <c r="M1843">
        <v>0.3881</v>
      </c>
      <c r="N1843">
        <v>0</v>
      </c>
      <c r="O1843">
        <v>30</v>
      </c>
      <c r="P1843">
        <v>30</v>
      </c>
      <c r="Q1843">
        <v>51</v>
      </c>
      <c r="R1843">
        <v>52</v>
      </c>
    </row>
    <row r="1844" spans="1:18" x14ac:dyDescent="0.25">
      <c r="A1844">
        <v>53</v>
      </c>
      <c r="B1844" s="1">
        <v>40546</v>
      </c>
      <c r="C1844">
        <v>1</v>
      </c>
      <c r="D1844">
        <v>0</v>
      </c>
      <c r="E1844">
        <v>1</v>
      </c>
      <c r="F1844">
        <v>7</v>
      </c>
      <c r="G1844" t="b">
        <v>0</v>
      </c>
      <c r="H1844">
        <v>1</v>
      </c>
      <c r="I1844">
        <v>1</v>
      </c>
      <c r="J1844">
        <v>0.14000000000000001</v>
      </c>
      <c r="K1844">
        <v>0.13639999999999999</v>
      </c>
      <c r="L1844">
        <v>0.5</v>
      </c>
      <c r="M1844">
        <v>0.19400000000000001</v>
      </c>
      <c r="N1844">
        <v>1</v>
      </c>
      <c r="O1844">
        <v>63</v>
      </c>
      <c r="P1844">
        <v>64</v>
      </c>
      <c r="Q1844">
        <v>52</v>
      </c>
      <c r="R1844">
        <v>53</v>
      </c>
    </row>
    <row r="1845" spans="1:18" x14ac:dyDescent="0.25">
      <c r="A1845">
        <v>54</v>
      </c>
      <c r="B1845" s="1">
        <v>40546</v>
      </c>
      <c r="C1845">
        <v>1</v>
      </c>
      <c r="D1845">
        <v>0</v>
      </c>
      <c r="E1845">
        <v>1</v>
      </c>
      <c r="F1845">
        <v>8</v>
      </c>
      <c r="G1845" t="b">
        <v>0</v>
      </c>
      <c r="H1845">
        <v>1</v>
      </c>
      <c r="I1845">
        <v>1</v>
      </c>
      <c r="J1845">
        <v>0.14000000000000001</v>
      </c>
      <c r="K1845">
        <v>0.1212</v>
      </c>
      <c r="L1845">
        <v>0.5</v>
      </c>
      <c r="M1845">
        <v>0.28360000000000002</v>
      </c>
      <c r="N1845">
        <v>1</v>
      </c>
      <c r="O1845">
        <v>153</v>
      </c>
      <c r="P1845">
        <v>154</v>
      </c>
      <c r="Q1845">
        <v>53</v>
      </c>
      <c r="R1845">
        <v>54</v>
      </c>
    </row>
    <row r="1846" spans="1:18" x14ac:dyDescent="0.25">
      <c r="A1846">
        <v>55</v>
      </c>
      <c r="B1846" s="1">
        <v>40546</v>
      </c>
      <c r="C1846">
        <v>1</v>
      </c>
      <c r="D1846">
        <v>0</v>
      </c>
      <c r="E1846">
        <v>1</v>
      </c>
      <c r="F1846">
        <v>9</v>
      </c>
      <c r="G1846" t="b">
        <v>0</v>
      </c>
      <c r="H1846">
        <v>1</v>
      </c>
      <c r="I1846">
        <v>1</v>
      </c>
      <c r="J1846">
        <v>0.16</v>
      </c>
      <c r="K1846">
        <v>0.13639999999999999</v>
      </c>
      <c r="L1846">
        <v>0.43</v>
      </c>
      <c r="M1846">
        <v>0.3881</v>
      </c>
      <c r="N1846">
        <v>7</v>
      </c>
      <c r="O1846">
        <v>81</v>
      </c>
      <c r="P1846">
        <v>88</v>
      </c>
      <c r="Q1846">
        <v>54</v>
      </c>
      <c r="R1846">
        <v>55</v>
      </c>
    </row>
    <row r="1847" spans="1:18" x14ac:dyDescent="0.25">
      <c r="A1847">
        <v>56</v>
      </c>
      <c r="B1847" s="1">
        <v>40546</v>
      </c>
      <c r="C1847">
        <v>1</v>
      </c>
      <c r="D1847">
        <v>0</v>
      </c>
      <c r="E1847">
        <v>1</v>
      </c>
      <c r="F1847">
        <v>10</v>
      </c>
      <c r="G1847" t="b">
        <v>0</v>
      </c>
      <c r="H1847">
        <v>1</v>
      </c>
      <c r="I1847">
        <v>1</v>
      </c>
      <c r="J1847">
        <v>0.18</v>
      </c>
      <c r="K1847">
        <v>0.16669999999999999</v>
      </c>
      <c r="L1847">
        <v>0.43</v>
      </c>
      <c r="M1847">
        <v>0.25369999999999998</v>
      </c>
      <c r="N1847">
        <v>11</v>
      </c>
      <c r="O1847">
        <v>33</v>
      </c>
      <c r="P1847">
        <v>44</v>
      </c>
      <c r="Q1847">
        <v>55</v>
      </c>
      <c r="R1847">
        <v>56</v>
      </c>
    </row>
    <row r="1848" spans="1:18" x14ac:dyDescent="0.25">
      <c r="A1848">
        <v>57</v>
      </c>
      <c r="B1848" s="1">
        <v>40546</v>
      </c>
      <c r="C1848">
        <v>1</v>
      </c>
      <c r="D1848">
        <v>0</v>
      </c>
      <c r="E1848">
        <v>1</v>
      </c>
      <c r="F1848">
        <v>11</v>
      </c>
      <c r="G1848" t="b">
        <v>0</v>
      </c>
      <c r="H1848">
        <v>1</v>
      </c>
      <c r="I1848">
        <v>1</v>
      </c>
      <c r="J1848">
        <v>0.2</v>
      </c>
      <c r="K1848">
        <v>0.18179999999999999</v>
      </c>
      <c r="L1848">
        <v>0.4</v>
      </c>
      <c r="M1848">
        <v>0.32840000000000003</v>
      </c>
      <c r="N1848">
        <v>10</v>
      </c>
      <c r="O1848">
        <v>41</v>
      </c>
      <c r="P1848">
        <v>51</v>
      </c>
      <c r="Q1848">
        <v>56</v>
      </c>
      <c r="R1848">
        <v>57</v>
      </c>
    </row>
    <row r="1849" spans="1:18" x14ac:dyDescent="0.25">
      <c r="A1849">
        <v>58</v>
      </c>
      <c r="B1849" s="1">
        <v>40546</v>
      </c>
      <c r="C1849">
        <v>1</v>
      </c>
      <c r="D1849">
        <v>0</v>
      </c>
      <c r="E1849">
        <v>1</v>
      </c>
      <c r="F1849">
        <v>12</v>
      </c>
      <c r="G1849" t="b">
        <v>0</v>
      </c>
      <c r="H1849">
        <v>1</v>
      </c>
      <c r="I1849">
        <v>1</v>
      </c>
      <c r="J1849">
        <v>0.22</v>
      </c>
      <c r="K1849">
        <v>0.21210000000000001</v>
      </c>
      <c r="L1849">
        <v>0.35</v>
      </c>
      <c r="M1849">
        <v>0.29849999999999999</v>
      </c>
      <c r="N1849">
        <v>13</v>
      </c>
      <c r="O1849">
        <v>48</v>
      </c>
      <c r="P1849">
        <v>61</v>
      </c>
      <c r="Q1849">
        <v>57</v>
      </c>
      <c r="R1849">
        <v>58</v>
      </c>
    </row>
    <row r="1850" spans="1:18" x14ac:dyDescent="0.25">
      <c r="A1850">
        <v>59</v>
      </c>
      <c r="B1850" s="1">
        <v>40546</v>
      </c>
      <c r="C1850">
        <v>1</v>
      </c>
      <c r="D1850">
        <v>0</v>
      </c>
      <c r="E1850">
        <v>1</v>
      </c>
      <c r="F1850">
        <v>13</v>
      </c>
      <c r="G1850" t="b">
        <v>0</v>
      </c>
      <c r="H1850">
        <v>1</v>
      </c>
      <c r="I1850">
        <v>1</v>
      </c>
      <c r="J1850">
        <v>0.24</v>
      </c>
      <c r="L1850">
        <v>0.35</v>
      </c>
      <c r="M1850">
        <v>0.28360000000000002</v>
      </c>
      <c r="N1850">
        <v>8</v>
      </c>
      <c r="O1850">
        <v>53</v>
      </c>
      <c r="P1850">
        <v>61</v>
      </c>
      <c r="Q1850">
        <v>58</v>
      </c>
      <c r="R1850">
        <v>59</v>
      </c>
    </row>
    <row r="1851" spans="1:18" x14ac:dyDescent="0.25">
      <c r="A1851">
        <v>60</v>
      </c>
      <c r="B1851" s="1">
        <v>40546</v>
      </c>
      <c r="C1851">
        <v>1</v>
      </c>
      <c r="D1851">
        <v>0</v>
      </c>
      <c r="E1851">
        <v>1</v>
      </c>
      <c r="F1851">
        <v>14</v>
      </c>
      <c r="G1851" t="b">
        <v>0</v>
      </c>
      <c r="H1851">
        <v>1</v>
      </c>
      <c r="I1851">
        <v>1</v>
      </c>
      <c r="J1851">
        <v>0.26</v>
      </c>
      <c r="K1851">
        <v>0.2424</v>
      </c>
      <c r="L1851">
        <v>0.3</v>
      </c>
      <c r="M1851">
        <v>0.28360000000000002</v>
      </c>
      <c r="N1851">
        <v>11</v>
      </c>
      <c r="O1851">
        <v>66</v>
      </c>
      <c r="P1851">
        <v>77</v>
      </c>
      <c r="Q1851">
        <v>59</v>
      </c>
      <c r="R1851">
        <v>60</v>
      </c>
    </row>
    <row r="1852" spans="1:18" x14ac:dyDescent="0.25">
      <c r="A1852">
        <v>61</v>
      </c>
      <c r="B1852" s="1">
        <v>40546</v>
      </c>
      <c r="C1852">
        <v>1</v>
      </c>
      <c r="D1852">
        <v>0</v>
      </c>
      <c r="E1852">
        <v>1</v>
      </c>
      <c r="F1852">
        <v>15</v>
      </c>
      <c r="G1852" t="b">
        <v>0</v>
      </c>
      <c r="H1852">
        <v>1</v>
      </c>
      <c r="I1852">
        <v>1</v>
      </c>
      <c r="J1852">
        <v>0.26</v>
      </c>
      <c r="K1852">
        <v>0.2424</v>
      </c>
      <c r="L1852">
        <v>0.3</v>
      </c>
      <c r="M1852">
        <v>0.25369999999999998</v>
      </c>
      <c r="N1852">
        <v>14</v>
      </c>
      <c r="O1852">
        <v>58</v>
      </c>
      <c r="P1852">
        <v>72</v>
      </c>
      <c r="Q1852">
        <v>60</v>
      </c>
      <c r="R1852">
        <v>61</v>
      </c>
    </row>
    <row r="1853" spans="1:18" x14ac:dyDescent="0.25">
      <c r="A1853">
        <v>62</v>
      </c>
      <c r="B1853" s="1">
        <v>40546</v>
      </c>
      <c r="C1853">
        <v>1</v>
      </c>
      <c r="D1853">
        <v>0</v>
      </c>
      <c r="E1853">
        <v>1</v>
      </c>
      <c r="F1853">
        <v>16</v>
      </c>
      <c r="G1853" t="b">
        <v>0</v>
      </c>
      <c r="H1853">
        <v>1</v>
      </c>
      <c r="I1853">
        <v>1</v>
      </c>
      <c r="J1853">
        <v>0.26</v>
      </c>
      <c r="K1853">
        <v>0.2424</v>
      </c>
      <c r="L1853">
        <v>0.3</v>
      </c>
      <c r="M1853">
        <v>0.25369999999999998</v>
      </c>
      <c r="N1853">
        <v>9</v>
      </c>
      <c r="O1853">
        <v>67</v>
      </c>
      <c r="P1853">
        <v>76</v>
      </c>
      <c r="Q1853">
        <v>61</v>
      </c>
      <c r="R1853">
        <v>62</v>
      </c>
    </row>
    <row r="1854" spans="1:18" x14ac:dyDescent="0.25">
      <c r="A1854">
        <v>63</v>
      </c>
      <c r="B1854" s="1">
        <v>40546</v>
      </c>
      <c r="C1854">
        <v>1</v>
      </c>
      <c r="D1854">
        <v>0</v>
      </c>
      <c r="E1854">
        <v>1</v>
      </c>
      <c r="F1854">
        <v>17</v>
      </c>
      <c r="G1854" t="b">
        <v>0</v>
      </c>
      <c r="H1854">
        <v>1</v>
      </c>
      <c r="I1854">
        <v>1</v>
      </c>
      <c r="J1854">
        <v>0.24</v>
      </c>
      <c r="K1854">
        <v>0.2273</v>
      </c>
      <c r="L1854">
        <v>0.3</v>
      </c>
      <c r="M1854">
        <v>0.22389999999999999</v>
      </c>
      <c r="N1854">
        <v>11</v>
      </c>
      <c r="O1854">
        <v>146</v>
      </c>
      <c r="P1854">
        <v>157</v>
      </c>
      <c r="Q1854">
        <v>62</v>
      </c>
      <c r="R1854">
        <v>63</v>
      </c>
    </row>
    <row r="1855" spans="1:18" x14ac:dyDescent="0.25">
      <c r="A1855">
        <v>64</v>
      </c>
      <c r="B1855" s="1">
        <v>40546</v>
      </c>
      <c r="C1855">
        <v>1</v>
      </c>
      <c r="D1855">
        <v>0</v>
      </c>
      <c r="E1855">
        <v>1</v>
      </c>
      <c r="F1855">
        <v>18</v>
      </c>
      <c r="G1855" t="b">
        <v>0</v>
      </c>
      <c r="H1855">
        <v>1</v>
      </c>
      <c r="I1855">
        <v>1</v>
      </c>
      <c r="J1855">
        <v>0.24</v>
      </c>
      <c r="K1855">
        <v>0.2576</v>
      </c>
      <c r="L1855">
        <v>0.32</v>
      </c>
      <c r="M1855">
        <v>0.1045</v>
      </c>
      <c r="N1855">
        <v>9</v>
      </c>
      <c r="O1855">
        <v>148</v>
      </c>
      <c r="P1855">
        <v>157</v>
      </c>
      <c r="Q1855">
        <v>63</v>
      </c>
      <c r="R1855">
        <v>64</v>
      </c>
    </row>
    <row r="1856" spans="1:18" x14ac:dyDescent="0.25">
      <c r="A1856">
        <v>65</v>
      </c>
      <c r="B1856" s="1">
        <v>40546</v>
      </c>
      <c r="C1856">
        <v>1</v>
      </c>
      <c r="D1856">
        <v>0</v>
      </c>
      <c r="E1856">
        <v>1</v>
      </c>
      <c r="F1856">
        <v>19</v>
      </c>
      <c r="G1856" t="b">
        <v>0</v>
      </c>
      <c r="H1856">
        <v>1</v>
      </c>
      <c r="I1856">
        <v>1</v>
      </c>
      <c r="J1856">
        <v>0.2</v>
      </c>
      <c r="K1856">
        <v>0.2576</v>
      </c>
      <c r="L1856">
        <v>0.47</v>
      </c>
      <c r="M1856">
        <v>0</v>
      </c>
      <c r="N1856">
        <v>8</v>
      </c>
      <c r="O1856">
        <v>102</v>
      </c>
      <c r="P1856">
        <v>110</v>
      </c>
      <c r="Q1856">
        <v>64</v>
      </c>
      <c r="R1856">
        <v>65</v>
      </c>
    </row>
    <row r="1857" spans="1:18" x14ac:dyDescent="0.25">
      <c r="A1857">
        <v>66</v>
      </c>
      <c r="B1857" s="1">
        <v>40546</v>
      </c>
      <c r="C1857">
        <v>1</v>
      </c>
      <c r="D1857">
        <v>0</v>
      </c>
      <c r="E1857">
        <v>1</v>
      </c>
      <c r="F1857">
        <v>20</v>
      </c>
      <c r="G1857" t="b">
        <v>0</v>
      </c>
      <c r="H1857">
        <v>1</v>
      </c>
      <c r="I1857">
        <v>1</v>
      </c>
      <c r="J1857">
        <v>0.2</v>
      </c>
      <c r="L1857">
        <v>0.47</v>
      </c>
      <c r="M1857">
        <v>0.1045</v>
      </c>
      <c r="N1857">
        <v>3</v>
      </c>
      <c r="O1857">
        <v>49</v>
      </c>
      <c r="P1857">
        <v>52</v>
      </c>
      <c r="Q1857">
        <v>65</v>
      </c>
      <c r="R1857">
        <v>66</v>
      </c>
    </row>
    <row r="1858" spans="1:18" x14ac:dyDescent="0.25">
      <c r="A1858">
        <v>67</v>
      </c>
      <c r="B1858" s="1">
        <v>40546</v>
      </c>
      <c r="C1858">
        <v>1</v>
      </c>
      <c r="D1858">
        <v>0</v>
      </c>
      <c r="E1858">
        <v>1</v>
      </c>
      <c r="F1858">
        <v>21</v>
      </c>
      <c r="G1858" t="b">
        <v>0</v>
      </c>
      <c r="H1858">
        <v>1</v>
      </c>
      <c r="I1858">
        <v>1</v>
      </c>
      <c r="J1858">
        <v>0.18</v>
      </c>
      <c r="K1858">
        <v>0.19700000000000001</v>
      </c>
      <c r="L1858">
        <v>0.64</v>
      </c>
      <c r="M1858">
        <v>0.1343</v>
      </c>
      <c r="N1858">
        <v>3</v>
      </c>
      <c r="O1858">
        <v>49</v>
      </c>
      <c r="P1858">
        <v>52</v>
      </c>
      <c r="Q1858">
        <v>66</v>
      </c>
      <c r="R1858">
        <v>67</v>
      </c>
    </row>
    <row r="1859" spans="1:18" x14ac:dyDescent="0.25">
      <c r="A1859">
        <v>68</v>
      </c>
      <c r="B1859" s="1">
        <v>40546</v>
      </c>
      <c r="C1859">
        <v>1</v>
      </c>
      <c r="D1859">
        <v>0</v>
      </c>
      <c r="E1859">
        <v>1</v>
      </c>
      <c r="F1859">
        <v>22</v>
      </c>
      <c r="G1859" t="b">
        <v>0</v>
      </c>
      <c r="H1859">
        <v>1</v>
      </c>
      <c r="I1859">
        <v>1</v>
      </c>
      <c r="J1859">
        <v>0.14000000000000001</v>
      </c>
      <c r="K1859">
        <v>0.1515</v>
      </c>
      <c r="L1859">
        <v>0.69</v>
      </c>
      <c r="M1859">
        <v>0.1343</v>
      </c>
      <c r="N1859">
        <v>0</v>
      </c>
      <c r="O1859">
        <v>20</v>
      </c>
      <c r="P1859">
        <v>20</v>
      </c>
      <c r="Q1859">
        <v>67</v>
      </c>
      <c r="R1859">
        <v>68</v>
      </c>
    </row>
    <row r="1860" spans="1:18" x14ac:dyDescent="0.25">
      <c r="A1860">
        <v>69</v>
      </c>
      <c r="B1860" s="1">
        <v>40546</v>
      </c>
      <c r="C1860">
        <v>1</v>
      </c>
      <c r="D1860">
        <v>0</v>
      </c>
      <c r="E1860">
        <v>1</v>
      </c>
      <c r="F1860">
        <v>23</v>
      </c>
      <c r="G1860" t="b">
        <v>0</v>
      </c>
      <c r="H1860">
        <v>1</v>
      </c>
      <c r="I1860">
        <v>1</v>
      </c>
      <c r="J1860">
        <v>0.18</v>
      </c>
      <c r="K1860">
        <v>0.21210000000000001</v>
      </c>
      <c r="L1860">
        <v>0.55000000000000004</v>
      </c>
      <c r="M1860">
        <v>0.1045</v>
      </c>
      <c r="N1860">
        <v>1</v>
      </c>
      <c r="O1860">
        <v>11</v>
      </c>
      <c r="P1860">
        <v>12</v>
      </c>
      <c r="Q1860">
        <v>68</v>
      </c>
      <c r="R1860">
        <v>69</v>
      </c>
    </row>
    <row r="1861" spans="1:18" x14ac:dyDescent="0.25">
      <c r="A1861">
        <v>70</v>
      </c>
      <c r="B1861" s="1">
        <v>40547</v>
      </c>
      <c r="C1861">
        <v>1</v>
      </c>
      <c r="D1861">
        <v>0</v>
      </c>
      <c r="E1861">
        <v>1</v>
      </c>
      <c r="F1861">
        <v>0</v>
      </c>
      <c r="G1861" t="b">
        <v>0</v>
      </c>
      <c r="H1861">
        <v>2</v>
      </c>
      <c r="I1861">
        <v>1</v>
      </c>
      <c r="J1861">
        <v>0.16</v>
      </c>
      <c r="L1861">
        <v>0.55000000000000004</v>
      </c>
      <c r="M1861">
        <v>0.1045</v>
      </c>
      <c r="N1861">
        <v>0</v>
      </c>
      <c r="O1861">
        <v>5</v>
      </c>
      <c r="P1861">
        <v>5</v>
      </c>
      <c r="Q1861">
        <v>69</v>
      </c>
      <c r="R1861">
        <v>70</v>
      </c>
    </row>
    <row r="1862" spans="1:18" x14ac:dyDescent="0.25">
      <c r="A1862">
        <v>71</v>
      </c>
      <c r="B1862" s="1">
        <v>40547</v>
      </c>
      <c r="C1862">
        <v>1</v>
      </c>
      <c r="D1862">
        <v>0</v>
      </c>
      <c r="E1862">
        <v>1</v>
      </c>
      <c r="F1862">
        <v>1</v>
      </c>
      <c r="G1862" t="b">
        <v>0</v>
      </c>
      <c r="H1862">
        <v>2</v>
      </c>
      <c r="I1862">
        <v>1</v>
      </c>
      <c r="J1862">
        <v>0.16</v>
      </c>
      <c r="K1862">
        <v>0.18179999999999999</v>
      </c>
      <c r="L1862">
        <v>0.59</v>
      </c>
      <c r="M1862">
        <v>0.1045</v>
      </c>
      <c r="N1862">
        <v>0</v>
      </c>
      <c r="O1862">
        <v>2</v>
      </c>
      <c r="P1862">
        <v>2</v>
      </c>
      <c r="Q1862">
        <v>70</v>
      </c>
      <c r="R1862">
        <v>71</v>
      </c>
    </row>
    <row r="1863" spans="1:18" x14ac:dyDescent="0.25">
      <c r="A1863">
        <v>72</v>
      </c>
      <c r="B1863" s="1">
        <v>40547</v>
      </c>
      <c r="C1863">
        <v>1</v>
      </c>
      <c r="D1863">
        <v>0</v>
      </c>
      <c r="E1863">
        <v>1</v>
      </c>
      <c r="F1863">
        <v>2</v>
      </c>
      <c r="G1863" t="b">
        <v>0</v>
      </c>
      <c r="H1863">
        <v>2</v>
      </c>
      <c r="I1863">
        <v>1</v>
      </c>
      <c r="J1863">
        <v>0.14000000000000001</v>
      </c>
      <c r="K1863">
        <v>0.1515</v>
      </c>
      <c r="L1863">
        <v>0.63</v>
      </c>
      <c r="M1863">
        <v>0.1343</v>
      </c>
      <c r="N1863">
        <v>0</v>
      </c>
      <c r="O1863">
        <v>1</v>
      </c>
      <c r="P1863">
        <v>1</v>
      </c>
      <c r="Q1863">
        <v>71</v>
      </c>
      <c r="R1863">
        <v>72</v>
      </c>
    </row>
    <row r="1864" spans="1:18" x14ac:dyDescent="0.25">
      <c r="A1864">
        <v>73</v>
      </c>
      <c r="B1864" s="1">
        <v>40547</v>
      </c>
      <c r="C1864">
        <v>1</v>
      </c>
      <c r="D1864">
        <v>0</v>
      </c>
      <c r="E1864">
        <v>1</v>
      </c>
      <c r="F1864">
        <v>4</v>
      </c>
      <c r="G1864" t="b">
        <v>0</v>
      </c>
      <c r="H1864">
        <v>2</v>
      </c>
      <c r="I1864">
        <v>1</v>
      </c>
      <c r="J1864">
        <v>0.14000000000000001</v>
      </c>
      <c r="K1864">
        <v>0.18179999999999999</v>
      </c>
      <c r="L1864">
        <v>0.63</v>
      </c>
      <c r="M1864">
        <v>8.9599999999999999E-2</v>
      </c>
      <c r="N1864">
        <v>0</v>
      </c>
      <c r="O1864">
        <v>2</v>
      </c>
      <c r="P1864">
        <v>2</v>
      </c>
      <c r="Q1864">
        <v>72</v>
      </c>
      <c r="R1864">
        <v>73</v>
      </c>
    </row>
    <row r="1865" spans="1:18" x14ac:dyDescent="0.25">
      <c r="A1865">
        <v>74</v>
      </c>
      <c r="B1865" s="1">
        <v>40547</v>
      </c>
      <c r="C1865">
        <v>1</v>
      </c>
      <c r="D1865">
        <v>0</v>
      </c>
      <c r="E1865">
        <v>1</v>
      </c>
      <c r="F1865">
        <v>5</v>
      </c>
      <c r="G1865" t="b">
        <v>0</v>
      </c>
      <c r="H1865">
        <v>2</v>
      </c>
      <c r="I1865">
        <v>1</v>
      </c>
      <c r="J1865">
        <v>0.12</v>
      </c>
      <c r="K1865">
        <v>0.1515</v>
      </c>
      <c r="L1865">
        <v>0.68</v>
      </c>
      <c r="M1865">
        <v>0.1045</v>
      </c>
      <c r="N1865">
        <v>0</v>
      </c>
      <c r="O1865">
        <v>4</v>
      </c>
      <c r="P1865">
        <v>4</v>
      </c>
      <c r="Q1865">
        <v>73</v>
      </c>
      <c r="R1865">
        <v>74</v>
      </c>
    </row>
    <row r="1866" spans="1:18" x14ac:dyDescent="0.25">
      <c r="A1866">
        <v>75</v>
      </c>
      <c r="B1866" s="1">
        <v>40547</v>
      </c>
      <c r="C1866">
        <v>1</v>
      </c>
      <c r="D1866">
        <v>0</v>
      </c>
      <c r="E1866">
        <v>1</v>
      </c>
      <c r="F1866">
        <v>6</v>
      </c>
      <c r="G1866" t="b">
        <v>0</v>
      </c>
      <c r="H1866">
        <v>2</v>
      </c>
      <c r="I1866">
        <v>1</v>
      </c>
      <c r="J1866">
        <v>0.12</v>
      </c>
      <c r="K1866">
        <v>0.1515</v>
      </c>
      <c r="L1866">
        <v>0.74</v>
      </c>
      <c r="M1866">
        <v>0.1045</v>
      </c>
      <c r="N1866">
        <v>0</v>
      </c>
      <c r="O1866">
        <v>36</v>
      </c>
      <c r="P1866">
        <v>36</v>
      </c>
      <c r="Q1866">
        <v>74</v>
      </c>
      <c r="R1866">
        <v>75</v>
      </c>
    </row>
    <row r="1867" spans="1:18" x14ac:dyDescent="0.25">
      <c r="A1867">
        <v>76</v>
      </c>
      <c r="B1867" s="1">
        <v>40547</v>
      </c>
      <c r="C1867">
        <v>1</v>
      </c>
      <c r="D1867">
        <v>0</v>
      </c>
      <c r="E1867">
        <v>1</v>
      </c>
      <c r="F1867">
        <v>7</v>
      </c>
      <c r="G1867" t="b">
        <v>0</v>
      </c>
      <c r="H1867">
        <v>2</v>
      </c>
      <c r="I1867">
        <v>1</v>
      </c>
      <c r="J1867">
        <v>0.12</v>
      </c>
      <c r="K1867">
        <v>0.1515</v>
      </c>
      <c r="L1867">
        <v>0.74</v>
      </c>
      <c r="M1867">
        <v>0.1343</v>
      </c>
      <c r="N1867">
        <v>2</v>
      </c>
      <c r="O1867">
        <v>92</v>
      </c>
      <c r="P1867">
        <v>94</v>
      </c>
      <c r="Q1867">
        <v>75</v>
      </c>
      <c r="R1867">
        <v>76</v>
      </c>
    </row>
    <row r="1868" spans="1:18" x14ac:dyDescent="0.25">
      <c r="A1868">
        <v>77</v>
      </c>
      <c r="B1868" s="1">
        <v>40547</v>
      </c>
      <c r="C1868">
        <v>1</v>
      </c>
      <c r="D1868">
        <v>0</v>
      </c>
      <c r="E1868">
        <v>1</v>
      </c>
      <c r="F1868">
        <v>8</v>
      </c>
      <c r="G1868" t="b">
        <v>0</v>
      </c>
      <c r="H1868">
        <v>2</v>
      </c>
      <c r="I1868">
        <v>1</v>
      </c>
      <c r="J1868">
        <v>0.14000000000000001</v>
      </c>
      <c r="K1868">
        <v>0.1515</v>
      </c>
      <c r="L1868">
        <v>0.69</v>
      </c>
      <c r="M1868">
        <v>0.16420000000000001</v>
      </c>
      <c r="N1868">
        <v>2</v>
      </c>
      <c r="O1868">
        <v>177</v>
      </c>
      <c r="P1868">
        <v>179</v>
      </c>
      <c r="Q1868">
        <v>76</v>
      </c>
      <c r="R1868">
        <v>77</v>
      </c>
    </row>
    <row r="1869" spans="1:18" x14ac:dyDescent="0.25">
      <c r="A1869">
        <v>78</v>
      </c>
      <c r="B1869" s="1">
        <v>40547</v>
      </c>
      <c r="C1869">
        <v>1</v>
      </c>
      <c r="D1869">
        <v>0</v>
      </c>
      <c r="E1869">
        <v>1</v>
      </c>
      <c r="F1869">
        <v>9</v>
      </c>
      <c r="G1869" t="b">
        <v>0</v>
      </c>
      <c r="H1869">
        <v>2</v>
      </c>
      <c r="I1869">
        <v>1</v>
      </c>
      <c r="J1869">
        <v>0.16</v>
      </c>
      <c r="K1869">
        <v>0.1515</v>
      </c>
      <c r="L1869">
        <v>0.64</v>
      </c>
      <c r="M1869">
        <v>0.22389999999999999</v>
      </c>
      <c r="N1869">
        <v>2</v>
      </c>
      <c r="O1869">
        <v>98</v>
      </c>
      <c r="P1869">
        <v>100</v>
      </c>
      <c r="Q1869">
        <v>77</v>
      </c>
      <c r="R1869">
        <v>78</v>
      </c>
    </row>
    <row r="1870" spans="1:18" x14ac:dyDescent="0.25">
      <c r="A1870">
        <v>79</v>
      </c>
      <c r="B1870" s="1">
        <v>40547</v>
      </c>
      <c r="C1870">
        <v>1</v>
      </c>
      <c r="D1870">
        <v>0</v>
      </c>
      <c r="E1870">
        <v>1</v>
      </c>
      <c r="F1870">
        <v>10</v>
      </c>
      <c r="G1870" t="b">
        <v>0</v>
      </c>
      <c r="H1870">
        <v>2</v>
      </c>
      <c r="I1870">
        <v>2</v>
      </c>
      <c r="J1870">
        <v>0.16</v>
      </c>
      <c r="K1870">
        <v>0.13639999999999999</v>
      </c>
      <c r="L1870">
        <v>0.69</v>
      </c>
      <c r="M1870">
        <v>0.32840000000000003</v>
      </c>
      <c r="N1870">
        <v>5</v>
      </c>
      <c r="O1870">
        <v>37</v>
      </c>
      <c r="P1870">
        <v>42</v>
      </c>
      <c r="Q1870">
        <v>78</v>
      </c>
      <c r="R1870">
        <v>79</v>
      </c>
    </row>
    <row r="1871" spans="1:18" x14ac:dyDescent="0.25">
      <c r="A1871">
        <v>80</v>
      </c>
      <c r="B1871" s="1">
        <v>40547</v>
      </c>
      <c r="C1871">
        <v>1</v>
      </c>
      <c r="D1871">
        <v>0</v>
      </c>
      <c r="E1871">
        <v>1</v>
      </c>
      <c r="F1871">
        <v>11</v>
      </c>
      <c r="G1871" t="b">
        <v>0</v>
      </c>
      <c r="H1871">
        <v>2</v>
      </c>
      <c r="I1871">
        <v>1</v>
      </c>
      <c r="J1871">
        <v>0.22</v>
      </c>
      <c r="K1871">
        <v>0.21210000000000001</v>
      </c>
      <c r="L1871">
        <v>0.51</v>
      </c>
      <c r="M1871">
        <v>0.29849999999999999</v>
      </c>
      <c r="N1871">
        <v>7</v>
      </c>
      <c r="O1871">
        <v>50</v>
      </c>
      <c r="P1871">
        <v>57</v>
      </c>
      <c r="Q1871">
        <v>79</v>
      </c>
      <c r="R1871">
        <v>80</v>
      </c>
    </row>
    <row r="1872" spans="1:18" x14ac:dyDescent="0.25">
      <c r="A1872">
        <v>81</v>
      </c>
      <c r="B1872" s="1">
        <v>40547</v>
      </c>
      <c r="C1872">
        <v>1</v>
      </c>
      <c r="D1872">
        <v>0</v>
      </c>
      <c r="E1872">
        <v>1</v>
      </c>
      <c r="F1872">
        <v>12</v>
      </c>
      <c r="G1872" t="b">
        <v>0</v>
      </c>
      <c r="H1872">
        <v>2</v>
      </c>
      <c r="I1872">
        <v>1</v>
      </c>
      <c r="J1872">
        <v>0.22</v>
      </c>
      <c r="K1872">
        <v>0.2273</v>
      </c>
      <c r="L1872">
        <v>0.51</v>
      </c>
      <c r="M1872">
        <v>0.16420000000000001</v>
      </c>
      <c r="N1872">
        <v>12</v>
      </c>
      <c r="O1872">
        <v>66</v>
      </c>
      <c r="P1872">
        <v>78</v>
      </c>
      <c r="Q1872">
        <v>80</v>
      </c>
      <c r="R1872">
        <v>81</v>
      </c>
    </row>
    <row r="1873" spans="1:18" x14ac:dyDescent="0.25">
      <c r="A1873">
        <v>82</v>
      </c>
      <c r="B1873" s="1">
        <v>40547</v>
      </c>
      <c r="C1873">
        <v>1</v>
      </c>
      <c r="D1873">
        <v>0</v>
      </c>
      <c r="E1873">
        <v>1</v>
      </c>
      <c r="F1873">
        <v>13</v>
      </c>
      <c r="G1873" t="b">
        <v>0</v>
      </c>
      <c r="H1873">
        <v>2</v>
      </c>
      <c r="I1873">
        <v>1</v>
      </c>
      <c r="J1873">
        <v>0.24</v>
      </c>
      <c r="K1873">
        <v>0.2273</v>
      </c>
      <c r="L1873">
        <v>0.56000000000000005</v>
      </c>
      <c r="M1873">
        <v>0.19400000000000001</v>
      </c>
      <c r="N1873">
        <v>18</v>
      </c>
      <c r="O1873">
        <v>79</v>
      </c>
      <c r="P1873">
        <v>97</v>
      </c>
      <c r="Q1873">
        <v>81</v>
      </c>
      <c r="R1873">
        <v>82</v>
      </c>
    </row>
    <row r="1874" spans="1:18" x14ac:dyDescent="0.25">
      <c r="A1874">
        <v>83</v>
      </c>
      <c r="B1874" s="1">
        <v>40547</v>
      </c>
      <c r="C1874">
        <v>1</v>
      </c>
      <c r="D1874">
        <v>0</v>
      </c>
      <c r="E1874">
        <v>1</v>
      </c>
      <c r="F1874">
        <v>14</v>
      </c>
      <c r="G1874" t="b">
        <v>0</v>
      </c>
      <c r="H1874">
        <v>2</v>
      </c>
      <c r="I1874">
        <v>1</v>
      </c>
      <c r="J1874">
        <v>0.26</v>
      </c>
      <c r="K1874">
        <v>0.2576</v>
      </c>
      <c r="L1874">
        <v>0.52</v>
      </c>
      <c r="M1874">
        <v>0.22389999999999999</v>
      </c>
      <c r="N1874">
        <v>9</v>
      </c>
      <c r="O1874">
        <v>54</v>
      </c>
      <c r="P1874">
        <v>63</v>
      </c>
      <c r="Q1874">
        <v>82</v>
      </c>
      <c r="R1874">
        <v>83</v>
      </c>
    </row>
    <row r="1875" spans="1:18" x14ac:dyDescent="0.25">
      <c r="A1875">
        <v>84</v>
      </c>
      <c r="B1875" s="1">
        <v>40547</v>
      </c>
      <c r="C1875">
        <v>1</v>
      </c>
      <c r="D1875">
        <v>0</v>
      </c>
      <c r="E1875">
        <v>1</v>
      </c>
      <c r="F1875">
        <v>15</v>
      </c>
      <c r="G1875" t="b">
        <v>0</v>
      </c>
      <c r="H1875">
        <v>2</v>
      </c>
      <c r="I1875">
        <v>1</v>
      </c>
      <c r="J1875">
        <v>0.28000000000000003</v>
      </c>
      <c r="K1875">
        <v>0.2727</v>
      </c>
      <c r="L1875">
        <v>0.52</v>
      </c>
      <c r="M1875">
        <v>0.25369999999999998</v>
      </c>
      <c r="N1875">
        <v>17</v>
      </c>
      <c r="O1875">
        <v>48</v>
      </c>
      <c r="P1875">
        <v>65</v>
      </c>
      <c r="Q1875">
        <v>83</v>
      </c>
      <c r="R1875">
        <v>84</v>
      </c>
    </row>
    <row r="1876" spans="1:18" x14ac:dyDescent="0.25">
      <c r="A1876">
        <v>85</v>
      </c>
      <c r="B1876" s="1">
        <v>40547</v>
      </c>
      <c r="C1876">
        <v>1</v>
      </c>
      <c r="D1876">
        <v>0</v>
      </c>
      <c r="E1876">
        <v>1</v>
      </c>
      <c r="F1876">
        <v>16</v>
      </c>
      <c r="G1876" t="b">
        <v>0</v>
      </c>
      <c r="H1876">
        <v>2</v>
      </c>
      <c r="I1876">
        <v>1</v>
      </c>
      <c r="J1876">
        <v>0.3</v>
      </c>
      <c r="K1876">
        <v>0.28789999999999999</v>
      </c>
      <c r="L1876">
        <v>0.49</v>
      </c>
      <c r="M1876">
        <v>0.25369999999999998</v>
      </c>
      <c r="N1876">
        <v>15</v>
      </c>
      <c r="O1876">
        <v>68</v>
      </c>
      <c r="P1876">
        <v>83</v>
      </c>
      <c r="Q1876">
        <v>84</v>
      </c>
      <c r="R1876">
        <v>85</v>
      </c>
    </row>
    <row r="1877" spans="1:18" x14ac:dyDescent="0.25">
      <c r="A1877">
        <v>86</v>
      </c>
      <c r="B1877" s="1">
        <v>40547</v>
      </c>
      <c r="C1877">
        <v>1</v>
      </c>
      <c r="D1877">
        <v>0</v>
      </c>
      <c r="E1877">
        <v>1</v>
      </c>
      <c r="F1877">
        <v>17</v>
      </c>
      <c r="G1877" t="b">
        <v>0</v>
      </c>
      <c r="H1877">
        <v>2</v>
      </c>
      <c r="I1877">
        <v>1</v>
      </c>
      <c r="J1877">
        <v>0.28000000000000003</v>
      </c>
      <c r="K1877">
        <v>0.2727</v>
      </c>
      <c r="L1877">
        <v>0.48</v>
      </c>
      <c r="M1877">
        <v>0.22389999999999999</v>
      </c>
      <c r="N1877">
        <v>10</v>
      </c>
      <c r="O1877">
        <v>202</v>
      </c>
      <c r="P1877">
        <v>212</v>
      </c>
      <c r="Q1877">
        <v>85</v>
      </c>
      <c r="R1877">
        <v>86</v>
      </c>
    </row>
    <row r="1878" spans="1:18" x14ac:dyDescent="0.25">
      <c r="A1878">
        <v>87</v>
      </c>
      <c r="B1878" s="1">
        <v>40547</v>
      </c>
      <c r="C1878">
        <v>1</v>
      </c>
      <c r="D1878">
        <v>0</v>
      </c>
      <c r="E1878">
        <v>1</v>
      </c>
      <c r="F1878">
        <v>18</v>
      </c>
      <c r="G1878" t="b">
        <v>0</v>
      </c>
      <c r="H1878">
        <v>2</v>
      </c>
      <c r="I1878">
        <v>1</v>
      </c>
      <c r="J1878">
        <v>0.26</v>
      </c>
      <c r="K1878">
        <v>0.2576</v>
      </c>
      <c r="L1878">
        <v>0.48</v>
      </c>
      <c r="M1878">
        <v>0.19400000000000001</v>
      </c>
      <c r="N1878">
        <v>3</v>
      </c>
      <c r="O1878">
        <v>179</v>
      </c>
      <c r="P1878">
        <v>182</v>
      </c>
      <c r="Q1878">
        <v>86</v>
      </c>
      <c r="R1878">
        <v>87</v>
      </c>
    </row>
    <row r="1879" spans="1:18" x14ac:dyDescent="0.25">
      <c r="A1879">
        <v>88</v>
      </c>
      <c r="B1879" s="1">
        <v>40547</v>
      </c>
      <c r="C1879">
        <v>1</v>
      </c>
      <c r="D1879">
        <v>0</v>
      </c>
      <c r="E1879">
        <v>1</v>
      </c>
      <c r="F1879">
        <v>19</v>
      </c>
      <c r="G1879" t="b">
        <v>0</v>
      </c>
      <c r="H1879">
        <v>2</v>
      </c>
      <c r="I1879">
        <v>1</v>
      </c>
      <c r="J1879">
        <v>0.24</v>
      </c>
      <c r="K1879">
        <v>0.2576</v>
      </c>
      <c r="L1879">
        <v>0.48</v>
      </c>
      <c r="M1879">
        <v>0.1045</v>
      </c>
      <c r="N1879">
        <v>2</v>
      </c>
      <c r="O1879">
        <v>110</v>
      </c>
      <c r="P1879">
        <v>112</v>
      </c>
      <c r="Q1879">
        <v>87</v>
      </c>
      <c r="R1879">
        <v>88</v>
      </c>
    </row>
    <row r="1880" spans="1:18" x14ac:dyDescent="0.25">
      <c r="A1880">
        <v>89</v>
      </c>
      <c r="B1880" s="1">
        <v>40547</v>
      </c>
      <c r="C1880">
        <v>1</v>
      </c>
      <c r="D1880">
        <v>0</v>
      </c>
      <c r="E1880">
        <v>1</v>
      </c>
      <c r="F1880">
        <v>20</v>
      </c>
      <c r="G1880" t="b">
        <v>0</v>
      </c>
      <c r="H1880">
        <v>2</v>
      </c>
      <c r="I1880">
        <v>1</v>
      </c>
      <c r="J1880">
        <v>0.24</v>
      </c>
      <c r="K1880">
        <v>0.2576</v>
      </c>
      <c r="L1880">
        <v>0.48</v>
      </c>
      <c r="M1880">
        <v>0.1045</v>
      </c>
      <c r="N1880">
        <v>1</v>
      </c>
      <c r="O1880">
        <v>53</v>
      </c>
      <c r="P1880">
        <v>54</v>
      </c>
      <c r="Q1880">
        <v>88</v>
      </c>
      <c r="R1880">
        <v>89</v>
      </c>
    </row>
    <row r="1881" spans="1:18" x14ac:dyDescent="0.25">
      <c r="A1881">
        <v>90</v>
      </c>
      <c r="B1881" s="1">
        <v>40547</v>
      </c>
      <c r="C1881">
        <v>1</v>
      </c>
      <c r="D1881">
        <v>0</v>
      </c>
      <c r="E1881">
        <v>1</v>
      </c>
      <c r="F1881">
        <v>21</v>
      </c>
      <c r="G1881" t="b">
        <v>0</v>
      </c>
      <c r="H1881">
        <v>2</v>
      </c>
      <c r="I1881">
        <v>1</v>
      </c>
      <c r="J1881">
        <v>0.22</v>
      </c>
      <c r="K1881">
        <v>0.2727</v>
      </c>
      <c r="L1881">
        <v>0.64</v>
      </c>
      <c r="M1881">
        <v>0</v>
      </c>
      <c r="N1881">
        <v>0</v>
      </c>
      <c r="O1881">
        <v>48</v>
      </c>
      <c r="P1881">
        <v>48</v>
      </c>
      <c r="Q1881">
        <v>89</v>
      </c>
      <c r="R1881">
        <v>90</v>
      </c>
    </row>
    <row r="1882" spans="1:18" x14ac:dyDescent="0.25">
      <c r="A1882">
        <v>91</v>
      </c>
      <c r="B1882" s="1">
        <v>40547</v>
      </c>
      <c r="C1882">
        <v>1</v>
      </c>
      <c r="D1882">
        <v>0</v>
      </c>
      <c r="E1882">
        <v>1</v>
      </c>
      <c r="F1882">
        <v>22</v>
      </c>
      <c r="G1882" t="b">
        <v>0</v>
      </c>
      <c r="H1882">
        <v>2</v>
      </c>
      <c r="I1882">
        <v>1</v>
      </c>
      <c r="J1882">
        <v>0.22</v>
      </c>
      <c r="K1882">
        <v>0.2576</v>
      </c>
      <c r="L1882">
        <v>0.64</v>
      </c>
      <c r="M1882">
        <v>8.9599999999999999E-2</v>
      </c>
      <c r="N1882">
        <v>1</v>
      </c>
      <c r="O1882">
        <v>34</v>
      </c>
      <c r="P1882">
        <v>35</v>
      </c>
      <c r="Q1882">
        <v>90</v>
      </c>
      <c r="R1882">
        <v>91</v>
      </c>
    </row>
    <row r="1883" spans="1:18" x14ac:dyDescent="0.25">
      <c r="A1883">
        <v>92</v>
      </c>
      <c r="B1883" s="1">
        <v>40547</v>
      </c>
      <c r="C1883">
        <v>1</v>
      </c>
      <c r="D1883">
        <v>0</v>
      </c>
      <c r="E1883">
        <v>1</v>
      </c>
      <c r="F1883">
        <v>23</v>
      </c>
      <c r="G1883" t="b">
        <v>0</v>
      </c>
      <c r="H1883">
        <v>2</v>
      </c>
      <c r="I1883">
        <v>1</v>
      </c>
      <c r="J1883">
        <v>0.2</v>
      </c>
      <c r="K1883">
        <v>0.2273</v>
      </c>
      <c r="L1883">
        <v>0.69</v>
      </c>
      <c r="M1883">
        <v>8.9599999999999999E-2</v>
      </c>
      <c r="N1883">
        <v>2</v>
      </c>
      <c r="O1883">
        <v>9</v>
      </c>
      <c r="P1883">
        <v>11</v>
      </c>
      <c r="Q1883">
        <v>91</v>
      </c>
      <c r="R1883">
        <v>92</v>
      </c>
    </row>
    <row r="1884" spans="1:18" x14ac:dyDescent="0.25">
      <c r="A1884">
        <v>93</v>
      </c>
      <c r="B1884" s="1">
        <v>40548</v>
      </c>
      <c r="C1884">
        <v>1</v>
      </c>
      <c r="D1884">
        <v>0</v>
      </c>
      <c r="E1884">
        <v>1</v>
      </c>
      <c r="F1884">
        <v>0</v>
      </c>
      <c r="G1884" t="b">
        <v>0</v>
      </c>
      <c r="H1884">
        <v>3</v>
      </c>
      <c r="I1884">
        <v>1</v>
      </c>
      <c r="J1884">
        <v>0.2</v>
      </c>
      <c r="K1884">
        <v>0.2576</v>
      </c>
      <c r="L1884">
        <v>0.64</v>
      </c>
      <c r="M1884">
        <v>0</v>
      </c>
      <c r="N1884">
        <v>0</v>
      </c>
      <c r="O1884">
        <v>6</v>
      </c>
      <c r="P1884">
        <v>6</v>
      </c>
      <c r="Q1884">
        <v>92</v>
      </c>
      <c r="R1884">
        <v>93</v>
      </c>
    </row>
    <row r="1885" spans="1:18" x14ac:dyDescent="0.25">
      <c r="A1885">
        <v>94</v>
      </c>
      <c r="B1885" s="1">
        <v>40548</v>
      </c>
      <c r="C1885">
        <v>1</v>
      </c>
      <c r="D1885">
        <v>0</v>
      </c>
      <c r="E1885">
        <v>1</v>
      </c>
      <c r="F1885">
        <v>1</v>
      </c>
      <c r="G1885" t="b">
        <v>0</v>
      </c>
      <c r="H1885">
        <v>3</v>
      </c>
      <c r="I1885">
        <v>1</v>
      </c>
      <c r="J1885">
        <v>0.16</v>
      </c>
      <c r="K1885">
        <v>0.19700000000000001</v>
      </c>
      <c r="L1885">
        <v>0.74</v>
      </c>
      <c r="M1885">
        <v>8.9599999999999999E-2</v>
      </c>
      <c r="N1885">
        <v>0</v>
      </c>
      <c r="O1885">
        <v>6</v>
      </c>
      <c r="P1885">
        <v>6</v>
      </c>
      <c r="Q1885">
        <v>93</v>
      </c>
      <c r="R1885">
        <v>94</v>
      </c>
    </row>
    <row r="1886" spans="1:18" x14ac:dyDescent="0.25">
      <c r="A1886">
        <v>95</v>
      </c>
      <c r="B1886" s="1">
        <v>40548</v>
      </c>
      <c r="C1886">
        <v>1</v>
      </c>
      <c r="D1886">
        <v>0</v>
      </c>
      <c r="E1886">
        <v>1</v>
      </c>
      <c r="F1886">
        <v>2</v>
      </c>
      <c r="G1886" t="b">
        <v>0</v>
      </c>
      <c r="H1886">
        <v>3</v>
      </c>
      <c r="I1886">
        <v>1</v>
      </c>
      <c r="J1886">
        <v>0.16</v>
      </c>
      <c r="K1886">
        <v>0.19700000000000001</v>
      </c>
      <c r="L1886">
        <v>0.74</v>
      </c>
      <c r="M1886">
        <v>8.9599999999999999E-2</v>
      </c>
      <c r="N1886">
        <v>0</v>
      </c>
      <c r="O1886">
        <v>2</v>
      </c>
      <c r="P1886">
        <v>2</v>
      </c>
      <c r="Q1886">
        <v>94</v>
      </c>
      <c r="R1886">
        <v>95</v>
      </c>
    </row>
    <row r="1887" spans="1:18" x14ac:dyDescent="0.25">
      <c r="A1887">
        <v>96</v>
      </c>
      <c r="B1887" s="1">
        <v>40548</v>
      </c>
      <c r="C1887">
        <v>1</v>
      </c>
      <c r="D1887">
        <v>0</v>
      </c>
      <c r="E1887">
        <v>1</v>
      </c>
      <c r="F1887">
        <v>4</v>
      </c>
      <c r="G1887" t="b">
        <v>0</v>
      </c>
      <c r="H1887">
        <v>3</v>
      </c>
      <c r="I1887">
        <v>1</v>
      </c>
      <c r="J1887">
        <v>0.24</v>
      </c>
      <c r="K1887">
        <v>0.2273</v>
      </c>
      <c r="L1887">
        <v>0.48</v>
      </c>
      <c r="M1887">
        <v>0.22389999999999999</v>
      </c>
      <c r="N1887">
        <v>0</v>
      </c>
      <c r="O1887">
        <v>2</v>
      </c>
      <c r="P1887">
        <v>2</v>
      </c>
      <c r="Q1887">
        <v>95</v>
      </c>
      <c r="R1887">
        <v>96</v>
      </c>
    </row>
    <row r="1888" spans="1:18" x14ac:dyDescent="0.25">
      <c r="A1888">
        <v>97</v>
      </c>
      <c r="B1888" s="1">
        <v>40548</v>
      </c>
      <c r="C1888">
        <v>1</v>
      </c>
      <c r="D1888">
        <v>0</v>
      </c>
      <c r="E1888">
        <v>1</v>
      </c>
      <c r="F1888">
        <v>5</v>
      </c>
      <c r="G1888" t="b">
        <v>0</v>
      </c>
      <c r="H1888">
        <v>3</v>
      </c>
      <c r="I1888">
        <v>1</v>
      </c>
      <c r="J1888">
        <v>0.22</v>
      </c>
      <c r="K1888">
        <v>0.2273</v>
      </c>
      <c r="L1888">
        <v>0.47</v>
      </c>
      <c r="M1888">
        <v>0.16420000000000001</v>
      </c>
      <c r="N1888">
        <v>0</v>
      </c>
      <c r="O1888">
        <v>3</v>
      </c>
      <c r="P1888">
        <v>3</v>
      </c>
      <c r="Q1888">
        <v>96</v>
      </c>
      <c r="R1888">
        <v>97</v>
      </c>
    </row>
    <row r="1889" spans="1:18" x14ac:dyDescent="0.25">
      <c r="A1889">
        <v>98</v>
      </c>
      <c r="B1889" s="1">
        <v>40548</v>
      </c>
      <c r="C1889">
        <v>1</v>
      </c>
      <c r="D1889">
        <v>0</v>
      </c>
      <c r="E1889">
        <v>1</v>
      </c>
      <c r="F1889">
        <v>6</v>
      </c>
      <c r="G1889" t="b">
        <v>0</v>
      </c>
      <c r="H1889">
        <v>3</v>
      </c>
      <c r="I1889">
        <v>1</v>
      </c>
      <c r="J1889">
        <v>0.2</v>
      </c>
      <c r="K1889">
        <v>0.19700000000000001</v>
      </c>
      <c r="L1889">
        <v>0.47</v>
      </c>
      <c r="M1889">
        <v>0.22389999999999999</v>
      </c>
      <c r="N1889">
        <v>0</v>
      </c>
      <c r="O1889">
        <v>33</v>
      </c>
      <c r="P1889">
        <v>33</v>
      </c>
      <c r="Q1889">
        <v>97</v>
      </c>
      <c r="R1889">
        <v>98</v>
      </c>
    </row>
    <row r="1890" spans="1:18" x14ac:dyDescent="0.25">
      <c r="A1890">
        <v>99</v>
      </c>
      <c r="B1890" s="1">
        <v>40548</v>
      </c>
      <c r="C1890">
        <v>1</v>
      </c>
      <c r="D1890">
        <v>0</v>
      </c>
      <c r="E1890">
        <v>1</v>
      </c>
      <c r="F1890">
        <v>7</v>
      </c>
      <c r="G1890" t="b">
        <v>0</v>
      </c>
      <c r="H1890">
        <v>3</v>
      </c>
      <c r="I1890">
        <v>1</v>
      </c>
      <c r="J1890">
        <v>0.18</v>
      </c>
      <c r="K1890">
        <v>0.18179999999999999</v>
      </c>
      <c r="L1890">
        <v>0.43</v>
      </c>
      <c r="M1890">
        <v>0.19400000000000001</v>
      </c>
      <c r="N1890">
        <v>1</v>
      </c>
      <c r="O1890">
        <v>87</v>
      </c>
      <c r="P1890">
        <v>88</v>
      </c>
      <c r="Q1890">
        <v>98</v>
      </c>
      <c r="R1890">
        <v>99</v>
      </c>
    </row>
    <row r="1891" spans="1:18" x14ac:dyDescent="0.25">
      <c r="A1891">
        <v>100</v>
      </c>
      <c r="B1891" s="1">
        <v>40548</v>
      </c>
      <c r="C1891">
        <v>1</v>
      </c>
      <c r="D1891">
        <v>0</v>
      </c>
      <c r="E1891">
        <v>1</v>
      </c>
      <c r="F1891">
        <v>8</v>
      </c>
      <c r="G1891" t="b">
        <v>0</v>
      </c>
      <c r="H1891">
        <v>3</v>
      </c>
      <c r="I1891">
        <v>1</v>
      </c>
      <c r="J1891">
        <v>0.2</v>
      </c>
      <c r="K1891">
        <v>0.18179999999999999</v>
      </c>
      <c r="L1891">
        <v>0.4</v>
      </c>
      <c r="M1891">
        <v>0.29849999999999999</v>
      </c>
      <c r="N1891">
        <v>3</v>
      </c>
      <c r="O1891">
        <v>192</v>
      </c>
      <c r="P1891">
        <v>195</v>
      </c>
      <c r="Q1891">
        <v>99</v>
      </c>
      <c r="R1891">
        <v>100</v>
      </c>
    </row>
    <row r="1892" spans="1:18" x14ac:dyDescent="0.25">
      <c r="A1892">
        <v>101</v>
      </c>
      <c r="B1892" s="1">
        <v>40548</v>
      </c>
      <c r="C1892">
        <v>1</v>
      </c>
      <c r="D1892">
        <v>0</v>
      </c>
      <c r="E1892">
        <v>1</v>
      </c>
      <c r="F1892">
        <v>9</v>
      </c>
      <c r="G1892" t="b">
        <v>0</v>
      </c>
      <c r="H1892">
        <v>3</v>
      </c>
      <c r="I1892">
        <v>1</v>
      </c>
      <c r="J1892">
        <v>0.22</v>
      </c>
      <c r="K1892">
        <v>0.19700000000000001</v>
      </c>
      <c r="L1892">
        <v>0.37</v>
      </c>
      <c r="M1892">
        <v>0.32840000000000003</v>
      </c>
      <c r="N1892">
        <v>6</v>
      </c>
      <c r="O1892">
        <v>109</v>
      </c>
      <c r="P1892">
        <v>115</v>
      </c>
      <c r="Q1892">
        <v>100</v>
      </c>
      <c r="R1892">
        <v>101</v>
      </c>
    </row>
    <row r="1893" spans="1:18" x14ac:dyDescent="0.25">
      <c r="A1893">
        <v>102</v>
      </c>
      <c r="B1893" s="1">
        <v>40548</v>
      </c>
      <c r="C1893">
        <v>1</v>
      </c>
      <c r="D1893">
        <v>0</v>
      </c>
      <c r="E1893">
        <v>1</v>
      </c>
      <c r="F1893">
        <v>10</v>
      </c>
      <c r="G1893" t="b">
        <v>0</v>
      </c>
      <c r="H1893">
        <v>3</v>
      </c>
      <c r="I1893">
        <v>1</v>
      </c>
      <c r="J1893">
        <v>0.22</v>
      </c>
      <c r="K1893">
        <v>0.19700000000000001</v>
      </c>
      <c r="L1893">
        <v>0.37</v>
      </c>
      <c r="M1893">
        <v>0.32840000000000003</v>
      </c>
      <c r="N1893">
        <v>4</v>
      </c>
      <c r="O1893">
        <v>53</v>
      </c>
      <c r="P1893">
        <v>57</v>
      </c>
      <c r="Q1893">
        <v>101</v>
      </c>
      <c r="R1893">
        <v>102</v>
      </c>
    </row>
    <row r="1894" spans="1:18" x14ac:dyDescent="0.25">
      <c r="A1894">
        <v>103</v>
      </c>
      <c r="B1894" s="1">
        <v>40548</v>
      </c>
      <c r="C1894">
        <v>1</v>
      </c>
      <c r="D1894">
        <v>0</v>
      </c>
      <c r="E1894">
        <v>1</v>
      </c>
      <c r="F1894">
        <v>11</v>
      </c>
      <c r="G1894" t="b">
        <v>0</v>
      </c>
      <c r="H1894">
        <v>3</v>
      </c>
      <c r="I1894">
        <v>1</v>
      </c>
      <c r="J1894">
        <v>0.26</v>
      </c>
      <c r="K1894">
        <v>0.2273</v>
      </c>
      <c r="L1894">
        <v>0.33</v>
      </c>
      <c r="M1894">
        <v>0.32840000000000003</v>
      </c>
      <c r="N1894">
        <v>12</v>
      </c>
      <c r="O1894">
        <v>34</v>
      </c>
      <c r="P1894">
        <v>46</v>
      </c>
      <c r="Q1894">
        <v>102</v>
      </c>
      <c r="R1894">
        <v>103</v>
      </c>
    </row>
    <row r="1895" spans="1:18" x14ac:dyDescent="0.25">
      <c r="A1895">
        <v>104</v>
      </c>
      <c r="B1895" s="1">
        <v>40548</v>
      </c>
      <c r="C1895">
        <v>1</v>
      </c>
      <c r="D1895">
        <v>0</v>
      </c>
      <c r="E1895">
        <v>1</v>
      </c>
      <c r="F1895">
        <v>12</v>
      </c>
      <c r="G1895" t="b">
        <v>0</v>
      </c>
      <c r="H1895">
        <v>3</v>
      </c>
      <c r="I1895">
        <v>1</v>
      </c>
      <c r="J1895">
        <v>0.26</v>
      </c>
      <c r="K1895">
        <v>0.2273</v>
      </c>
      <c r="L1895">
        <v>0.33</v>
      </c>
      <c r="M1895">
        <v>0.32840000000000003</v>
      </c>
      <c r="N1895">
        <v>5</v>
      </c>
      <c r="O1895">
        <v>74</v>
      </c>
      <c r="P1895">
        <v>79</v>
      </c>
      <c r="Q1895">
        <v>103</v>
      </c>
      <c r="R1895">
        <v>104</v>
      </c>
    </row>
    <row r="1896" spans="1:18" x14ac:dyDescent="0.25">
      <c r="A1896">
        <v>105</v>
      </c>
      <c r="B1896" s="1">
        <v>40548</v>
      </c>
      <c r="C1896">
        <v>1</v>
      </c>
      <c r="D1896">
        <v>0</v>
      </c>
      <c r="E1896">
        <v>1</v>
      </c>
      <c r="F1896">
        <v>13</v>
      </c>
      <c r="G1896" t="b">
        <v>0</v>
      </c>
      <c r="H1896">
        <v>3</v>
      </c>
      <c r="I1896">
        <v>1</v>
      </c>
      <c r="J1896">
        <v>0.28000000000000003</v>
      </c>
      <c r="K1896">
        <v>0.2576</v>
      </c>
      <c r="L1896">
        <v>0.3</v>
      </c>
      <c r="M1896">
        <v>0.29849999999999999</v>
      </c>
      <c r="N1896">
        <v>6</v>
      </c>
      <c r="O1896">
        <v>65</v>
      </c>
      <c r="P1896">
        <v>71</v>
      </c>
      <c r="Q1896">
        <v>104</v>
      </c>
      <c r="R1896">
        <v>105</v>
      </c>
    </row>
    <row r="1897" spans="1:18" x14ac:dyDescent="0.25">
      <c r="A1897">
        <v>106</v>
      </c>
      <c r="B1897" s="1">
        <v>40548</v>
      </c>
      <c r="C1897">
        <v>1</v>
      </c>
      <c r="D1897">
        <v>0</v>
      </c>
      <c r="E1897">
        <v>1</v>
      </c>
      <c r="F1897">
        <v>14</v>
      </c>
      <c r="G1897" t="b">
        <v>0</v>
      </c>
      <c r="H1897">
        <v>3</v>
      </c>
      <c r="I1897">
        <v>1</v>
      </c>
      <c r="J1897">
        <v>0.3</v>
      </c>
      <c r="K1897">
        <v>0.28789999999999999</v>
      </c>
      <c r="L1897">
        <v>0.28000000000000003</v>
      </c>
      <c r="M1897">
        <v>0.19400000000000001</v>
      </c>
      <c r="N1897">
        <v>10</v>
      </c>
      <c r="O1897">
        <v>52</v>
      </c>
      <c r="P1897">
        <v>62</v>
      </c>
      <c r="Q1897">
        <v>105</v>
      </c>
      <c r="R1897">
        <v>106</v>
      </c>
    </row>
    <row r="1898" spans="1:18" x14ac:dyDescent="0.25">
      <c r="A1898">
        <v>107</v>
      </c>
      <c r="B1898" s="1">
        <v>40548</v>
      </c>
      <c r="C1898">
        <v>1</v>
      </c>
      <c r="D1898">
        <v>0</v>
      </c>
      <c r="E1898">
        <v>1</v>
      </c>
      <c r="F1898">
        <v>15</v>
      </c>
      <c r="G1898" t="b">
        <v>0</v>
      </c>
      <c r="H1898">
        <v>3</v>
      </c>
      <c r="I1898">
        <v>1</v>
      </c>
      <c r="J1898">
        <v>0.3</v>
      </c>
      <c r="K1898">
        <v>0.28789999999999999</v>
      </c>
      <c r="L1898">
        <v>0.28000000000000003</v>
      </c>
      <c r="M1898">
        <v>0.19400000000000001</v>
      </c>
      <c r="N1898">
        <v>7</v>
      </c>
      <c r="O1898">
        <v>55</v>
      </c>
      <c r="P1898">
        <v>62</v>
      </c>
      <c r="Q1898">
        <v>106</v>
      </c>
      <c r="R1898">
        <v>107</v>
      </c>
    </row>
    <row r="1899" spans="1:18" x14ac:dyDescent="0.25">
      <c r="A1899">
        <v>108</v>
      </c>
      <c r="B1899" s="1">
        <v>40548</v>
      </c>
      <c r="C1899">
        <v>1</v>
      </c>
      <c r="D1899">
        <v>0</v>
      </c>
      <c r="E1899">
        <v>1</v>
      </c>
      <c r="F1899">
        <v>16</v>
      </c>
      <c r="G1899" t="b">
        <v>0</v>
      </c>
      <c r="H1899">
        <v>3</v>
      </c>
      <c r="I1899">
        <v>1</v>
      </c>
      <c r="J1899">
        <v>0.3</v>
      </c>
      <c r="K1899">
        <v>0.31819999999999998</v>
      </c>
      <c r="L1899">
        <v>0.28000000000000003</v>
      </c>
      <c r="M1899">
        <v>8.9599999999999999E-2</v>
      </c>
      <c r="N1899">
        <v>4</v>
      </c>
      <c r="O1899">
        <v>85</v>
      </c>
      <c r="P1899">
        <v>89</v>
      </c>
      <c r="Q1899">
        <v>107</v>
      </c>
      <c r="R1899">
        <v>108</v>
      </c>
    </row>
    <row r="1900" spans="1:18" x14ac:dyDescent="0.25">
      <c r="A1900">
        <v>109</v>
      </c>
      <c r="B1900" s="1">
        <v>40548</v>
      </c>
      <c r="C1900">
        <v>1</v>
      </c>
      <c r="D1900">
        <v>0</v>
      </c>
      <c r="E1900">
        <v>1</v>
      </c>
      <c r="F1900">
        <v>17</v>
      </c>
      <c r="G1900" t="b">
        <v>0</v>
      </c>
      <c r="H1900">
        <v>3</v>
      </c>
      <c r="I1900">
        <v>1</v>
      </c>
      <c r="J1900">
        <v>0.24</v>
      </c>
      <c r="K1900">
        <v>0.2273</v>
      </c>
      <c r="L1900">
        <v>0.38</v>
      </c>
      <c r="M1900">
        <v>0.19400000000000001</v>
      </c>
      <c r="N1900">
        <v>4</v>
      </c>
      <c r="O1900">
        <v>186</v>
      </c>
      <c r="P1900">
        <v>190</v>
      </c>
      <c r="Q1900">
        <v>108</v>
      </c>
      <c r="R1900">
        <v>109</v>
      </c>
    </row>
    <row r="1901" spans="1:18" x14ac:dyDescent="0.25">
      <c r="A1901">
        <v>110</v>
      </c>
      <c r="B1901" s="1">
        <v>40548</v>
      </c>
      <c r="C1901">
        <v>1</v>
      </c>
      <c r="D1901">
        <v>0</v>
      </c>
      <c r="E1901">
        <v>1</v>
      </c>
      <c r="F1901">
        <v>18</v>
      </c>
      <c r="G1901" t="b">
        <v>0</v>
      </c>
      <c r="H1901">
        <v>3</v>
      </c>
      <c r="I1901">
        <v>1</v>
      </c>
      <c r="J1901">
        <v>0.24</v>
      </c>
      <c r="K1901">
        <v>0.2424</v>
      </c>
      <c r="L1901">
        <v>0.38</v>
      </c>
      <c r="M1901">
        <v>0.1343</v>
      </c>
      <c r="N1901">
        <v>3</v>
      </c>
      <c r="O1901">
        <v>166</v>
      </c>
      <c r="P1901">
        <v>169</v>
      </c>
      <c r="Q1901">
        <v>109</v>
      </c>
      <c r="R1901">
        <v>110</v>
      </c>
    </row>
    <row r="1902" spans="1:18" x14ac:dyDescent="0.25">
      <c r="A1902">
        <v>111</v>
      </c>
      <c r="B1902" s="1">
        <v>40548</v>
      </c>
      <c r="C1902">
        <v>1</v>
      </c>
      <c r="D1902">
        <v>0</v>
      </c>
      <c r="E1902">
        <v>1</v>
      </c>
      <c r="F1902">
        <v>19</v>
      </c>
      <c r="G1902" t="b">
        <v>0</v>
      </c>
      <c r="H1902">
        <v>3</v>
      </c>
      <c r="I1902">
        <v>1</v>
      </c>
      <c r="J1902">
        <v>0.24</v>
      </c>
      <c r="K1902">
        <v>0.2576</v>
      </c>
      <c r="L1902">
        <v>0.38</v>
      </c>
      <c r="M1902">
        <v>0.1045</v>
      </c>
      <c r="N1902">
        <v>5</v>
      </c>
      <c r="O1902">
        <v>127</v>
      </c>
      <c r="P1902">
        <v>132</v>
      </c>
      <c r="Q1902">
        <v>110</v>
      </c>
      <c r="R1902">
        <v>111</v>
      </c>
    </row>
    <row r="1903" spans="1:18" x14ac:dyDescent="0.25">
      <c r="A1903">
        <v>112</v>
      </c>
      <c r="B1903" s="1">
        <v>40548</v>
      </c>
      <c r="C1903">
        <v>1</v>
      </c>
      <c r="D1903">
        <v>0</v>
      </c>
      <c r="E1903">
        <v>1</v>
      </c>
      <c r="F1903">
        <v>20</v>
      </c>
      <c r="G1903" t="b">
        <v>0</v>
      </c>
      <c r="H1903">
        <v>3</v>
      </c>
      <c r="I1903">
        <v>1</v>
      </c>
      <c r="J1903">
        <v>0.22</v>
      </c>
      <c r="K1903">
        <v>0.2273</v>
      </c>
      <c r="L1903">
        <v>0.47</v>
      </c>
      <c r="M1903">
        <v>0.16420000000000001</v>
      </c>
      <c r="N1903">
        <v>7</v>
      </c>
      <c r="O1903">
        <v>82</v>
      </c>
      <c r="P1903">
        <v>89</v>
      </c>
      <c r="Q1903">
        <v>111</v>
      </c>
      <c r="R1903">
        <v>112</v>
      </c>
    </row>
    <row r="1904" spans="1:18" x14ac:dyDescent="0.25">
      <c r="A1904">
        <v>113</v>
      </c>
      <c r="B1904" s="1">
        <v>40548</v>
      </c>
      <c r="C1904">
        <v>1</v>
      </c>
      <c r="D1904">
        <v>0</v>
      </c>
      <c r="E1904">
        <v>1</v>
      </c>
      <c r="F1904">
        <v>21</v>
      </c>
      <c r="G1904" t="b">
        <v>0</v>
      </c>
      <c r="H1904">
        <v>3</v>
      </c>
      <c r="I1904">
        <v>1</v>
      </c>
      <c r="J1904">
        <v>0.2</v>
      </c>
      <c r="K1904">
        <v>0.19700000000000001</v>
      </c>
      <c r="L1904">
        <v>0.51</v>
      </c>
      <c r="M1904">
        <v>0.19400000000000001</v>
      </c>
      <c r="N1904">
        <v>3</v>
      </c>
      <c r="O1904">
        <v>40</v>
      </c>
      <c r="P1904">
        <v>43</v>
      </c>
      <c r="Q1904">
        <v>112</v>
      </c>
      <c r="R1904">
        <v>113</v>
      </c>
    </row>
    <row r="1905" spans="1:18" x14ac:dyDescent="0.25">
      <c r="A1905">
        <v>114</v>
      </c>
      <c r="B1905" s="1">
        <v>40548</v>
      </c>
      <c r="C1905">
        <v>1</v>
      </c>
      <c r="D1905">
        <v>0</v>
      </c>
      <c r="E1905">
        <v>1</v>
      </c>
      <c r="F1905">
        <v>22</v>
      </c>
      <c r="G1905" t="b">
        <v>0</v>
      </c>
      <c r="H1905">
        <v>3</v>
      </c>
      <c r="I1905">
        <v>1</v>
      </c>
      <c r="J1905">
        <v>0.18</v>
      </c>
      <c r="K1905">
        <v>0.19700000000000001</v>
      </c>
      <c r="L1905">
        <v>0.55000000000000004</v>
      </c>
      <c r="M1905">
        <v>0.1343</v>
      </c>
      <c r="N1905">
        <v>1</v>
      </c>
      <c r="O1905">
        <v>41</v>
      </c>
      <c r="P1905">
        <v>42</v>
      </c>
      <c r="Q1905">
        <v>113</v>
      </c>
      <c r="R1905">
        <v>114</v>
      </c>
    </row>
    <row r="1906" spans="1:18" x14ac:dyDescent="0.25">
      <c r="A1906">
        <v>115</v>
      </c>
      <c r="B1906" s="1">
        <v>40548</v>
      </c>
      <c r="C1906">
        <v>1</v>
      </c>
      <c r="D1906">
        <v>0</v>
      </c>
      <c r="E1906">
        <v>1</v>
      </c>
      <c r="F1906">
        <v>23</v>
      </c>
      <c r="G1906" t="b">
        <v>0</v>
      </c>
      <c r="H1906">
        <v>3</v>
      </c>
      <c r="I1906">
        <v>1</v>
      </c>
      <c r="J1906">
        <v>0.2</v>
      </c>
      <c r="K1906">
        <v>0.2576</v>
      </c>
      <c r="L1906">
        <v>0.47</v>
      </c>
      <c r="M1906">
        <v>0</v>
      </c>
      <c r="N1906">
        <v>1</v>
      </c>
      <c r="O1906">
        <v>18</v>
      </c>
      <c r="P1906">
        <v>19</v>
      </c>
      <c r="Q1906">
        <v>114</v>
      </c>
      <c r="R1906">
        <v>115</v>
      </c>
    </row>
    <row r="1907" spans="1:18" x14ac:dyDescent="0.25">
      <c r="A1907">
        <v>116</v>
      </c>
      <c r="B1907" s="1">
        <v>40549</v>
      </c>
      <c r="C1907">
        <v>1</v>
      </c>
      <c r="D1907">
        <v>0</v>
      </c>
      <c r="E1907">
        <v>1</v>
      </c>
      <c r="F1907">
        <v>0</v>
      </c>
      <c r="G1907" t="b">
        <v>0</v>
      </c>
      <c r="H1907">
        <v>4</v>
      </c>
      <c r="I1907">
        <v>1</v>
      </c>
      <c r="J1907">
        <v>0.18</v>
      </c>
      <c r="K1907">
        <v>0.2424</v>
      </c>
      <c r="L1907">
        <v>0.55000000000000004</v>
      </c>
      <c r="M1907">
        <v>0</v>
      </c>
      <c r="N1907">
        <v>0</v>
      </c>
      <c r="O1907">
        <v>11</v>
      </c>
      <c r="P1907">
        <v>11</v>
      </c>
      <c r="Q1907">
        <v>115</v>
      </c>
      <c r="R1907">
        <v>116</v>
      </c>
    </row>
    <row r="1908" spans="1:18" x14ac:dyDescent="0.25">
      <c r="A1908">
        <v>117</v>
      </c>
      <c r="B1908" s="1">
        <v>40549</v>
      </c>
      <c r="C1908">
        <v>1</v>
      </c>
      <c r="D1908">
        <v>0</v>
      </c>
      <c r="E1908">
        <v>1</v>
      </c>
      <c r="F1908">
        <v>1</v>
      </c>
      <c r="G1908" t="b">
        <v>0</v>
      </c>
      <c r="H1908">
        <v>4</v>
      </c>
      <c r="I1908">
        <v>1</v>
      </c>
      <c r="J1908">
        <v>0.16</v>
      </c>
      <c r="K1908">
        <v>0.2273</v>
      </c>
      <c r="L1908">
        <v>0.64</v>
      </c>
      <c r="M1908">
        <v>0</v>
      </c>
      <c r="N1908">
        <v>0</v>
      </c>
      <c r="O1908">
        <v>4</v>
      </c>
      <c r="P1908">
        <v>4</v>
      </c>
      <c r="Q1908">
        <v>116</v>
      </c>
      <c r="R1908">
        <v>117</v>
      </c>
    </row>
    <row r="1909" spans="1:18" x14ac:dyDescent="0.25">
      <c r="A1909">
        <v>118</v>
      </c>
      <c r="B1909" s="1">
        <v>40549</v>
      </c>
      <c r="C1909">
        <v>1</v>
      </c>
      <c r="D1909">
        <v>0</v>
      </c>
      <c r="E1909">
        <v>1</v>
      </c>
      <c r="F1909">
        <v>2</v>
      </c>
      <c r="G1909" t="b">
        <v>0</v>
      </c>
      <c r="H1909">
        <v>4</v>
      </c>
      <c r="I1909">
        <v>1</v>
      </c>
      <c r="J1909">
        <v>0.16</v>
      </c>
      <c r="K1909">
        <v>0.2273</v>
      </c>
      <c r="L1909">
        <v>0.64</v>
      </c>
      <c r="M1909">
        <v>0</v>
      </c>
      <c r="N1909">
        <v>0</v>
      </c>
      <c r="O1909">
        <v>2</v>
      </c>
      <c r="P1909">
        <v>2</v>
      </c>
      <c r="Q1909">
        <v>117</v>
      </c>
      <c r="R1909">
        <v>118</v>
      </c>
    </row>
    <row r="1910" spans="1:18" x14ac:dyDescent="0.25">
      <c r="A1910">
        <v>119</v>
      </c>
      <c r="B1910" s="1">
        <v>40549</v>
      </c>
      <c r="C1910">
        <v>1</v>
      </c>
      <c r="D1910">
        <v>0</v>
      </c>
      <c r="E1910">
        <v>1</v>
      </c>
      <c r="F1910">
        <v>4</v>
      </c>
      <c r="G1910" t="b">
        <v>0</v>
      </c>
      <c r="H1910">
        <v>4</v>
      </c>
      <c r="I1910">
        <v>2</v>
      </c>
      <c r="J1910">
        <v>0.16</v>
      </c>
      <c r="K1910">
        <v>0.19700000000000001</v>
      </c>
      <c r="L1910">
        <v>0.64</v>
      </c>
      <c r="M1910">
        <v>8.9599999999999999E-2</v>
      </c>
      <c r="N1910">
        <v>0</v>
      </c>
      <c r="O1910">
        <v>1</v>
      </c>
      <c r="P1910">
        <v>1</v>
      </c>
      <c r="Q1910">
        <v>118</v>
      </c>
      <c r="R1910">
        <v>119</v>
      </c>
    </row>
    <row r="1911" spans="1:18" x14ac:dyDescent="0.25">
      <c r="A1911">
        <v>120</v>
      </c>
      <c r="B1911" s="1">
        <v>40549</v>
      </c>
      <c r="C1911">
        <v>1</v>
      </c>
      <c r="D1911">
        <v>0</v>
      </c>
      <c r="E1911">
        <v>1</v>
      </c>
      <c r="F1911">
        <v>5</v>
      </c>
      <c r="G1911" t="b">
        <v>0</v>
      </c>
      <c r="H1911">
        <v>4</v>
      </c>
      <c r="I1911">
        <v>2</v>
      </c>
      <c r="J1911">
        <v>0.14000000000000001</v>
      </c>
      <c r="K1911">
        <v>0.18179999999999999</v>
      </c>
      <c r="L1911">
        <v>0.69</v>
      </c>
      <c r="M1911">
        <v>8.9599999999999999E-2</v>
      </c>
      <c r="N1911">
        <v>0</v>
      </c>
      <c r="O1911">
        <v>4</v>
      </c>
      <c r="P1911">
        <v>4</v>
      </c>
      <c r="Q1911">
        <v>119</v>
      </c>
      <c r="R1911">
        <v>120</v>
      </c>
    </row>
    <row r="1912" spans="1:18" x14ac:dyDescent="0.25">
      <c r="A1912">
        <v>121</v>
      </c>
      <c r="B1912" s="1">
        <v>40549</v>
      </c>
      <c r="C1912">
        <v>1</v>
      </c>
      <c r="D1912">
        <v>0</v>
      </c>
      <c r="E1912">
        <v>1</v>
      </c>
      <c r="F1912">
        <v>6</v>
      </c>
      <c r="G1912" t="b">
        <v>0</v>
      </c>
      <c r="H1912">
        <v>4</v>
      </c>
      <c r="I1912">
        <v>2</v>
      </c>
      <c r="J1912">
        <v>0.14000000000000001</v>
      </c>
      <c r="K1912">
        <v>0.16669999999999999</v>
      </c>
      <c r="L1912">
        <v>0.63</v>
      </c>
      <c r="M1912">
        <v>0.1045</v>
      </c>
      <c r="N1912">
        <v>0</v>
      </c>
      <c r="O1912">
        <v>36</v>
      </c>
      <c r="P1912">
        <v>36</v>
      </c>
      <c r="Q1912">
        <v>120</v>
      </c>
      <c r="R1912">
        <v>121</v>
      </c>
    </row>
    <row r="1913" spans="1:18" x14ac:dyDescent="0.25">
      <c r="A1913">
        <v>122</v>
      </c>
      <c r="B1913" s="1">
        <v>40549</v>
      </c>
      <c r="C1913">
        <v>1</v>
      </c>
      <c r="D1913">
        <v>0</v>
      </c>
      <c r="E1913">
        <v>1</v>
      </c>
      <c r="F1913">
        <v>7</v>
      </c>
      <c r="G1913" t="b">
        <v>0</v>
      </c>
      <c r="H1913">
        <v>4</v>
      </c>
      <c r="I1913">
        <v>2</v>
      </c>
      <c r="J1913">
        <v>0.16</v>
      </c>
      <c r="K1913">
        <v>0.2273</v>
      </c>
      <c r="L1913">
        <v>0.59</v>
      </c>
      <c r="M1913">
        <v>0</v>
      </c>
      <c r="N1913">
        <v>0</v>
      </c>
      <c r="O1913">
        <v>95</v>
      </c>
      <c r="P1913">
        <v>95</v>
      </c>
      <c r="Q1913">
        <v>121</v>
      </c>
      <c r="R1913">
        <v>122</v>
      </c>
    </row>
    <row r="1914" spans="1:18" x14ac:dyDescent="0.25">
      <c r="A1914">
        <v>123</v>
      </c>
      <c r="B1914" s="1">
        <v>40549</v>
      </c>
      <c r="C1914">
        <v>1</v>
      </c>
      <c r="D1914">
        <v>0</v>
      </c>
      <c r="E1914">
        <v>1</v>
      </c>
      <c r="F1914">
        <v>8</v>
      </c>
      <c r="G1914" t="b">
        <v>0</v>
      </c>
      <c r="H1914">
        <v>4</v>
      </c>
      <c r="I1914">
        <v>1</v>
      </c>
      <c r="J1914">
        <v>0.16</v>
      </c>
      <c r="K1914">
        <v>0.2273</v>
      </c>
      <c r="L1914">
        <v>0.59</v>
      </c>
      <c r="M1914">
        <v>0</v>
      </c>
      <c r="N1914">
        <v>3</v>
      </c>
      <c r="O1914">
        <v>216</v>
      </c>
      <c r="P1914">
        <v>219</v>
      </c>
      <c r="Q1914">
        <v>122</v>
      </c>
      <c r="R1914">
        <v>123</v>
      </c>
    </row>
    <row r="1915" spans="1:18" x14ac:dyDescent="0.25">
      <c r="A1915">
        <v>124</v>
      </c>
      <c r="B1915" s="1">
        <v>40549</v>
      </c>
      <c r="C1915">
        <v>1</v>
      </c>
      <c r="D1915">
        <v>0</v>
      </c>
      <c r="E1915">
        <v>1</v>
      </c>
      <c r="F1915">
        <v>9</v>
      </c>
      <c r="G1915" t="b">
        <v>0</v>
      </c>
      <c r="H1915">
        <v>4</v>
      </c>
      <c r="I1915">
        <v>2</v>
      </c>
      <c r="J1915">
        <v>0.18</v>
      </c>
      <c r="K1915">
        <v>0.2424</v>
      </c>
      <c r="L1915">
        <v>0.51</v>
      </c>
      <c r="M1915">
        <v>0</v>
      </c>
      <c r="N1915">
        <v>6</v>
      </c>
      <c r="O1915">
        <v>116</v>
      </c>
      <c r="P1915">
        <v>122</v>
      </c>
      <c r="Q1915">
        <v>123</v>
      </c>
      <c r="R1915">
        <v>124</v>
      </c>
    </row>
    <row r="1916" spans="1:18" x14ac:dyDescent="0.25">
      <c r="A1916">
        <v>125</v>
      </c>
      <c r="B1916" s="1">
        <v>40549</v>
      </c>
      <c r="C1916">
        <v>1</v>
      </c>
      <c r="D1916">
        <v>0</v>
      </c>
      <c r="E1916">
        <v>1</v>
      </c>
      <c r="F1916">
        <v>10</v>
      </c>
      <c r="G1916" t="b">
        <v>0</v>
      </c>
      <c r="H1916">
        <v>4</v>
      </c>
      <c r="I1916">
        <v>1</v>
      </c>
      <c r="J1916">
        <v>0.2</v>
      </c>
      <c r="K1916">
        <v>0.2576</v>
      </c>
      <c r="L1916">
        <v>0.47</v>
      </c>
      <c r="M1916">
        <v>0</v>
      </c>
      <c r="N1916">
        <v>3</v>
      </c>
      <c r="O1916">
        <v>42</v>
      </c>
      <c r="P1916">
        <v>45</v>
      </c>
      <c r="Q1916">
        <v>124</v>
      </c>
      <c r="R1916">
        <v>125</v>
      </c>
    </row>
    <row r="1917" spans="1:18" x14ac:dyDescent="0.25">
      <c r="A1917">
        <v>126</v>
      </c>
      <c r="B1917" s="1">
        <v>40549</v>
      </c>
      <c r="C1917">
        <v>1</v>
      </c>
      <c r="D1917">
        <v>0</v>
      </c>
      <c r="E1917">
        <v>1</v>
      </c>
      <c r="F1917">
        <v>11</v>
      </c>
      <c r="G1917" t="b">
        <v>0</v>
      </c>
      <c r="H1917">
        <v>4</v>
      </c>
      <c r="I1917">
        <v>1</v>
      </c>
      <c r="J1917">
        <v>0.22</v>
      </c>
      <c r="K1917">
        <v>0.2576</v>
      </c>
      <c r="L1917">
        <v>0.44</v>
      </c>
      <c r="M1917">
        <v>8.9599999999999999E-2</v>
      </c>
      <c r="N1917">
        <v>2</v>
      </c>
      <c r="O1917">
        <v>57</v>
      </c>
      <c r="P1917">
        <v>59</v>
      </c>
      <c r="Q1917">
        <v>125</v>
      </c>
      <c r="R1917">
        <v>126</v>
      </c>
    </row>
    <row r="1918" spans="1:18" x14ac:dyDescent="0.25">
      <c r="A1918">
        <v>127</v>
      </c>
      <c r="B1918" s="1">
        <v>40549</v>
      </c>
      <c r="C1918">
        <v>1</v>
      </c>
      <c r="D1918">
        <v>0</v>
      </c>
      <c r="E1918">
        <v>1</v>
      </c>
      <c r="F1918">
        <v>12</v>
      </c>
      <c r="G1918" t="b">
        <v>0</v>
      </c>
      <c r="H1918">
        <v>4</v>
      </c>
      <c r="I1918">
        <v>1</v>
      </c>
      <c r="J1918">
        <v>0.26</v>
      </c>
      <c r="K1918">
        <v>0.28789999999999999</v>
      </c>
      <c r="L1918">
        <v>0.35</v>
      </c>
      <c r="M1918">
        <v>0</v>
      </c>
      <c r="N1918">
        <v>6</v>
      </c>
      <c r="O1918">
        <v>78</v>
      </c>
      <c r="P1918">
        <v>84</v>
      </c>
      <c r="Q1918">
        <v>126</v>
      </c>
      <c r="R1918">
        <v>127</v>
      </c>
    </row>
    <row r="1919" spans="1:18" x14ac:dyDescent="0.25">
      <c r="A1919">
        <v>128</v>
      </c>
      <c r="B1919" s="1">
        <v>40549</v>
      </c>
      <c r="C1919">
        <v>1</v>
      </c>
      <c r="D1919">
        <v>0</v>
      </c>
      <c r="E1919">
        <v>1</v>
      </c>
      <c r="F1919">
        <v>13</v>
      </c>
      <c r="G1919" t="b">
        <v>0</v>
      </c>
      <c r="H1919">
        <v>4</v>
      </c>
      <c r="I1919">
        <v>1</v>
      </c>
      <c r="J1919">
        <v>0.26</v>
      </c>
      <c r="K1919">
        <v>0.2727</v>
      </c>
      <c r="L1919">
        <v>0.35</v>
      </c>
      <c r="M1919">
        <v>0.1045</v>
      </c>
      <c r="N1919">
        <v>12</v>
      </c>
      <c r="O1919">
        <v>55</v>
      </c>
      <c r="P1919">
        <v>67</v>
      </c>
      <c r="Q1919">
        <v>127</v>
      </c>
      <c r="R1919">
        <v>128</v>
      </c>
    </row>
    <row r="1920" spans="1:18" x14ac:dyDescent="0.25">
      <c r="A1920">
        <v>129</v>
      </c>
      <c r="B1920" s="1">
        <v>40549</v>
      </c>
      <c r="C1920">
        <v>1</v>
      </c>
      <c r="D1920">
        <v>0</v>
      </c>
      <c r="E1920">
        <v>1</v>
      </c>
      <c r="F1920">
        <v>14</v>
      </c>
      <c r="G1920" t="b">
        <v>0</v>
      </c>
      <c r="H1920">
        <v>4</v>
      </c>
      <c r="I1920">
        <v>1</v>
      </c>
      <c r="J1920">
        <v>0.28000000000000003</v>
      </c>
      <c r="K1920">
        <v>0.2727</v>
      </c>
      <c r="L1920">
        <v>0.36</v>
      </c>
      <c r="M1920">
        <v>0.16420000000000001</v>
      </c>
      <c r="N1920">
        <v>11</v>
      </c>
      <c r="O1920">
        <v>59</v>
      </c>
      <c r="P1920">
        <v>70</v>
      </c>
      <c r="Q1920">
        <v>128</v>
      </c>
      <c r="R1920">
        <v>129</v>
      </c>
    </row>
    <row r="1921" spans="1:18" x14ac:dyDescent="0.25">
      <c r="A1921">
        <v>130</v>
      </c>
      <c r="B1921" s="1">
        <v>40549</v>
      </c>
      <c r="C1921">
        <v>1</v>
      </c>
      <c r="D1921">
        <v>0</v>
      </c>
      <c r="E1921">
        <v>1</v>
      </c>
      <c r="F1921">
        <v>15</v>
      </c>
      <c r="G1921" t="b">
        <v>0</v>
      </c>
      <c r="H1921">
        <v>4</v>
      </c>
      <c r="I1921">
        <v>1</v>
      </c>
      <c r="J1921">
        <v>0.28000000000000003</v>
      </c>
      <c r="K1921">
        <v>0.2727</v>
      </c>
      <c r="L1921">
        <v>0.36</v>
      </c>
      <c r="M1921">
        <v>0</v>
      </c>
      <c r="N1921">
        <v>8</v>
      </c>
      <c r="O1921">
        <v>54</v>
      </c>
      <c r="P1921">
        <v>62</v>
      </c>
      <c r="Q1921">
        <v>129</v>
      </c>
      <c r="R1921">
        <v>130</v>
      </c>
    </row>
    <row r="1922" spans="1:18" x14ac:dyDescent="0.25">
      <c r="A1922">
        <v>131</v>
      </c>
      <c r="B1922" s="1">
        <v>40549</v>
      </c>
      <c r="C1922">
        <v>1</v>
      </c>
      <c r="D1922">
        <v>0</v>
      </c>
      <c r="E1922">
        <v>1</v>
      </c>
      <c r="F1922">
        <v>16</v>
      </c>
      <c r="G1922" t="b">
        <v>0</v>
      </c>
      <c r="H1922">
        <v>4</v>
      </c>
      <c r="I1922">
        <v>1</v>
      </c>
      <c r="J1922">
        <v>0.26</v>
      </c>
      <c r="K1922">
        <v>0.2576</v>
      </c>
      <c r="L1922">
        <v>0.38</v>
      </c>
      <c r="M1922">
        <v>0.16420000000000001</v>
      </c>
      <c r="N1922">
        <v>12</v>
      </c>
      <c r="O1922">
        <v>74</v>
      </c>
      <c r="P1922">
        <v>86</v>
      </c>
      <c r="Q1922">
        <v>130</v>
      </c>
      <c r="R1922">
        <v>131</v>
      </c>
    </row>
    <row r="1923" spans="1:18" x14ac:dyDescent="0.25">
      <c r="A1923">
        <v>132</v>
      </c>
      <c r="B1923" s="1">
        <v>40549</v>
      </c>
      <c r="C1923">
        <v>1</v>
      </c>
      <c r="D1923">
        <v>0</v>
      </c>
      <c r="E1923">
        <v>1</v>
      </c>
      <c r="F1923">
        <v>17</v>
      </c>
      <c r="G1923" t="b">
        <v>0</v>
      </c>
      <c r="H1923">
        <v>4</v>
      </c>
      <c r="I1923">
        <v>1</v>
      </c>
      <c r="J1923">
        <v>0.22</v>
      </c>
      <c r="K1923">
        <v>0.2273</v>
      </c>
      <c r="L1923">
        <v>0.51</v>
      </c>
      <c r="M1923">
        <v>0.16420000000000001</v>
      </c>
      <c r="N1923">
        <v>9</v>
      </c>
      <c r="O1923">
        <v>163</v>
      </c>
      <c r="P1923">
        <v>172</v>
      </c>
      <c r="Q1923">
        <v>131</v>
      </c>
      <c r="R1923">
        <v>132</v>
      </c>
    </row>
    <row r="1924" spans="1:18" x14ac:dyDescent="0.25">
      <c r="A1924">
        <v>133</v>
      </c>
      <c r="B1924" s="1">
        <v>40549</v>
      </c>
      <c r="C1924">
        <v>1</v>
      </c>
      <c r="D1924">
        <v>0</v>
      </c>
      <c r="E1924">
        <v>1</v>
      </c>
      <c r="F1924">
        <v>18</v>
      </c>
      <c r="G1924" t="b">
        <v>0</v>
      </c>
      <c r="H1924">
        <v>4</v>
      </c>
      <c r="I1924">
        <v>1</v>
      </c>
      <c r="J1924">
        <v>0.22</v>
      </c>
      <c r="K1924">
        <v>0.2273</v>
      </c>
      <c r="L1924">
        <v>0.51</v>
      </c>
      <c r="M1924">
        <v>0.1343</v>
      </c>
      <c r="N1924">
        <v>5</v>
      </c>
      <c r="O1924">
        <v>158</v>
      </c>
      <c r="P1924">
        <v>163</v>
      </c>
      <c r="Q1924">
        <v>132</v>
      </c>
      <c r="R1924">
        <v>133</v>
      </c>
    </row>
    <row r="1925" spans="1:18" x14ac:dyDescent="0.25">
      <c r="A1925">
        <v>134</v>
      </c>
      <c r="B1925" s="1">
        <v>40549</v>
      </c>
      <c r="C1925">
        <v>1</v>
      </c>
      <c r="D1925">
        <v>0</v>
      </c>
      <c r="E1925">
        <v>1</v>
      </c>
      <c r="F1925">
        <v>19</v>
      </c>
      <c r="G1925" t="b">
        <v>0</v>
      </c>
      <c r="H1925">
        <v>4</v>
      </c>
      <c r="I1925">
        <v>1</v>
      </c>
      <c r="J1925">
        <v>0.22</v>
      </c>
      <c r="K1925">
        <v>0.2576</v>
      </c>
      <c r="L1925">
        <v>0.55000000000000004</v>
      </c>
      <c r="M1925">
        <v>8.9599999999999999E-2</v>
      </c>
      <c r="N1925">
        <v>3</v>
      </c>
      <c r="O1925">
        <v>109</v>
      </c>
      <c r="P1925">
        <v>112</v>
      </c>
      <c r="Q1925">
        <v>133</v>
      </c>
      <c r="R1925">
        <v>134</v>
      </c>
    </row>
    <row r="1926" spans="1:18" x14ac:dyDescent="0.25">
      <c r="A1926">
        <v>135</v>
      </c>
      <c r="B1926" s="1">
        <v>40549</v>
      </c>
      <c r="C1926">
        <v>1</v>
      </c>
      <c r="D1926">
        <v>0</v>
      </c>
      <c r="E1926">
        <v>1</v>
      </c>
      <c r="F1926">
        <v>20</v>
      </c>
      <c r="G1926" t="b">
        <v>0</v>
      </c>
      <c r="H1926">
        <v>4</v>
      </c>
      <c r="I1926">
        <v>1</v>
      </c>
      <c r="J1926">
        <v>0.2</v>
      </c>
      <c r="K1926">
        <v>0.21210000000000001</v>
      </c>
      <c r="L1926">
        <v>0.51</v>
      </c>
      <c r="M1926">
        <v>0.16420000000000001</v>
      </c>
      <c r="N1926">
        <v>3</v>
      </c>
      <c r="O1926">
        <v>66</v>
      </c>
      <c r="P1926">
        <v>69</v>
      </c>
      <c r="Q1926">
        <v>134</v>
      </c>
      <c r="R1926">
        <v>135</v>
      </c>
    </row>
    <row r="1927" spans="1:18" x14ac:dyDescent="0.25">
      <c r="A1927">
        <v>136</v>
      </c>
      <c r="B1927" s="1">
        <v>40549</v>
      </c>
      <c r="C1927">
        <v>1</v>
      </c>
      <c r="D1927">
        <v>0</v>
      </c>
      <c r="E1927">
        <v>1</v>
      </c>
      <c r="F1927">
        <v>21</v>
      </c>
      <c r="G1927" t="b">
        <v>0</v>
      </c>
      <c r="H1927">
        <v>4</v>
      </c>
      <c r="I1927">
        <v>2</v>
      </c>
      <c r="J1927">
        <v>0.22</v>
      </c>
      <c r="K1927">
        <v>0.21210000000000001</v>
      </c>
      <c r="L1927">
        <v>0.55000000000000004</v>
      </c>
      <c r="M1927">
        <v>0.22389999999999999</v>
      </c>
      <c r="N1927">
        <v>0</v>
      </c>
      <c r="O1927">
        <v>48</v>
      </c>
      <c r="P1927">
        <v>48</v>
      </c>
      <c r="Q1927">
        <v>135</v>
      </c>
      <c r="R1927">
        <v>136</v>
      </c>
    </row>
    <row r="1928" spans="1:18" x14ac:dyDescent="0.25">
      <c r="A1928">
        <v>137</v>
      </c>
      <c r="B1928" s="1">
        <v>40549</v>
      </c>
      <c r="C1928">
        <v>1</v>
      </c>
      <c r="D1928">
        <v>0</v>
      </c>
      <c r="E1928">
        <v>1</v>
      </c>
      <c r="F1928">
        <v>22</v>
      </c>
      <c r="G1928" t="b">
        <v>0</v>
      </c>
      <c r="H1928">
        <v>4</v>
      </c>
      <c r="I1928">
        <v>2</v>
      </c>
      <c r="J1928">
        <v>0.22</v>
      </c>
      <c r="K1928">
        <v>0.21210000000000001</v>
      </c>
      <c r="L1928">
        <v>0.51</v>
      </c>
      <c r="M1928">
        <v>0.28360000000000002</v>
      </c>
      <c r="N1928">
        <v>1</v>
      </c>
      <c r="O1928">
        <v>51</v>
      </c>
      <c r="P1928">
        <v>52</v>
      </c>
      <c r="Q1928">
        <v>136</v>
      </c>
      <c r="R1928">
        <v>137</v>
      </c>
    </row>
    <row r="1929" spans="1:18" x14ac:dyDescent="0.25">
      <c r="A1929">
        <v>138</v>
      </c>
      <c r="B1929" s="1">
        <v>40549</v>
      </c>
      <c r="C1929">
        <v>1</v>
      </c>
      <c r="D1929">
        <v>0</v>
      </c>
      <c r="E1929">
        <v>1</v>
      </c>
      <c r="F1929">
        <v>23</v>
      </c>
      <c r="G1929" t="b">
        <v>0</v>
      </c>
      <c r="H1929">
        <v>4</v>
      </c>
      <c r="I1929">
        <v>2</v>
      </c>
      <c r="J1929">
        <v>0.2</v>
      </c>
      <c r="K1929">
        <v>0.19700000000000001</v>
      </c>
      <c r="L1929">
        <v>0.59</v>
      </c>
      <c r="M1929">
        <v>0.19400000000000001</v>
      </c>
      <c r="N1929">
        <v>4</v>
      </c>
      <c r="O1929">
        <v>19</v>
      </c>
      <c r="P1929">
        <v>23</v>
      </c>
      <c r="Q1929">
        <v>137</v>
      </c>
      <c r="R1929">
        <v>138</v>
      </c>
    </row>
    <row r="1930" spans="1:18" x14ac:dyDescent="0.25">
      <c r="A1930">
        <v>139</v>
      </c>
      <c r="B1930" s="1">
        <v>40550</v>
      </c>
      <c r="C1930">
        <v>1</v>
      </c>
      <c r="D1930">
        <v>0</v>
      </c>
      <c r="E1930">
        <v>1</v>
      </c>
      <c r="F1930">
        <v>0</v>
      </c>
      <c r="G1930" t="b">
        <v>0</v>
      </c>
      <c r="H1930">
        <v>5</v>
      </c>
      <c r="I1930">
        <v>2</v>
      </c>
      <c r="J1930">
        <v>0.2</v>
      </c>
      <c r="K1930">
        <v>0.19700000000000001</v>
      </c>
      <c r="L1930">
        <v>0.64</v>
      </c>
      <c r="M1930">
        <v>0.19400000000000001</v>
      </c>
      <c r="N1930">
        <v>4</v>
      </c>
      <c r="O1930">
        <v>13</v>
      </c>
      <c r="P1930">
        <v>17</v>
      </c>
      <c r="Q1930">
        <v>138</v>
      </c>
      <c r="R1930">
        <v>139</v>
      </c>
    </row>
    <row r="1931" spans="1:18" x14ac:dyDescent="0.25">
      <c r="A1931">
        <v>140</v>
      </c>
      <c r="B1931" s="1">
        <v>40550</v>
      </c>
      <c r="C1931">
        <v>1</v>
      </c>
      <c r="D1931">
        <v>0</v>
      </c>
      <c r="E1931">
        <v>1</v>
      </c>
      <c r="F1931">
        <v>1</v>
      </c>
      <c r="G1931" t="b">
        <v>0</v>
      </c>
      <c r="H1931">
        <v>5</v>
      </c>
      <c r="I1931">
        <v>2</v>
      </c>
      <c r="J1931">
        <v>0.2</v>
      </c>
      <c r="K1931">
        <v>0.19700000000000001</v>
      </c>
      <c r="L1931">
        <v>0.69</v>
      </c>
      <c r="M1931">
        <v>0.22389999999999999</v>
      </c>
      <c r="N1931">
        <v>2</v>
      </c>
      <c r="O1931">
        <v>5</v>
      </c>
      <c r="P1931">
        <v>7</v>
      </c>
      <c r="Q1931">
        <v>139</v>
      </c>
      <c r="R1931">
        <v>140</v>
      </c>
    </row>
    <row r="1932" spans="1:18" x14ac:dyDescent="0.25">
      <c r="A1932">
        <v>141</v>
      </c>
      <c r="B1932" s="1">
        <v>40550</v>
      </c>
      <c r="C1932">
        <v>1</v>
      </c>
      <c r="D1932">
        <v>0</v>
      </c>
      <c r="E1932">
        <v>1</v>
      </c>
      <c r="F1932">
        <v>2</v>
      </c>
      <c r="G1932" t="b">
        <v>0</v>
      </c>
      <c r="H1932">
        <v>5</v>
      </c>
      <c r="I1932">
        <v>2</v>
      </c>
      <c r="J1932">
        <v>0.2</v>
      </c>
      <c r="K1932">
        <v>0.19700000000000001</v>
      </c>
      <c r="L1932">
        <v>0.69</v>
      </c>
      <c r="M1932">
        <v>0.22389999999999999</v>
      </c>
      <c r="N1932">
        <v>0</v>
      </c>
      <c r="O1932">
        <v>1</v>
      </c>
      <c r="P1932">
        <v>1</v>
      </c>
      <c r="Q1932">
        <v>140</v>
      </c>
      <c r="R1932">
        <v>141</v>
      </c>
    </row>
    <row r="1933" spans="1:18" x14ac:dyDescent="0.25">
      <c r="A1933">
        <v>142</v>
      </c>
      <c r="B1933" s="1">
        <v>40550</v>
      </c>
      <c r="C1933">
        <v>1</v>
      </c>
      <c r="D1933">
        <v>0</v>
      </c>
      <c r="E1933">
        <v>1</v>
      </c>
      <c r="F1933">
        <v>4</v>
      </c>
      <c r="G1933" t="b">
        <v>0</v>
      </c>
      <c r="H1933">
        <v>5</v>
      </c>
      <c r="I1933">
        <v>2</v>
      </c>
      <c r="J1933">
        <v>0.2</v>
      </c>
      <c r="K1933">
        <v>0.21210000000000001</v>
      </c>
      <c r="L1933">
        <v>0.69</v>
      </c>
      <c r="M1933">
        <v>0.1343</v>
      </c>
      <c r="N1933">
        <v>0</v>
      </c>
      <c r="O1933">
        <v>1</v>
      </c>
      <c r="P1933">
        <v>1</v>
      </c>
      <c r="Q1933">
        <v>141</v>
      </c>
      <c r="R1933">
        <v>142</v>
      </c>
    </row>
    <row r="1934" spans="1:18" x14ac:dyDescent="0.25">
      <c r="A1934">
        <v>143</v>
      </c>
      <c r="B1934" s="1">
        <v>40550</v>
      </c>
      <c r="C1934">
        <v>1</v>
      </c>
      <c r="D1934">
        <v>0</v>
      </c>
      <c r="E1934">
        <v>1</v>
      </c>
      <c r="F1934">
        <v>5</v>
      </c>
      <c r="G1934" t="b">
        <v>0</v>
      </c>
      <c r="H1934">
        <v>5</v>
      </c>
      <c r="I1934">
        <v>3</v>
      </c>
      <c r="J1934">
        <v>0.22</v>
      </c>
      <c r="K1934">
        <v>0.2727</v>
      </c>
      <c r="L1934">
        <v>0.55000000000000004</v>
      </c>
      <c r="M1934">
        <v>0</v>
      </c>
      <c r="N1934">
        <v>0</v>
      </c>
      <c r="O1934">
        <v>5</v>
      </c>
      <c r="P1934">
        <v>5</v>
      </c>
      <c r="Q1934">
        <v>142</v>
      </c>
      <c r="R1934">
        <v>143</v>
      </c>
    </row>
    <row r="1935" spans="1:18" x14ac:dyDescent="0.25">
      <c r="A1935">
        <v>144</v>
      </c>
      <c r="B1935" s="1">
        <v>40550</v>
      </c>
      <c r="C1935">
        <v>1</v>
      </c>
      <c r="D1935">
        <v>0</v>
      </c>
      <c r="E1935">
        <v>1</v>
      </c>
      <c r="F1935">
        <v>6</v>
      </c>
      <c r="G1935" t="b">
        <v>0</v>
      </c>
      <c r="H1935">
        <v>5</v>
      </c>
      <c r="I1935">
        <v>2</v>
      </c>
      <c r="J1935">
        <v>0.2</v>
      </c>
      <c r="K1935">
        <v>0.2576</v>
      </c>
      <c r="L1935">
        <v>0.69</v>
      </c>
      <c r="M1935">
        <v>0</v>
      </c>
      <c r="N1935">
        <v>8</v>
      </c>
      <c r="O1935">
        <v>26</v>
      </c>
      <c r="P1935">
        <v>34</v>
      </c>
      <c r="Q1935">
        <v>143</v>
      </c>
      <c r="R1935">
        <v>144</v>
      </c>
    </row>
    <row r="1936" spans="1:18" x14ac:dyDescent="0.25">
      <c r="A1936">
        <v>145</v>
      </c>
      <c r="B1936" s="1">
        <v>40550</v>
      </c>
      <c r="C1936">
        <v>1</v>
      </c>
      <c r="D1936">
        <v>0</v>
      </c>
      <c r="E1936">
        <v>1</v>
      </c>
      <c r="F1936">
        <v>7</v>
      </c>
      <c r="G1936" t="b">
        <v>0</v>
      </c>
      <c r="H1936">
        <v>5</v>
      </c>
      <c r="I1936">
        <v>1</v>
      </c>
      <c r="J1936">
        <v>0.2</v>
      </c>
      <c r="K1936">
        <v>0.21210000000000001</v>
      </c>
      <c r="L1936">
        <v>0.69</v>
      </c>
      <c r="M1936">
        <v>0.1343</v>
      </c>
      <c r="N1936">
        <v>8</v>
      </c>
      <c r="O1936">
        <v>76</v>
      </c>
      <c r="P1936">
        <v>84</v>
      </c>
      <c r="Q1936">
        <v>144</v>
      </c>
      <c r="R1936">
        <v>145</v>
      </c>
    </row>
    <row r="1937" spans="1:18" x14ac:dyDescent="0.25">
      <c r="A1937">
        <v>146</v>
      </c>
      <c r="B1937" s="1">
        <v>40550</v>
      </c>
      <c r="C1937">
        <v>1</v>
      </c>
      <c r="D1937">
        <v>0</v>
      </c>
      <c r="E1937">
        <v>1</v>
      </c>
      <c r="F1937">
        <v>8</v>
      </c>
      <c r="G1937" t="b">
        <v>0</v>
      </c>
      <c r="H1937">
        <v>5</v>
      </c>
      <c r="I1937">
        <v>1</v>
      </c>
      <c r="J1937">
        <v>0.2</v>
      </c>
      <c r="K1937">
        <v>0.19700000000000001</v>
      </c>
      <c r="L1937">
        <v>0.51</v>
      </c>
      <c r="M1937">
        <v>0.25369999999999998</v>
      </c>
      <c r="N1937">
        <v>20</v>
      </c>
      <c r="O1937">
        <v>190</v>
      </c>
      <c r="P1937">
        <v>210</v>
      </c>
      <c r="Q1937">
        <v>145</v>
      </c>
      <c r="R1937">
        <v>146</v>
      </c>
    </row>
    <row r="1938" spans="1:18" x14ac:dyDescent="0.25">
      <c r="A1938">
        <v>147</v>
      </c>
      <c r="B1938" s="1">
        <v>40550</v>
      </c>
      <c r="C1938">
        <v>1</v>
      </c>
      <c r="D1938">
        <v>0</v>
      </c>
      <c r="E1938">
        <v>1</v>
      </c>
      <c r="F1938">
        <v>9</v>
      </c>
      <c r="G1938" t="b">
        <v>0</v>
      </c>
      <c r="H1938">
        <v>5</v>
      </c>
      <c r="I1938">
        <v>1</v>
      </c>
      <c r="J1938">
        <v>0.2</v>
      </c>
      <c r="K1938">
        <v>0.18179999999999999</v>
      </c>
      <c r="L1938">
        <v>0.47</v>
      </c>
      <c r="M1938">
        <v>0.29849999999999999</v>
      </c>
      <c r="N1938">
        <v>9</v>
      </c>
      <c r="O1938">
        <v>125</v>
      </c>
      <c r="P1938">
        <v>134</v>
      </c>
      <c r="Q1938">
        <v>146</v>
      </c>
      <c r="R1938">
        <v>147</v>
      </c>
    </row>
    <row r="1939" spans="1:18" x14ac:dyDescent="0.25">
      <c r="A1939">
        <v>148</v>
      </c>
      <c r="B1939" s="1">
        <v>40550</v>
      </c>
      <c r="C1939">
        <v>1</v>
      </c>
      <c r="D1939">
        <v>0</v>
      </c>
      <c r="E1939">
        <v>1</v>
      </c>
      <c r="F1939">
        <v>10</v>
      </c>
      <c r="G1939" t="b">
        <v>0</v>
      </c>
      <c r="H1939">
        <v>5</v>
      </c>
      <c r="I1939">
        <v>1</v>
      </c>
      <c r="J1939">
        <v>0.22</v>
      </c>
      <c r="K1939">
        <v>0.19700000000000001</v>
      </c>
      <c r="L1939">
        <v>0.37</v>
      </c>
      <c r="M1939">
        <v>0.32840000000000003</v>
      </c>
      <c r="N1939">
        <v>16</v>
      </c>
      <c r="O1939">
        <v>47</v>
      </c>
      <c r="P1939">
        <v>63</v>
      </c>
      <c r="Q1939">
        <v>147</v>
      </c>
      <c r="R1939">
        <v>148</v>
      </c>
    </row>
    <row r="1940" spans="1:18" x14ac:dyDescent="0.25">
      <c r="A1940">
        <v>149</v>
      </c>
      <c r="B1940" s="1">
        <v>40550</v>
      </c>
      <c r="C1940">
        <v>1</v>
      </c>
      <c r="D1940">
        <v>0</v>
      </c>
      <c r="E1940">
        <v>1</v>
      </c>
      <c r="F1940">
        <v>11</v>
      </c>
      <c r="G1940" t="b">
        <v>0</v>
      </c>
      <c r="H1940">
        <v>5</v>
      </c>
      <c r="I1940">
        <v>2</v>
      </c>
      <c r="J1940">
        <v>0.2</v>
      </c>
      <c r="K1940">
        <v>0.19700000000000001</v>
      </c>
      <c r="L1940">
        <v>0.4</v>
      </c>
      <c r="M1940">
        <v>0.22389999999999999</v>
      </c>
      <c r="N1940">
        <v>19</v>
      </c>
      <c r="O1940">
        <v>48</v>
      </c>
      <c r="P1940">
        <v>67</v>
      </c>
      <c r="Q1940">
        <v>148</v>
      </c>
      <c r="R1940">
        <v>149</v>
      </c>
    </row>
    <row r="1941" spans="1:18" x14ac:dyDescent="0.25">
      <c r="A1941">
        <v>150</v>
      </c>
      <c r="B1941" s="1">
        <v>40550</v>
      </c>
      <c r="C1941">
        <v>1</v>
      </c>
      <c r="D1941">
        <v>0</v>
      </c>
      <c r="E1941">
        <v>1</v>
      </c>
      <c r="F1941">
        <v>12</v>
      </c>
      <c r="G1941" t="b">
        <v>0</v>
      </c>
      <c r="H1941">
        <v>5</v>
      </c>
      <c r="I1941">
        <v>2</v>
      </c>
      <c r="J1941">
        <v>0.2</v>
      </c>
      <c r="K1941">
        <v>0.19700000000000001</v>
      </c>
      <c r="L1941">
        <v>0.37</v>
      </c>
      <c r="M1941">
        <v>0.25369999999999998</v>
      </c>
      <c r="N1941">
        <v>9</v>
      </c>
      <c r="O1941">
        <v>50</v>
      </c>
      <c r="P1941">
        <v>59</v>
      </c>
      <c r="Q1941">
        <v>149</v>
      </c>
      <c r="R1941">
        <v>150</v>
      </c>
    </row>
    <row r="1942" spans="1:18" x14ac:dyDescent="0.25">
      <c r="A1942">
        <v>151</v>
      </c>
      <c r="B1942" s="1">
        <v>40550</v>
      </c>
      <c r="C1942">
        <v>1</v>
      </c>
      <c r="D1942">
        <v>0</v>
      </c>
      <c r="E1942">
        <v>1</v>
      </c>
      <c r="F1942">
        <v>13</v>
      </c>
      <c r="G1942" t="b">
        <v>0</v>
      </c>
      <c r="H1942">
        <v>5</v>
      </c>
      <c r="I1942">
        <v>2</v>
      </c>
      <c r="J1942">
        <v>0.2</v>
      </c>
      <c r="K1942">
        <v>0.18179999999999999</v>
      </c>
      <c r="L1942">
        <v>0.37</v>
      </c>
      <c r="M1942">
        <v>0.28360000000000002</v>
      </c>
      <c r="N1942">
        <v>9</v>
      </c>
      <c r="O1942">
        <v>64</v>
      </c>
      <c r="P1942">
        <v>73</v>
      </c>
      <c r="Q1942">
        <v>150</v>
      </c>
      <c r="R1942">
        <v>151</v>
      </c>
    </row>
    <row r="1943" spans="1:18" x14ac:dyDescent="0.25">
      <c r="A1943">
        <v>152</v>
      </c>
      <c r="B1943" s="1">
        <v>40550</v>
      </c>
      <c r="C1943">
        <v>1</v>
      </c>
      <c r="D1943">
        <v>0</v>
      </c>
      <c r="E1943">
        <v>1</v>
      </c>
      <c r="F1943">
        <v>14</v>
      </c>
      <c r="G1943" t="b">
        <v>0</v>
      </c>
      <c r="H1943">
        <v>5</v>
      </c>
      <c r="I1943">
        <v>2</v>
      </c>
      <c r="J1943">
        <v>0.2</v>
      </c>
      <c r="K1943">
        <v>0.19700000000000001</v>
      </c>
      <c r="L1943">
        <v>0.4</v>
      </c>
      <c r="M1943">
        <v>0.25369999999999998</v>
      </c>
      <c r="N1943">
        <v>7</v>
      </c>
      <c r="O1943">
        <v>43</v>
      </c>
      <c r="P1943">
        <v>50</v>
      </c>
      <c r="Q1943">
        <v>151</v>
      </c>
      <c r="R1943">
        <v>152</v>
      </c>
    </row>
    <row r="1944" spans="1:18" x14ac:dyDescent="0.25">
      <c r="A1944">
        <v>153</v>
      </c>
      <c r="B1944" s="1">
        <v>40550</v>
      </c>
      <c r="C1944">
        <v>1</v>
      </c>
      <c r="D1944">
        <v>0</v>
      </c>
      <c r="E1944">
        <v>1</v>
      </c>
      <c r="F1944">
        <v>15</v>
      </c>
      <c r="G1944" t="b">
        <v>0</v>
      </c>
      <c r="H1944">
        <v>5</v>
      </c>
      <c r="I1944">
        <v>2</v>
      </c>
      <c r="J1944">
        <v>0.2</v>
      </c>
      <c r="K1944">
        <v>0.21210000000000001</v>
      </c>
      <c r="L1944">
        <v>0.37</v>
      </c>
      <c r="M1944">
        <v>0.16420000000000001</v>
      </c>
      <c r="N1944">
        <v>9</v>
      </c>
      <c r="O1944">
        <v>63</v>
      </c>
      <c r="P1944">
        <v>72</v>
      </c>
      <c r="Q1944">
        <v>152</v>
      </c>
      <c r="R1944">
        <v>153</v>
      </c>
    </row>
    <row r="1945" spans="1:18" x14ac:dyDescent="0.25">
      <c r="A1945">
        <v>154</v>
      </c>
      <c r="B1945" s="1">
        <v>40550</v>
      </c>
      <c r="C1945">
        <v>1</v>
      </c>
      <c r="D1945">
        <v>0</v>
      </c>
      <c r="E1945">
        <v>1</v>
      </c>
      <c r="F1945">
        <v>16</v>
      </c>
      <c r="G1945" t="b">
        <v>0</v>
      </c>
      <c r="H1945">
        <v>5</v>
      </c>
      <c r="I1945">
        <v>2</v>
      </c>
      <c r="J1945">
        <v>0.2</v>
      </c>
      <c r="K1945">
        <v>0.21210000000000001</v>
      </c>
      <c r="L1945">
        <v>0.37</v>
      </c>
      <c r="M1945">
        <v>0.16420000000000001</v>
      </c>
      <c r="N1945">
        <v>5</v>
      </c>
      <c r="O1945">
        <v>82</v>
      </c>
      <c r="P1945">
        <v>87</v>
      </c>
      <c r="Q1945">
        <v>153</v>
      </c>
      <c r="R1945">
        <v>154</v>
      </c>
    </row>
    <row r="1946" spans="1:18" x14ac:dyDescent="0.25">
      <c r="A1946">
        <v>155</v>
      </c>
      <c r="B1946" s="1">
        <v>40550</v>
      </c>
      <c r="C1946">
        <v>1</v>
      </c>
      <c r="D1946">
        <v>0</v>
      </c>
      <c r="E1946">
        <v>1</v>
      </c>
      <c r="F1946">
        <v>17</v>
      </c>
      <c r="G1946" t="b">
        <v>0</v>
      </c>
      <c r="H1946">
        <v>5</v>
      </c>
      <c r="I1946">
        <v>2</v>
      </c>
      <c r="J1946">
        <v>0.2</v>
      </c>
      <c r="K1946">
        <v>0.2576</v>
      </c>
      <c r="L1946">
        <v>0.37</v>
      </c>
      <c r="M1946">
        <v>0</v>
      </c>
      <c r="N1946">
        <v>9</v>
      </c>
      <c r="O1946">
        <v>178</v>
      </c>
      <c r="P1946">
        <v>187</v>
      </c>
      <c r="Q1946">
        <v>154</v>
      </c>
      <c r="R1946">
        <v>155</v>
      </c>
    </row>
    <row r="1947" spans="1:18" x14ac:dyDescent="0.25">
      <c r="A1947">
        <v>156</v>
      </c>
      <c r="B1947" s="1">
        <v>40550</v>
      </c>
      <c r="C1947">
        <v>1</v>
      </c>
      <c r="D1947">
        <v>0</v>
      </c>
      <c r="E1947">
        <v>1</v>
      </c>
      <c r="F1947">
        <v>18</v>
      </c>
      <c r="G1947" t="b">
        <v>0</v>
      </c>
      <c r="H1947">
        <v>5</v>
      </c>
      <c r="I1947">
        <v>1</v>
      </c>
      <c r="J1947">
        <v>0.2</v>
      </c>
      <c r="K1947">
        <v>0.2273</v>
      </c>
      <c r="L1947">
        <v>0.4</v>
      </c>
      <c r="M1947">
        <v>8.9599999999999999E-2</v>
      </c>
      <c r="N1947">
        <v>7</v>
      </c>
      <c r="O1947">
        <v>116</v>
      </c>
      <c r="P1947">
        <v>123</v>
      </c>
      <c r="Q1947">
        <v>155</v>
      </c>
      <c r="R1947">
        <v>156</v>
      </c>
    </row>
    <row r="1948" spans="1:18" x14ac:dyDescent="0.25">
      <c r="A1948">
        <v>157</v>
      </c>
      <c r="B1948" s="1">
        <v>40550</v>
      </c>
      <c r="C1948">
        <v>1</v>
      </c>
      <c r="D1948">
        <v>0</v>
      </c>
      <c r="E1948">
        <v>1</v>
      </c>
      <c r="F1948">
        <v>19</v>
      </c>
      <c r="G1948" t="b">
        <v>0</v>
      </c>
      <c r="H1948">
        <v>5</v>
      </c>
      <c r="I1948">
        <v>1</v>
      </c>
      <c r="J1948">
        <v>0.16</v>
      </c>
      <c r="K1948">
        <v>0.19700000000000001</v>
      </c>
      <c r="L1948">
        <v>0.55000000000000004</v>
      </c>
      <c r="M1948">
        <v>8.9599999999999999E-2</v>
      </c>
      <c r="N1948">
        <v>3</v>
      </c>
      <c r="O1948">
        <v>92</v>
      </c>
      <c r="P1948">
        <v>95</v>
      </c>
      <c r="Q1948">
        <v>156</v>
      </c>
      <c r="R1948">
        <v>157</v>
      </c>
    </row>
    <row r="1949" spans="1:18" x14ac:dyDescent="0.25">
      <c r="A1949">
        <v>158</v>
      </c>
      <c r="B1949" s="1">
        <v>40550</v>
      </c>
      <c r="C1949">
        <v>1</v>
      </c>
      <c r="D1949">
        <v>0</v>
      </c>
      <c r="E1949">
        <v>1</v>
      </c>
      <c r="F1949">
        <v>20</v>
      </c>
      <c r="G1949" t="b">
        <v>0</v>
      </c>
      <c r="H1949">
        <v>5</v>
      </c>
      <c r="I1949">
        <v>1</v>
      </c>
      <c r="J1949">
        <v>0.18</v>
      </c>
      <c r="K1949">
        <v>0.21210000000000001</v>
      </c>
      <c r="L1949">
        <v>0.47</v>
      </c>
      <c r="M1949">
        <v>0.1045</v>
      </c>
      <c r="N1949">
        <v>1</v>
      </c>
      <c r="O1949">
        <v>50</v>
      </c>
      <c r="P1949">
        <v>51</v>
      </c>
      <c r="Q1949">
        <v>157</v>
      </c>
      <c r="R1949">
        <v>158</v>
      </c>
    </row>
    <row r="1950" spans="1:18" x14ac:dyDescent="0.25">
      <c r="A1950">
        <v>159</v>
      </c>
      <c r="B1950" s="1">
        <v>40550</v>
      </c>
      <c r="C1950">
        <v>1</v>
      </c>
      <c r="D1950">
        <v>0</v>
      </c>
      <c r="E1950">
        <v>1</v>
      </c>
      <c r="F1950">
        <v>21</v>
      </c>
      <c r="G1950" t="b">
        <v>0</v>
      </c>
      <c r="H1950">
        <v>5</v>
      </c>
      <c r="I1950">
        <v>1</v>
      </c>
      <c r="J1950">
        <v>0.18</v>
      </c>
      <c r="K1950">
        <v>0.19700000000000001</v>
      </c>
      <c r="L1950">
        <v>0.47</v>
      </c>
      <c r="M1950">
        <v>0.1343</v>
      </c>
      <c r="N1950">
        <v>0</v>
      </c>
      <c r="O1950">
        <v>39</v>
      </c>
      <c r="P1950">
        <v>39</v>
      </c>
      <c r="Q1950">
        <v>158</v>
      </c>
      <c r="R1950">
        <v>159</v>
      </c>
    </row>
    <row r="1951" spans="1:18" x14ac:dyDescent="0.25">
      <c r="A1951">
        <v>160</v>
      </c>
      <c r="B1951" s="1">
        <v>40550</v>
      </c>
      <c r="C1951">
        <v>1</v>
      </c>
      <c r="D1951">
        <v>0</v>
      </c>
      <c r="E1951">
        <v>1</v>
      </c>
      <c r="F1951">
        <v>22</v>
      </c>
      <c r="G1951" t="b">
        <v>0</v>
      </c>
      <c r="H1951">
        <v>5</v>
      </c>
      <c r="I1951">
        <v>2</v>
      </c>
      <c r="J1951">
        <v>0.18</v>
      </c>
      <c r="K1951">
        <v>0.19700000000000001</v>
      </c>
      <c r="L1951">
        <v>0.43</v>
      </c>
      <c r="M1951">
        <v>0.16420000000000001</v>
      </c>
      <c r="N1951">
        <v>2</v>
      </c>
      <c r="O1951">
        <v>34</v>
      </c>
      <c r="P1951">
        <v>36</v>
      </c>
      <c r="Q1951">
        <v>159</v>
      </c>
      <c r="R1951">
        <v>160</v>
      </c>
    </row>
    <row r="1952" spans="1:18" x14ac:dyDescent="0.25">
      <c r="A1952">
        <v>161</v>
      </c>
      <c r="B1952" s="1">
        <v>40550</v>
      </c>
      <c r="C1952">
        <v>1</v>
      </c>
      <c r="D1952">
        <v>0</v>
      </c>
      <c r="E1952">
        <v>1</v>
      </c>
      <c r="F1952">
        <v>23</v>
      </c>
      <c r="G1952" t="b">
        <v>0</v>
      </c>
      <c r="H1952">
        <v>5</v>
      </c>
      <c r="I1952">
        <v>2</v>
      </c>
      <c r="J1952">
        <v>0.18</v>
      </c>
      <c r="K1952">
        <v>0.19700000000000001</v>
      </c>
      <c r="L1952">
        <v>0.51</v>
      </c>
      <c r="M1952">
        <v>0.16420000000000001</v>
      </c>
      <c r="N1952">
        <v>1</v>
      </c>
      <c r="O1952">
        <v>14</v>
      </c>
      <c r="P1952">
        <v>15</v>
      </c>
      <c r="Q1952">
        <v>160</v>
      </c>
      <c r="R1952">
        <v>161</v>
      </c>
    </row>
    <row r="1953" spans="1:18" x14ac:dyDescent="0.25">
      <c r="A1953">
        <v>162</v>
      </c>
      <c r="B1953" s="1">
        <v>40551</v>
      </c>
      <c r="C1953">
        <v>1</v>
      </c>
      <c r="D1953">
        <v>0</v>
      </c>
      <c r="E1953">
        <v>1</v>
      </c>
      <c r="F1953">
        <v>0</v>
      </c>
      <c r="G1953" t="b">
        <v>0</v>
      </c>
      <c r="H1953">
        <v>6</v>
      </c>
      <c r="I1953">
        <v>2</v>
      </c>
      <c r="J1953">
        <v>0.18</v>
      </c>
      <c r="K1953">
        <v>0.19700000000000001</v>
      </c>
      <c r="L1953">
        <v>0.51</v>
      </c>
      <c r="M1953">
        <v>0.16420000000000001</v>
      </c>
      <c r="N1953">
        <v>1</v>
      </c>
      <c r="O1953">
        <v>24</v>
      </c>
      <c r="P1953">
        <v>25</v>
      </c>
      <c r="Q1953">
        <v>161</v>
      </c>
      <c r="R1953">
        <v>162</v>
      </c>
    </row>
    <row r="1954" spans="1:18" x14ac:dyDescent="0.25">
      <c r="A1954">
        <v>163</v>
      </c>
      <c r="B1954" s="1">
        <v>40551</v>
      </c>
      <c r="C1954">
        <v>1</v>
      </c>
      <c r="D1954">
        <v>0</v>
      </c>
      <c r="E1954">
        <v>1</v>
      </c>
      <c r="F1954">
        <v>1</v>
      </c>
      <c r="G1954" t="b">
        <v>0</v>
      </c>
      <c r="H1954">
        <v>6</v>
      </c>
      <c r="I1954">
        <v>2</v>
      </c>
      <c r="J1954">
        <v>0.18</v>
      </c>
      <c r="K1954">
        <v>0.21210000000000001</v>
      </c>
      <c r="L1954">
        <v>0.55000000000000004</v>
      </c>
      <c r="M1954">
        <v>8.9599999999999999E-2</v>
      </c>
      <c r="N1954">
        <v>1</v>
      </c>
      <c r="O1954">
        <v>15</v>
      </c>
      <c r="P1954">
        <v>16</v>
      </c>
      <c r="Q1954">
        <v>162</v>
      </c>
      <c r="R1954">
        <v>163</v>
      </c>
    </row>
    <row r="1955" spans="1:18" x14ac:dyDescent="0.25">
      <c r="A1955">
        <v>164</v>
      </c>
      <c r="B1955" s="1">
        <v>40551</v>
      </c>
      <c r="C1955">
        <v>1</v>
      </c>
      <c r="D1955">
        <v>0</v>
      </c>
      <c r="E1955">
        <v>1</v>
      </c>
      <c r="F1955">
        <v>2</v>
      </c>
      <c r="G1955" t="b">
        <v>0</v>
      </c>
      <c r="H1955">
        <v>6</v>
      </c>
      <c r="I1955">
        <v>2</v>
      </c>
      <c r="J1955">
        <v>0.18</v>
      </c>
      <c r="K1955">
        <v>0.2424</v>
      </c>
      <c r="L1955">
        <v>0.55000000000000004</v>
      </c>
      <c r="M1955">
        <v>0</v>
      </c>
      <c r="N1955">
        <v>3</v>
      </c>
      <c r="O1955">
        <v>13</v>
      </c>
      <c r="P1955">
        <v>16</v>
      </c>
      <c r="Q1955">
        <v>163</v>
      </c>
      <c r="R1955">
        <v>164</v>
      </c>
    </row>
    <row r="1956" spans="1:18" x14ac:dyDescent="0.25">
      <c r="A1956">
        <v>165</v>
      </c>
      <c r="B1956" s="1">
        <v>40551</v>
      </c>
      <c r="C1956">
        <v>1</v>
      </c>
      <c r="D1956">
        <v>0</v>
      </c>
      <c r="E1956">
        <v>1</v>
      </c>
      <c r="F1956">
        <v>3</v>
      </c>
      <c r="G1956" t="b">
        <v>0</v>
      </c>
      <c r="H1956">
        <v>6</v>
      </c>
      <c r="I1956">
        <v>3</v>
      </c>
      <c r="J1956">
        <v>0.18</v>
      </c>
      <c r="K1956">
        <v>0.19700000000000001</v>
      </c>
      <c r="L1956">
        <v>0.55000000000000004</v>
      </c>
      <c r="M1956">
        <v>0.16420000000000001</v>
      </c>
      <c r="N1956">
        <v>0</v>
      </c>
      <c r="O1956">
        <v>7</v>
      </c>
      <c r="P1956">
        <v>7</v>
      </c>
      <c r="Q1956">
        <v>164</v>
      </c>
      <c r="R1956">
        <v>165</v>
      </c>
    </row>
    <row r="1957" spans="1:18" x14ac:dyDescent="0.25">
      <c r="A1957">
        <v>166</v>
      </c>
      <c r="B1957" s="1">
        <v>40551</v>
      </c>
      <c r="C1957">
        <v>1</v>
      </c>
      <c r="D1957">
        <v>0</v>
      </c>
      <c r="E1957">
        <v>1</v>
      </c>
      <c r="F1957">
        <v>4</v>
      </c>
      <c r="G1957" t="b">
        <v>0</v>
      </c>
      <c r="H1957">
        <v>6</v>
      </c>
      <c r="I1957">
        <v>3</v>
      </c>
      <c r="J1957">
        <v>0.18</v>
      </c>
      <c r="K1957">
        <v>0.19700000000000001</v>
      </c>
      <c r="L1957">
        <v>0.55000000000000004</v>
      </c>
      <c r="M1957">
        <v>0.16420000000000001</v>
      </c>
      <c r="N1957">
        <v>0</v>
      </c>
      <c r="O1957">
        <v>1</v>
      </c>
      <c r="P1957">
        <v>1</v>
      </c>
      <c r="Q1957">
        <v>165</v>
      </c>
      <c r="R1957">
        <v>166</v>
      </c>
    </row>
    <row r="1958" spans="1:18" x14ac:dyDescent="0.25">
      <c r="A1958">
        <v>167</v>
      </c>
      <c r="B1958" s="1">
        <v>40551</v>
      </c>
      <c r="C1958">
        <v>1</v>
      </c>
      <c r="D1958">
        <v>0</v>
      </c>
      <c r="E1958">
        <v>1</v>
      </c>
      <c r="F1958">
        <v>5</v>
      </c>
      <c r="G1958" t="b">
        <v>0</v>
      </c>
      <c r="H1958">
        <v>6</v>
      </c>
      <c r="I1958">
        <v>2</v>
      </c>
      <c r="J1958">
        <v>0.16</v>
      </c>
      <c r="K1958">
        <v>0.16669999999999999</v>
      </c>
      <c r="L1958">
        <v>0.74</v>
      </c>
      <c r="M1958">
        <v>0.16420000000000001</v>
      </c>
      <c r="N1958">
        <v>0</v>
      </c>
      <c r="O1958">
        <v>5</v>
      </c>
      <c r="P1958">
        <v>5</v>
      </c>
      <c r="Q1958">
        <v>166</v>
      </c>
      <c r="R1958">
        <v>167</v>
      </c>
    </row>
    <row r="1959" spans="1:18" x14ac:dyDescent="0.25">
      <c r="A1959">
        <v>168</v>
      </c>
      <c r="B1959" s="1">
        <v>40551</v>
      </c>
      <c r="C1959">
        <v>1</v>
      </c>
      <c r="D1959">
        <v>0</v>
      </c>
      <c r="E1959">
        <v>1</v>
      </c>
      <c r="F1959">
        <v>6</v>
      </c>
      <c r="G1959" t="b">
        <v>0</v>
      </c>
      <c r="H1959">
        <v>6</v>
      </c>
      <c r="I1959">
        <v>2</v>
      </c>
      <c r="J1959">
        <v>0.16</v>
      </c>
      <c r="K1959">
        <v>0.16669999999999999</v>
      </c>
      <c r="L1959">
        <v>0.74</v>
      </c>
      <c r="M1959">
        <v>0.16420000000000001</v>
      </c>
      <c r="N1959">
        <v>0</v>
      </c>
      <c r="O1959">
        <v>2</v>
      </c>
      <c r="P1959">
        <v>2</v>
      </c>
      <c r="Q1959">
        <v>167</v>
      </c>
      <c r="R1959">
        <v>168</v>
      </c>
    </row>
    <row r="1960" spans="1:18" x14ac:dyDescent="0.25">
      <c r="A1960">
        <v>169</v>
      </c>
      <c r="B1960" s="1">
        <v>40551</v>
      </c>
      <c r="C1960">
        <v>1</v>
      </c>
      <c r="D1960">
        <v>0</v>
      </c>
      <c r="E1960">
        <v>1</v>
      </c>
      <c r="F1960">
        <v>7</v>
      </c>
      <c r="G1960" t="b">
        <v>0</v>
      </c>
      <c r="H1960">
        <v>6</v>
      </c>
      <c r="I1960">
        <v>2</v>
      </c>
      <c r="J1960">
        <v>0.16</v>
      </c>
      <c r="K1960">
        <v>0.18179999999999999</v>
      </c>
      <c r="L1960">
        <v>0.74</v>
      </c>
      <c r="M1960">
        <v>0.1045</v>
      </c>
      <c r="N1960">
        <v>1</v>
      </c>
      <c r="O1960">
        <v>8</v>
      </c>
      <c r="P1960">
        <v>9</v>
      </c>
      <c r="Q1960">
        <v>168</v>
      </c>
      <c r="R1960">
        <v>169</v>
      </c>
    </row>
    <row r="1961" spans="1:18" x14ac:dyDescent="0.25">
      <c r="A1961">
        <v>170</v>
      </c>
      <c r="B1961" s="1">
        <v>40551</v>
      </c>
      <c r="C1961">
        <v>1</v>
      </c>
      <c r="D1961">
        <v>0</v>
      </c>
      <c r="E1961">
        <v>1</v>
      </c>
      <c r="F1961">
        <v>8</v>
      </c>
      <c r="G1961" t="b">
        <v>0</v>
      </c>
      <c r="H1961">
        <v>6</v>
      </c>
      <c r="I1961">
        <v>3</v>
      </c>
      <c r="J1961">
        <v>0.16</v>
      </c>
      <c r="K1961">
        <v>0.18179999999999999</v>
      </c>
      <c r="L1961">
        <v>0.93</v>
      </c>
      <c r="M1961">
        <v>0.1045</v>
      </c>
      <c r="N1961">
        <v>0</v>
      </c>
      <c r="O1961">
        <v>15</v>
      </c>
      <c r="P1961">
        <v>15</v>
      </c>
      <c r="Q1961">
        <v>169</v>
      </c>
      <c r="R1961">
        <v>170</v>
      </c>
    </row>
    <row r="1962" spans="1:18" x14ac:dyDescent="0.25">
      <c r="A1962">
        <v>171</v>
      </c>
      <c r="B1962" s="1">
        <v>40551</v>
      </c>
      <c r="C1962">
        <v>1</v>
      </c>
      <c r="D1962">
        <v>0</v>
      </c>
      <c r="E1962">
        <v>1</v>
      </c>
      <c r="F1962">
        <v>9</v>
      </c>
      <c r="G1962" t="b">
        <v>0</v>
      </c>
      <c r="H1962">
        <v>6</v>
      </c>
      <c r="I1962">
        <v>3</v>
      </c>
      <c r="J1962">
        <v>0.16</v>
      </c>
      <c r="K1962">
        <v>0.18179999999999999</v>
      </c>
      <c r="L1962">
        <v>0.93</v>
      </c>
      <c r="M1962">
        <v>0.1045</v>
      </c>
      <c r="N1962">
        <v>0</v>
      </c>
      <c r="O1962">
        <v>20</v>
      </c>
      <c r="P1962">
        <v>20</v>
      </c>
      <c r="Q1962">
        <v>170</v>
      </c>
      <c r="R1962">
        <v>171</v>
      </c>
    </row>
    <row r="1963" spans="1:18" x14ac:dyDescent="0.25">
      <c r="A1963">
        <v>172</v>
      </c>
      <c r="B1963" s="1">
        <v>40551</v>
      </c>
      <c r="C1963">
        <v>1</v>
      </c>
      <c r="D1963">
        <v>0</v>
      </c>
      <c r="E1963">
        <v>1</v>
      </c>
      <c r="F1963">
        <v>10</v>
      </c>
      <c r="G1963" t="b">
        <v>0</v>
      </c>
      <c r="H1963">
        <v>6</v>
      </c>
      <c r="I1963">
        <v>2</v>
      </c>
      <c r="J1963">
        <v>0.18</v>
      </c>
      <c r="K1963">
        <v>0.19700000000000001</v>
      </c>
      <c r="L1963">
        <v>0.8</v>
      </c>
      <c r="M1963">
        <v>0.16420000000000001</v>
      </c>
      <c r="N1963">
        <v>5</v>
      </c>
      <c r="O1963">
        <v>56</v>
      </c>
      <c r="P1963">
        <v>61</v>
      </c>
      <c r="Q1963">
        <v>171</v>
      </c>
      <c r="R1963">
        <v>172</v>
      </c>
    </row>
    <row r="1964" spans="1:18" x14ac:dyDescent="0.25">
      <c r="A1964">
        <v>173</v>
      </c>
      <c r="B1964" s="1">
        <v>40551</v>
      </c>
      <c r="C1964">
        <v>1</v>
      </c>
      <c r="D1964">
        <v>0</v>
      </c>
      <c r="E1964">
        <v>1</v>
      </c>
      <c r="F1964">
        <v>11</v>
      </c>
      <c r="G1964" t="b">
        <v>0</v>
      </c>
      <c r="H1964">
        <v>6</v>
      </c>
      <c r="I1964">
        <v>2</v>
      </c>
      <c r="J1964">
        <v>0.2</v>
      </c>
      <c r="K1964">
        <v>0.18179999999999999</v>
      </c>
      <c r="L1964">
        <v>0.69</v>
      </c>
      <c r="M1964">
        <v>0.3881</v>
      </c>
      <c r="N1964">
        <v>2</v>
      </c>
      <c r="O1964">
        <v>60</v>
      </c>
      <c r="P1964">
        <v>62</v>
      </c>
      <c r="Q1964">
        <v>172</v>
      </c>
      <c r="R1964">
        <v>173</v>
      </c>
    </row>
    <row r="1965" spans="1:18" x14ac:dyDescent="0.25">
      <c r="A1965">
        <v>174</v>
      </c>
      <c r="B1965" s="1">
        <v>40551</v>
      </c>
      <c r="C1965">
        <v>1</v>
      </c>
      <c r="D1965">
        <v>0</v>
      </c>
      <c r="E1965">
        <v>1</v>
      </c>
      <c r="F1965">
        <v>12</v>
      </c>
      <c r="G1965" t="b">
        <v>0</v>
      </c>
      <c r="H1965">
        <v>6</v>
      </c>
      <c r="I1965">
        <v>2</v>
      </c>
      <c r="J1965">
        <v>0.2</v>
      </c>
      <c r="K1965">
        <v>0.18179999999999999</v>
      </c>
      <c r="L1965">
        <v>0.59</v>
      </c>
      <c r="M1965">
        <v>0.35820000000000002</v>
      </c>
      <c r="N1965">
        <v>8</v>
      </c>
      <c r="O1965">
        <v>90</v>
      </c>
      <c r="P1965">
        <v>98</v>
      </c>
      <c r="Q1965">
        <v>173</v>
      </c>
      <c r="R1965">
        <v>174</v>
      </c>
    </row>
    <row r="1966" spans="1:18" x14ac:dyDescent="0.25">
      <c r="A1966">
        <v>175</v>
      </c>
      <c r="B1966" s="1">
        <v>40551</v>
      </c>
      <c r="C1966">
        <v>1</v>
      </c>
      <c r="D1966">
        <v>0</v>
      </c>
      <c r="E1966">
        <v>1</v>
      </c>
      <c r="F1966">
        <v>13</v>
      </c>
      <c r="G1966" t="b">
        <v>0</v>
      </c>
      <c r="H1966">
        <v>6</v>
      </c>
      <c r="I1966">
        <v>1</v>
      </c>
      <c r="J1966">
        <v>0.2</v>
      </c>
      <c r="K1966">
        <v>0.18179999999999999</v>
      </c>
      <c r="L1966">
        <v>0.44</v>
      </c>
      <c r="M1966">
        <v>0.32840000000000003</v>
      </c>
      <c r="N1966">
        <v>7</v>
      </c>
      <c r="O1966">
        <v>95</v>
      </c>
      <c r="P1966">
        <v>102</v>
      </c>
      <c r="Q1966">
        <v>174</v>
      </c>
      <c r="R1966">
        <v>175</v>
      </c>
    </row>
    <row r="1967" spans="1:18" x14ac:dyDescent="0.25">
      <c r="A1967">
        <v>176</v>
      </c>
      <c r="B1967" s="1">
        <v>40551</v>
      </c>
      <c r="C1967">
        <v>1</v>
      </c>
      <c r="D1967">
        <v>0</v>
      </c>
      <c r="E1967">
        <v>1</v>
      </c>
      <c r="F1967">
        <v>14</v>
      </c>
      <c r="G1967" t="b">
        <v>0</v>
      </c>
      <c r="H1967">
        <v>6</v>
      </c>
      <c r="I1967">
        <v>1</v>
      </c>
      <c r="J1967">
        <v>0.2</v>
      </c>
      <c r="K1967">
        <v>0.16669999999999999</v>
      </c>
      <c r="L1967">
        <v>0.32</v>
      </c>
      <c r="M1967">
        <v>0.49249999999999999</v>
      </c>
      <c r="N1967">
        <v>12</v>
      </c>
      <c r="O1967">
        <v>83</v>
      </c>
      <c r="P1967">
        <v>95</v>
      </c>
      <c r="Q1967">
        <v>175</v>
      </c>
      <c r="R1967">
        <v>176</v>
      </c>
    </row>
    <row r="1968" spans="1:18" x14ac:dyDescent="0.25">
      <c r="A1968">
        <v>177</v>
      </c>
      <c r="B1968" s="1">
        <v>40551</v>
      </c>
      <c r="C1968">
        <v>1</v>
      </c>
      <c r="D1968">
        <v>0</v>
      </c>
      <c r="E1968">
        <v>1</v>
      </c>
      <c r="F1968">
        <v>15</v>
      </c>
      <c r="G1968" t="b">
        <v>0</v>
      </c>
      <c r="H1968">
        <v>6</v>
      </c>
      <c r="I1968">
        <v>1</v>
      </c>
      <c r="J1968">
        <v>0.2</v>
      </c>
      <c r="K1968">
        <v>0.16669999999999999</v>
      </c>
      <c r="L1968">
        <v>0.32</v>
      </c>
      <c r="M1968">
        <v>0.44779999999999998</v>
      </c>
      <c r="N1968">
        <v>5</v>
      </c>
      <c r="O1968">
        <v>69</v>
      </c>
      <c r="P1968">
        <v>74</v>
      </c>
      <c r="Q1968">
        <v>176</v>
      </c>
      <c r="R1968">
        <v>177</v>
      </c>
    </row>
    <row r="1969" spans="1:18" x14ac:dyDescent="0.25">
      <c r="A1969">
        <v>178</v>
      </c>
      <c r="B1969" s="1">
        <v>40551</v>
      </c>
      <c r="C1969">
        <v>1</v>
      </c>
      <c r="D1969">
        <v>0</v>
      </c>
      <c r="E1969">
        <v>1</v>
      </c>
      <c r="F1969">
        <v>16</v>
      </c>
      <c r="G1969" t="b">
        <v>0</v>
      </c>
      <c r="H1969">
        <v>6</v>
      </c>
      <c r="I1969">
        <v>1</v>
      </c>
      <c r="J1969">
        <v>0.18</v>
      </c>
      <c r="K1969">
        <v>0.13639999999999999</v>
      </c>
      <c r="L1969">
        <v>0.28999999999999998</v>
      </c>
      <c r="M1969">
        <v>0.44779999999999998</v>
      </c>
      <c r="N1969">
        <v>8</v>
      </c>
      <c r="O1969">
        <v>68</v>
      </c>
      <c r="P1969">
        <v>76</v>
      </c>
      <c r="Q1969">
        <v>177</v>
      </c>
      <c r="R1969">
        <v>178</v>
      </c>
    </row>
    <row r="1970" spans="1:18" x14ac:dyDescent="0.25">
      <c r="A1970">
        <v>179</v>
      </c>
      <c r="B1970" s="1">
        <v>40551</v>
      </c>
      <c r="C1970">
        <v>1</v>
      </c>
      <c r="D1970">
        <v>0</v>
      </c>
      <c r="E1970">
        <v>1</v>
      </c>
      <c r="F1970">
        <v>17</v>
      </c>
      <c r="G1970" t="b">
        <v>0</v>
      </c>
      <c r="H1970">
        <v>6</v>
      </c>
      <c r="I1970">
        <v>1</v>
      </c>
      <c r="J1970">
        <v>0.16</v>
      </c>
      <c r="K1970">
        <v>0.1212</v>
      </c>
      <c r="L1970">
        <v>0.37</v>
      </c>
      <c r="M1970">
        <v>0.55220000000000002</v>
      </c>
      <c r="N1970">
        <v>5</v>
      </c>
      <c r="O1970">
        <v>64</v>
      </c>
      <c r="P1970">
        <v>69</v>
      </c>
      <c r="Q1970">
        <v>178</v>
      </c>
      <c r="R1970">
        <v>179</v>
      </c>
    </row>
    <row r="1971" spans="1:18" x14ac:dyDescent="0.25">
      <c r="A1971">
        <v>180</v>
      </c>
      <c r="B1971" s="1">
        <v>40551</v>
      </c>
      <c r="C1971">
        <v>1</v>
      </c>
      <c r="D1971">
        <v>0</v>
      </c>
      <c r="E1971">
        <v>1</v>
      </c>
      <c r="F1971">
        <v>18</v>
      </c>
      <c r="G1971" t="b">
        <v>0</v>
      </c>
      <c r="H1971">
        <v>6</v>
      </c>
      <c r="I1971">
        <v>1</v>
      </c>
      <c r="J1971">
        <v>0.14000000000000001</v>
      </c>
      <c r="K1971">
        <v>0.1212</v>
      </c>
      <c r="L1971">
        <v>0.39</v>
      </c>
      <c r="M1971">
        <v>0.29849999999999999</v>
      </c>
      <c r="N1971">
        <v>3</v>
      </c>
      <c r="O1971">
        <v>52</v>
      </c>
      <c r="P1971">
        <v>55</v>
      </c>
      <c r="Q1971">
        <v>179</v>
      </c>
      <c r="R1971">
        <v>180</v>
      </c>
    </row>
    <row r="1972" spans="1:18" x14ac:dyDescent="0.25">
      <c r="A1972">
        <v>181</v>
      </c>
      <c r="B1972" s="1">
        <v>40551</v>
      </c>
      <c r="C1972">
        <v>1</v>
      </c>
      <c r="D1972">
        <v>0</v>
      </c>
      <c r="E1972">
        <v>1</v>
      </c>
      <c r="F1972">
        <v>19</v>
      </c>
      <c r="G1972" t="b">
        <v>0</v>
      </c>
      <c r="H1972">
        <v>6</v>
      </c>
      <c r="I1972">
        <v>1</v>
      </c>
      <c r="J1972">
        <v>0.14000000000000001</v>
      </c>
      <c r="K1972">
        <v>0.1212</v>
      </c>
      <c r="L1972">
        <v>0.36</v>
      </c>
      <c r="M1972">
        <v>0.25369999999999998</v>
      </c>
      <c r="N1972">
        <v>4</v>
      </c>
      <c r="O1972">
        <v>26</v>
      </c>
      <c r="P1972">
        <v>30</v>
      </c>
      <c r="Q1972">
        <v>180</v>
      </c>
      <c r="R1972">
        <v>181</v>
      </c>
    </row>
    <row r="1973" spans="1:18" x14ac:dyDescent="0.25">
      <c r="A1973">
        <v>182</v>
      </c>
      <c r="B1973" s="1">
        <v>40551</v>
      </c>
      <c r="C1973">
        <v>1</v>
      </c>
      <c r="D1973">
        <v>0</v>
      </c>
      <c r="E1973">
        <v>1</v>
      </c>
      <c r="F1973">
        <v>20</v>
      </c>
      <c r="G1973" t="b">
        <v>0</v>
      </c>
      <c r="H1973">
        <v>6</v>
      </c>
      <c r="I1973">
        <v>1</v>
      </c>
      <c r="J1973">
        <v>0.12</v>
      </c>
      <c r="K1973">
        <v>0.1212</v>
      </c>
      <c r="L1973">
        <v>0.36</v>
      </c>
      <c r="M1973">
        <v>0.25369999999999998</v>
      </c>
      <c r="N1973">
        <v>0</v>
      </c>
      <c r="O1973">
        <v>28</v>
      </c>
      <c r="P1973">
        <v>28</v>
      </c>
      <c r="Q1973">
        <v>181</v>
      </c>
      <c r="R1973">
        <v>182</v>
      </c>
    </row>
    <row r="1974" spans="1:18" x14ac:dyDescent="0.25">
      <c r="A1974">
        <v>183</v>
      </c>
      <c r="B1974" s="1">
        <v>40551</v>
      </c>
      <c r="C1974">
        <v>1</v>
      </c>
      <c r="D1974">
        <v>0</v>
      </c>
      <c r="E1974">
        <v>1</v>
      </c>
      <c r="F1974">
        <v>21</v>
      </c>
      <c r="G1974" t="b">
        <v>0</v>
      </c>
      <c r="H1974">
        <v>6</v>
      </c>
      <c r="I1974">
        <v>1</v>
      </c>
      <c r="J1974">
        <v>0.12</v>
      </c>
      <c r="K1974">
        <v>0.1061</v>
      </c>
      <c r="L1974">
        <v>0.39</v>
      </c>
      <c r="M1974">
        <v>0.35820000000000002</v>
      </c>
      <c r="N1974">
        <v>2</v>
      </c>
      <c r="O1974">
        <v>35</v>
      </c>
      <c r="P1974">
        <v>37</v>
      </c>
      <c r="Q1974">
        <v>182</v>
      </c>
      <c r="R1974">
        <v>183</v>
      </c>
    </row>
    <row r="1975" spans="1:18" x14ac:dyDescent="0.25">
      <c r="A1975">
        <v>184</v>
      </c>
      <c r="B1975" s="1">
        <v>40551</v>
      </c>
      <c r="C1975">
        <v>1</v>
      </c>
      <c r="D1975">
        <v>0</v>
      </c>
      <c r="E1975">
        <v>1</v>
      </c>
      <c r="F1975">
        <v>22</v>
      </c>
      <c r="G1975" t="b">
        <v>0</v>
      </c>
      <c r="H1975">
        <v>6</v>
      </c>
      <c r="I1975">
        <v>1</v>
      </c>
      <c r="J1975">
        <v>0.12</v>
      </c>
      <c r="K1975">
        <v>0.1061</v>
      </c>
      <c r="L1975">
        <v>0.36</v>
      </c>
      <c r="M1975">
        <v>0.3881</v>
      </c>
      <c r="N1975">
        <v>1</v>
      </c>
      <c r="O1975">
        <v>33</v>
      </c>
      <c r="P1975">
        <v>34</v>
      </c>
      <c r="Q1975">
        <v>183</v>
      </c>
      <c r="R1975">
        <v>184</v>
      </c>
    </row>
    <row r="1976" spans="1:18" x14ac:dyDescent="0.25">
      <c r="A1976">
        <v>185</v>
      </c>
      <c r="B1976" s="1">
        <v>40551</v>
      </c>
      <c r="C1976">
        <v>1</v>
      </c>
      <c r="D1976">
        <v>0</v>
      </c>
      <c r="E1976">
        <v>1</v>
      </c>
      <c r="F1976">
        <v>23</v>
      </c>
      <c r="G1976" t="b">
        <v>0</v>
      </c>
      <c r="H1976">
        <v>6</v>
      </c>
      <c r="I1976">
        <v>1</v>
      </c>
      <c r="J1976">
        <v>0.1</v>
      </c>
      <c r="K1976">
        <v>6.0600000000000001E-2</v>
      </c>
      <c r="L1976">
        <v>0.39</v>
      </c>
      <c r="M1976">
        <v>0.44779999999999998</v>
      </c>
      <c r="N1976">
        <v>0</v>
      </c>
      <c r="O1976">
        <v>22</v>
      </c>
      <c r="P1976">
        <v>22</v>
      </c>
      <c r="Q1976">
        <v>184</v>
      </c>
      <c r="R1976">
        <v>185</v>
      </c>
    </row>
    <row r="1977" spans="1:18" x14ac:dyDescent="0.25">
      <c r="A1977">
        <v>186</v>
      </c>
      <c r="B1977" s="1">
        <v>40552</v>
      </c>
      <c r="C1977">
        <v>1</v>
      </c>
      <c r="D1977">
        <v>0</v>
      </c>
      <c r="E1977">
        <v>1</v>
      </c>
      <c r="F1977">
        <v>0</v>
      </c>
      <c r="G1977" t="b">
        <v>0</v>
      </c>
      <c r="H1977">
        <v>0</v>
      </c>
      <c r="I1977">
        <v>1</v>
      </c>
      <c r="J1977">
        <v>0.1</v>
      </c>
      <c r="K1977">
        <v>7.5800000000000006E-2</v>
      </c>
      <c r="L1977">
        <v>0.42</v>
      </c>
      <c r="M1977">
        <v>0.3881</v>
      </c>
      <c r="N1977">
        <v>1</v>
      </c>
      <c r="O1977">
        <v>24</v>
      </c>
      <c r="P1977">
        <v>25</v>
      </c>
      <c r="Q1977">
        <v>185</v>
      </c>
      <c r="R1977">
        <v>186</v>
      </c>
    </row>
    <row r="1978" spans="1:18" x14ac:dyDescent="0.25">
      <c r="A1978">
        <v>187</v>
      </c>
      <c r="B1978" s="1">
        <v>40552</v>
      </c>
      <c r="C1978">
        <v>1</v>
      </c>
      <c r="D1978">
        <v>0</v>
      </c>
      <c r="E1978">
        <v>1</v>
      </c>
      <c r="F1978">
        <v>1</v>
      </c>
      <c r="G1978" t="b">
        <v>0</v>
      </c>
      <c r="H1978">
        <v>0</v>
      </c>
      <c r="I1978">
        <v>1</v>
      </c>
      <c r="J1978">
        <v>0.1</v>
      </c>
      <c r="K1978">
        <v>6.0600000000000001E-2</v>
      </c>
      <c r="L1978">
        <v>0.42</v>
      </c>
      <c r="M1978">
        <v>0.4627</v>
      </c>
      <c r="N1978">
        <v>0</v>
      </c>
      <c r="O1978">
        <v>12</v>
      </c>
      <c r="P1978">
        <v>12</v>
      </c>
      <c r="Q1978">
        <v>186</v>
      </c>
      <c r="R1978">
        <v>187</v>
      </c>
    </row>
    <row r="1979" spans="1:18" x14ac:dyDescent="0.25">
      <c r="A1979">
        <v>188</v>
      </c>
      <c r="B1979" s="1">
        <v>40552</v>
      </c>
      <c r="C1979">
        <v>1</v>
      </c>
      <c r="D1979">
        <v>0</v>
      </c>
      <c r="E1979">
        <v>1</v>
      </c>
      <c r="F1979">
        <v>2</v>
      </c>
      <c r="G1979" t="b">
        <v>0</v>
      </c>
      <c r="H1979">
        <v>0</v>
      </c>
      <c r="I1979">
        <v>1</v>
      </c>
      <c r="J1979">
        <v>0.1</v>
      </c>
      <c r="K1979">
        <v>6.0600000000000001E-2</v>
      </c>
      <c r="L1979">
        <v>0.46</v>
      </c>
      <c r="M1979">
        <v>0.4627</v>
      </c>
      <c r="N1979">
        <v>0</v>
      </c>
      <c r="O1979">
        <v>11</v>
      </c>
      <c r="P1979">
        <v>11</v>
      </c>
      <c r="Q1979">
        <v>187</v>
      </c>
      <c r="R1979">
        <v>188</v>
      </c>
    </row>
    <row r="1980" spans="1:18" x14ac:dyDescent="0.25">
      <c r="A1980">
        <v>189</v>
      </c>
      <c r="B1980" s="1">
        <v>40552</v>
      </c>
      <c r="C1980">
        <v>1</v>
      </c>
      <c r="D1980">
        <v>0</v>
      </c>
      <c r="E1980">
        <v>1</v>
      </c>
      <c r="F1980">
        <v>3</v>
      </c>
      <c r="G1980" t="b">
        <v>0</v>
      </c>
      <c r="H1980">
        <v>0</v>
      </c>
      <c r="I1980">
        <v>1</v>
      </c>
      <c r="J1980">
        <v>0.1</v>
      </c>
      <c r="K1980">
        <v>7.5800000000000006E-2</v>
      </c>
      <c r="L1980">
        <v>0.46</v>
      </c>
      <c r="M1980">
        <v>0.41789999999999999</v>
      </c>
      <c r="N1980">
        <v>0</v>
      </c>
      <c r="O1980">
        <v>4</v>
      </c>
      <c r="P1980">
        <v>4</v>
      </c>
      <c r="Q1980">
        <v>188</v>
      </c>
      <c r="R1980">
        <v>189</v>
      </c>
    </row>
    <row r="1981" spans="1:18" x14ac:dyDescent="0.25">
      <c r="A1981">
        <v>190</v>
      </c>
      <c r="B1981" s="1">
        <v>40552</v>
      </c>
      <c r="C1981">
        <v>1</v>
      </c>
      <c r="D1981">
        <v>0</v>
      </c>
      <c r="E1981">
        <v>1</v>
      </c>
      <c r="F1981">
        <v>4</v>
      </c>
      <c r="G1981" t="b">
        <v>0</v>
      </c>
      <c r="H1981">
        <v>0</v>
      </c>
      <c r="I1981">
        <v>1</v>
      </c>
      <c r="J1981">
        <v>0.08</v>
      </c>
      <c r="K1981">
        <v>9.0899999999999995E-2</v>
      </c>
      <c r="L1981">
        <v>0.53</v>
      </c>
      <c r="M1981">
        <v>0.19400000000000001</v>
      </c>
      <c r="N1981">
        <v>0</v>
      </c>
      <c r="O1981">
        <v>1</v>
      </c>
      <c r="P1981">
        <v>1</v>
      </c>
      <c r="Q1981">
        <v>189</v>
      </c>
      <c r="R1981">
        <v>190</v>
      </c>
    </row>
    <row r="1982" spans="1:18" x14ac:dyDescent="0.25">
      <c r="A1982">
        <v>191</v>
      </c>
      <c r="B1982" s="1">
        <v>40552</v>
      </c>
      <c r="C1982">
        <v>1</v>
      </c>
      <c r="D1982">
        <v>0</v>
      </c>
      <c r="E1982">
        <v>1</v>
      </c>
      <c r="F1982">
        <v>5</v>
      </c>
      <c r="G1982" t="b">
        <v>0</v>
      </c>
      <c r="H1982">
        <v>0</v>
      </c>
      <c r="I1982">
        <v>1</v>
      </c>
      <c r="J1982">
        <v>0.08</v>
      </c>
      <c r="K1982">
        <v>9.0899999999999995E-2</v>
      </c>
      <c r="L1982">
        <v>0.53</v>
      </c>
      <c r="M1982">
        <v>0.19400000000000001</v>
      </c>
      <c r="N1982">
        <v>0</v>
      </c>
      <c r="O1982">
        <v>1</v>
      </c>
      <c r="P1982">
        <v>1</v>
      </c>
      <c r="Q1982">
        <v>190</v>
      </c>
      <c r="R1982">
        <v>191</v>
      </c>
    </row>
    <row r="1983" spans="1:18" x14ac:dyDescent="0.25">
      <c r="A1983">
        <v>192</v>
      </c>
      <c r="B1983" s="1">
        <v>40552</v>
      </c>
      <c r="C1983">
        <v>1</v>
      </c>
      <c r="D1983">
        <v>0</v>
      </c>
      <c r="E1983">
        <v>1</v>
      </c>
      <c r="F1983">
        <v>6</v>
      </c>
      <c r="G1983" t="b">
        <v>0</v>
      </c>
      <c r="H1983">
        <v>0</v>
      </c>
      <c r="I1983">
        <v>1</v>
      </c>
      <c r="J1983">
        <v>0.1</v>
      </c>
      <c r="K1983">
        <v>9.0899999999999995E-2</v>
      </c>
      <c r="L1983">
        <v>0.49</v>
      </c>
      <c r="M1983">
        <v>0.28360000000000002</v>
      </c>
      <c r="N1983">
        <v>0</v>
      </c>
      <c r="O1983">
        <v>1</v>
      </c>
      <c r="P1983">
        <v>1</v>
      </c>
      <c r="Q1983">
        <v>191</v>
      </c>
      <c r="R1983">
        <v>192</v>
      </c>
    </row>
    <row r="1984" spans="1:18" x14ac:dyDescent="0.25">
      <c r="A1984">
        <v>193</v>
      </c>
      <c r="B1984" s="1">
        <v>40552</v>
      </c>
      <c r="C1984">
        <v>1</v>
      </c>
      <c r="D1984">
        <v>0</v>
      </c>
      <c r="E1984">
        <v>1</v>
      </c>
      <c r="F1984">
        <v>7</v>
      </c>
      <c r="G1984" t="b">
        <v>0</v>
      </c>
      <c r="H1984">
        <v>0</v>
      </c>
      <c r="I1984">
        <v>1</v>
      </c>
      <c r="J1984">
        <v>0.08</v>
      </c>
      <c r="K1984">
        <v>9.0899999999999995E-2</v>
      </c>
      <c r="L1984">
        <v>0.53</v>
      </c>
      <c r="M1984">
        <v>0.19400000000000001</v>
      </c>
      <c r="N1984">
        <v>1</v>
      </c>
      <c r="O1984">
        <v>5</v>
      </c>
      <c r="P1984">
        <v>6</v>
      </c>
      <c r="Q1984">
        <v>192</v>
      </c>
      <c r="R1984">
        <v>193</v>
      </c>
    </row>
    <row r="1985" spans="1:18" x14ac:dyDescent="0.25">
      <c r="A1985">
        <v>194</v>
      </c>
      <c r="B1985" s="1">
        <v>40552</v>
      </c>
      <c r="C1985">
        <v>1</v>
      </c>
      <c r="D1985">
        <v>0</v>
      </c>
      <c r="E1985">
        <v>1</v>
      </c>
      <c r="F1985">
        <v>8</v>
      </c>
      <c r="G1985" t="b">
        <v>0</v>
      </c>
      <c r="H1985">
        <v>0</v>
      </c>
      <c r="I1985">
        <v>1</v>
      </c>
      <c r="J1985">
        <v>0.1</v>
      </c>
      <c r="K1985">
        <v>9.0899999999999995E-2</v>
      </c>
      <c r="L1985">
        <v>0.49</v>
      </c>
      <c r="M1985">
        <v>0.28360000000000002</v>
      </c>
      <c r="N1985">
        <v>0</v>
      </c>
      <c r="O1985">
        <v>10</v>
      </c>
      <c r="P1985">
        <v>10</v>
      </c>
      <c r="Q1985">
        <v>193</v>
      </c>
      <c r="R1985">
        <v>194</v>
      </c>
    </row>
    <row r="1986" spans="1:18" x14ac:dyDescent="0.25">
      <c r="A1986">
        <v>195</v>
      </c>
      <c r="B1986" s="1">
        <v>40552</v>
      </c>
      <c r="C1986">
        <v>1</v>
      </c>
      <c r="D1986">
        <v>0</v>
      </c>
      <c r="E1986">
        <v>1</v>
      </c>
      <c r="F1986">
        <v>9</v>
      </c>
      <c r="G1986" t="b">
        <v>0</v>
      </c>
      <c r="H1986">
        <v>0</v>
      </c>
      <c r="I1986">
        <v>1</v>
      </c>
      <c r="J1986">
        <v>0.12</v>
      </c>
      <c r="K1986">
        <v>7.5800000000000006E-2</v>
      </c>
      <c r="L1986">
        <v>0.46</v>
      </c>
      <c r="M1986">
        <v>0.52239999999999998</v>
      </c>
      <c r="N1986">
        <v>0</v>
      </c>
      <c r="O1986">
        <v>19</v>
      </c>
      <c r="P1986">
        <v>19</v>
      </c>
      <c r="Q1986">
        <v>194</v>
      </c>
      <c r="R1986">
        <v>195</v>
      </c>
    </row>
    <row r="1987" spans="1:18" x14ac:dyDescent="0.25">
      <c r="A1987">
        <v>196</v>
      </c>
      <c r="B1987" s="1">
        <v>40552</v>
      </c>
      <c r="C1987">
        <v>1</v>
      </c>
      <c r="D1987">
        <v>0</v>
      </c>
      <c r="E1987">
        <v>1</v>
      </c>
      <c r="F1987">
        <v>10</v>
      </c>
      <c r="G1987" t="b">
        <v>0</v>
      </c>
      <c r="H1987">
        <v>0</v>
      </c>
      <c r="I1987">
        <v>1</v>
      </c>
      <c r="J1987">
        <v>0.14000000000000001</v>
      </c>
      <c r="K1987">
        <v>0.1061</v>
      </c>
      <c r="L1987">
        <v>0.43</v>
      </c>
      <c r="M1987">
        <v>0.3881</v>
      </c>
      <c r="N1987">
        <v>0</v>
      </c>
      <c r="O1987">
        <v>49</v>
      </c>
      <c r="P1987">
        <v>49</v>
      </c>
      <c r="Q1987">
        <v>195</v>
      </c>
      <c r="R1987">
        <v>196</v>
      </c>
    </row>
    <row r="1988" spans="1:18" x14ac:dyDescent="0.25">
      <c r="A1988">
        <v>197</v>
      </c>
      <c r="B1988" s="1">
        <v>40552</v>
      </c>
      <c r="C1988">
        <v>1</v>
      </c>
      <c r="D1988">
        <v>0</v>
      </c>
      <c r="E1988">
        <v>1</v>
      </c>
      <c r="F1988">
        <v>11</v>
      </c>
      <c r="G1988" t="b">
        <v>0</v>
      </c>
      <c r="H1988">
        <v>0</v>
      </c>
      <c r="I1988">
        <v>1</v>
      </c>
      <c r="J1988">
        <v>0.16</v>
      </c>
      <c r="K1988">
        <v>0.1212</v>
      </c>
      <c r="L1988">
        <v>0.4</v>
      </c>
      <c r="M1988">
        <v>0.52239999999999998</v>
      </c>
      <c r="N1988">
        <v>2</v>
      </c>
      <c r="O1988">
        <v>47</v>
      </c>
      <c r="P1988">
        <v>49</v>
      </c>
      <c r="Q1988">
        <v>196</v>
      </c>
      <c r="R1988">
        <v>197</v>
      </c>
    </row>
    <row r="1989" spans="1:18" x14ac:dyDescent="0.25">
      <c r="A1989">
        <v>198</v>
      </c>
      <c r="B1989" s="1">
        <v>40552</v>
      </c>
      <c r="C1989">
        <v>1</v>
      </c>
      <c r="D1989">
        <v>0</v>
      </c>
      <c r="E1989">
        <v>1</v>
      </c>
      <c r="F1989">
        <v>12</v>
      </c>
      <c r="G1989" t="b">
        <v>0</v>
      </c>
      <c r="H1989">
        <v>0</v>
      </c>
      <c r="I1989">
        <v>1</v>
      </c>
      <c r="J1989">
        <v>0.18</v>
      </c>
      <c r="K1989">
        <v>0.13639999999999999</v>
      </c>
      <c r="L1989">
        <v>0.37</v>
      </c>
      <c r="M1989">
        <v>0.44779999999999998</v>
      </c>
      <c r="N1989">
        <v>4</v>
      </c>
      <c r="O1989">
        <v>79</v>
      </c>
      <c r="P1989">
        <v>83</v>
      </c>
      <c r="Q1989">
        <v>197</v>
      </c>
      <c r="R1989">
        <v>198</v>
      </c>
    </row>
    <row r="1990" spans="1:18" x14ac:dyDescent="0.25">
      <c r="A1990">
        <v>199</v>
      </c>
      <c r="B1990" s="1">
        <v>40552</v>
      </c>
      <c r="C1990">
        <v>1</v>
      </c>
      <c r="D1990">
        <v>0</v>
      </c>
      <c r="E1990">
        <v>1</v>
      </c>
      <c r="F1990">
        <v>13</v>
      </c>
      <c r="G1990" t="b">
        <v>0</v>
      </c>
      <c r="H1990">
        <v>0</v>
      </c>
      <c r="I1990">
        <v>1</v>
      </c>
      <c r="J1990">
        <v>0.2</v>
      </c>
      <c r="K1990">
        <v>0.16669999999999999</v>
      </c>
      <c r="L1990">
        <v>0.34</v>
      </c>
      <c r="M1990">
        <v>0.44779999999999998</v>
      </c>
      <c r="N1990">
        <v>6</v>
      </c>
      <c r="O1990">
        <v>69</v>
      </c>
      <c r="P1990">
        <v>75</v>
      </c>
      <c r="Q1990">
        <v>198</v>
      </c>
      <c r="R1990">
        <v>199</v>
      </c>
    </row>
    <row r="1991" spans="1:18" x14ac:dyDescent="0.25">
      <c r="A1991">
        <v>200</v>
      </c>
      <c r="B1991" s="1">
        <v>40552</v>
      </c>
      <c r="C1991">
        <v>1</v>
      </c>
      <c r="D1991">
        <v>0</v>
      </c>
      <c r="E1991">
        <v>1</v>
      </c>
      <c r="F1991">
        <v>14</v>
      </c>
      <c r="G1991" t="b">
        <v>0</v>
      </c>
      <c r="H1991">
        <v>0</v>
      </c>
      <c r="I1991">
        <v>1</v>
      </c>
      <c r="J1991">
        <v>0.22</v>
      </c>
      <c r="K1991">
        <v>0.18179999999999999</v>
      </c>
      <c r="L1991">
        <v>0.32</v>
      </c>
      <c r="M1991">
        <v>0.4627</v>
      </c>
      <c r="N1991">
        <v>8</v>
      </c>
      <c r="O1991">
        <v>64</v>
      </c>
      <c r="P1991">
        <v>72</v>
      </c>
      <c r="Q1991">
        <v>199</v>
      </c>
      <c r="R1991">
        <v>200</v>
      </c>
    </row>
    <row r="1992" spans="1:18" x14ac:dyDescent="0.25">
      <c r="A1992">
        <v>201</v>
      </c>
      <c r="B1992" s="1">
        <v>40552</v>
      </c>
      <c r="C1992">
        <v>1</v>
      </c>
      <c r="D1992">
        <v>0</v>
      </c>
      <c r="E1992">
        <v>1</v>
      </c>
      <c r="F1992">
        <v>15</v>
      </c>
      <c r="G1992" t="b">
        <v>0</v>
      </c>
      <c r="H1992">
        <v>0</v>
      </c>
      <c r="I1992">
        <v>1</v>
      </c>
      <c r="J1992">
        <v>0.22</v>
      </c>
      <c r="K1992">
        <v>0.19700000000000001</v>
      </c>
      <c r="L1992">
        <v>0.35</v>
      </c>
      <c r="M1992">
        <v>0.35820000000000002</v>
      </c>
      <c r="N1992">
        <v>5</v>
      </c>
      <c r="O1992">
        <v>77</v>
      </c>
      <c r="P1992">
        <v>82</v>
      </c>
      <c r="Q1992">
        <v>200</v>
      </c>
      <c r="R1992">
        <v>201</v>
      </c>
    </row>
    <row r="1993" spans="1:18" x14ac:dyDescent="0.25">
      <c r="A1993">
        <v>202</v>
      </c>
      <c r="B1993" s="1">
        <v>40552</v>
      </c>
      <c r="C1993">
        <v>1</v>
      </c>
      <c r="D1993">
        <v>0</v>
      </c>
      <c r="E1993">
        <v>1</v>
      </c>
      <c r="F1993">
        <v>16</v>
      </c>
      <c r="G1993" t="b">
        <v>0</v>
      </c>
      <c r="H1993">
        <v>0</v>
      </c>
      <c r="I1993">
        <v>1</v>
      </c>
      <c r="J1993">
        <v>0.2</v>
      </c>
      <c r="K1993">
        <v>0.16669999999999999</v>
      </c>
      <c r="L1993">
        <v>0.34</v>
      </c>
      <c r="M1993">
        <v>0.44779999999999998</v>
      </c>
      <c r="N1993">
        <v>13</v>
      </c>
      <c r="O1993">
        <v>79</v>
      </c>
      <c r="P1993">
        <v>92</v>
      </c>
      <c r="Q1993">
        <v>201</v>
      </c>
      <c r="R1993">
        <v>202</v>
      </c>
    </row>
    <row r="1994" spans="1:18" x14ac:dyDescent="0.25">
      <c r="A1994">
        <v>203</v>
      </c>
      <c r="B1994" s="1">
        <v>40552</v>
      </c>
      <c r="C1994">
        <v>1</v>
      </c>
      <c r="D1994">
        <v>0</v>
      </c>
      <c r="E1994">
        <v>1</v>
      </c>
      <c r="F1994">
        <v>17</v>
      </c>
      <c r="G1994" t="b">
        <v>0</v>
      </c>
      <c r="H1994">
        <v>0</v>
      </c>
      <c r="I1994">
        <v>1</v>
      </c>
      <c r="J1994">
        <v>0.18</v>
      </c>
      <c r="K1994">
        <v>0.1515</v>
      </c>
      <c r="L1994">
        <v>0.37</v>
      </c>
      <c r="M1994">
        <v>0.3881</v>
      </c>
      <c r="N1994">
        <v>3</v>
      </c>
      <c r="O1994">
        <v>59</v>
      </c>
      <c r="P1994">
        <v>62</v>
      </c>
      <c r="Q1994">
        <v>202</v>
      </c>
      <c r="R1994">
        <v>203</v>
      </c>
    </row>
    <row r="1995" spans="1:18" x14ac:dyDescent="0.25">
      <c r="A1995">
        <v>204</v>
      </c>
      <c r="B1995" s="1">
        <v>40552</v>
      </c>
      <c r="C1995">
        <v>1</v>
      </c>
      <c r="D1995">
        <v>0</v>
      </c>
      <c r="E1995">
        <v>1</v>
      </c>
      <c r="F1995">
        <v>18</v>
      </c>
      <c r="G1995" t="b">
        <v>0</v>
      </c>
      <c r="H1995">
        <v>0</v>
      </c>
      <c r="I1995">
        <v>1</v>
      </c>
      <c r="J1995">
        <v>0.16</v>
      </c>
      <c r="K1995">
        <v>0.13639999999999999</v>
      </c>
      <c r="L1995">
        <v>0.4</v>
      </c>
      <c r="M1995">
        <v>0.32840000000000003</v>
      </c>
      <c r="N1995">
        <v>4</v>
      </c>
      <c r="O1995">
        <v>44</v>
      </c>
      <c r="P1995">
        <v>48</v>
      </c>
      <c r="Q1995">
        <v>203</v>
      </c>
      <c r="R1995">
        <v>204</v>
      </c>
    </row>
    <row r="1996" spans="1:18" x14ac:dyDescent="0.25">
      <c r="A1996">
        <v>205</v>
      </c>
      <c r="B1996" s="1">
        <v>40552</v>
      </c>
      <c r="C1996">
        <v>1</v>
      </c>
      <c r="D1996">
        <v>0</v>
      </c>
      <c r="E1996">
        <v>1</v>
      </c>
      <c r="F1996">
        <v>19</v>
      </c>
      <c r="G1996" t="b">
        <v>0</v>
      </c>
      <c r="H1996">
        <v>0</v>
      </c>
      <c r="I1996">
        <v>1</v>
      </c>
      <c r="J1996">
        <v>0.16</v>
      </c>
      <c r="K1996">
        <v>0.13639999999999999</v>
      </c>
      <c r="L1996">
        <v>0.43</v>
      </c>
      <c r="M1996">
        <v>0.32840000000000003</v>
      </c>
      <c r="N1996">
        <v>1</v>
      </c>
      <c r="O1996">
        <v>40</v>
      </c>
      <c r="P1996">
        <v>41</v>
      </c>
      <c r="Q1996">
        <v>204</v>
      </c>
      <c r="R1996">
        <v>205</v>
      </c>
    </row>
    <row r="1997" spans="1:18" x14ac:dyDescent="0.25">
      <c r="A1997">
        <v>206</v>
      </c>
      <c r="B1997" s="1">
        <v>40552</v>
      </c>
      <c r="C1997">
        <v>1</v>
      </c>
      <c r="D1997">
        <v>0</v>
      </c>
      <c r="E1997">
        <v>1</v>
      </c>
      <c r="F1997">
        <v>20</v>
      </c>
      <c r="G1997" t="b">
        <v>0</v>
      </c>
      <c r="H1997">
        <v>0</v>
      </c>
      <c r="I1997">
        <v>1</v>
      </c>
      <c r="J1997">
        <v>0.14000000000000001</v>
      </c>
      <c r="K1997">
        <v>0.1212</v>
      </c>
      <c r="L1997">
        <v>0.46</v>
      </c>
      <c r="M1997">
        <v>0.25369999999999998</v>
      </c>
      <c r="N1997">
        <v>0</v>
      </c>
      <c r="O1997">
        <v>38</v>
      </c>
      <c r="P1997">
        <v>38</v>
      </c>
      <c r="Q1997">
        <v>205</v>
      </c>
      <c r="R1997">
        <v>206</v>
      </c>
    </row>
    <row r="1998" spans="1:18" x14ac:dyDescent="0.25">
      <c r="A1998">
        <v>207</v>
      </c>
      <c r="B1998" s="1">
        <v>40552</v>
      </c>
      <c r="C1998">
        <v>1</v>
      </c>
      <c r="D1998">
        <v>0</v>
      </c>
      <c r="E1998">
        <v>1</v>
      </c>
      <c r="F1998">
        <v>21</v>
      </c>
      <c r="G1998" t="b">
        <v>0</v>
      </c>
      <c r="H1998">
        <v>0</v>
      </c>
      <c r="I1998">
        <v>1</v>
      </c>
      <c r="J1998">
        <v>0.14000000000000001</v>
      </c>
      <c r="K1998">
        <v>0.1061</v>
      </c>
      <c r="L1998">
        <v>0.46</v>
      </c>
      <c r="M1998">
        <v>0.41789999999999999</v>
      </c>
      <c r="N1998">
        <v>1</v>
      </c>
      <c r="O1998">
        <v>19</v>
      </c>
      <c r="P1998">
        <v>20</v>
      </c>
      <c r="Q1998">
        <v>206</v>
      </c>
      <c r="R1998">
        <v>207</v>
      </c>
    </row>
    <row r="1999" spans="1:18" x14ac:dyDescent="0.25">
      <c r="A1999">
        <v>208</v>
      </c>
      <c r="B1999" s="1">
        <v>40552</v>
      </c>
      <c r="C1999">
        <v>1</v>
      </c>
      <c r="D1999">
        <v>0</v>
      </c>
      <c r="E1999">
        <v>1</v>
      </c>
      <c r="F1999">
        <v>22</v>
      </c>
      <c r="G1999" t="b">
        <v>0</v>
      </c>
      <c r="H1999">
        <v>0</v>
      </c>
      <c r="I1999">
        <v>1</v>
      </c>
      <c r="J1999">
        <v>0.14000000000000001</v>
      </c>
      <c r="K1999">
        <v>0.1212</v>
      </c>
      <c r="L1999">
        <v>0.46</v>
      </c>
      <c r="M1999">
        <v>0.29849999999999999</v>
      </c>
      <c r="N1999">
        <v>5</v>
      </c>
      <c r="O1999">
        <v>10</v>
      </c>
      <c r="P1999">
        <v>15</v>
      </c>
      <c r="Q1999">
        <v>207</v>
      </c>
      <c r="R1999">
        <v>208</v>
      </c>
    </row>
    <row r="2000" spans="1:18" x14ac:dyDescent="0.25">
      <c r="A2000">
        <v>209</v>
      </c>
      <c r="B2000" s="1">
        <v>40552</v>
      </c>
      <c r="C2000">
        <v>1</v>
      </c>
      <c r="D2000">
        <v>0</v>
      </c>
      <c r="E2000">
        <v>1</v>
      </c>
      <c r="F2000">
        <v>23</v>
      </c>
      <c r="G2000" t="b">
        <v>0</v>
      </c>
      <c r="H2000">
        <v>0</v>
      </c>
      <c r="I2000">
        <v>1</v>
      </c>
      <c r="J2000">
        <v>0.12</v>
      </c>
      <c r="K2000">
        <v>0.13639999999999999</v>
      </c>
      <c r="L2000">
        <v>0.5</v>
      </c>
      <c r="M2000">
        <v>0.19400000000000001</v>
      </c>
      <c r="N2000">
        <v>0</v>
      </c>
      <c r="O2000">
        <v>6</v>
      </c>
      <c r="P2000">
        <v>6</v>
      </c>
      <c r="Q2000">
        <v>208</v>
      </c>
      <c r="R2000">
        <v>209</v>
      </c>
    </row>
    <row r="2001" spans="1:18" x14ac:dyDescent="0.25">
      <c r="A2001">
        <v>210</v>
      </c>
      <c r="B2001" s="1">
        <v>40553</v>
      </c>
      <c r="C2001">
        <v>1</v>
      </c>
      <c r="D2001">
        <v>0</v>
      </c>
      <c r="E2001">
        <v>1</v>
      </c>
      <c r="F2001">
        <v>0</v>
      </c>
      <c r="G2001" t="b">
        <v>0</v>
      </c>
      <c r="H2001">
        <v>1</v>
      </c>
      <c r="I2001">
        <v>1</v>
      </c>
      <c r="J2001">
        <v>0.12</v>
      </c>
      <c r="K2001">
        <v>0.1212</v>
      </c>
      <c r="L2001">
        <v>0.5</v>
      </c>
      <c r="M2001">
        <v>0.28360000000000002</v>
      </c>
      <c r="N2001">
        <v>2</v>
      </c>
      <c r="O2001">
        <v>3</v>
      </c>
      <c r="P2001">
        <v>5</v>
      </c>
      <c r="Q2001">
        <v>209</v>
      </c>
      <c r="R2001">
        <v>210</v>
      </c>
    </row>
    <row r="2002" spans="1:18" x14ac:dyDescent="0.25">
      <c r="A2002">
        <v>211</v>
      </c>
      <c r="B2002" s="1">
        <v>40553</v>
      </c>
      <c r="C2002">
        <v>1</v>
      </c>
      <c r="D2002">
        <v>0</v>
      </c>
      <c r="E2002">
        <v>1</v>
      </c>
      <c r="F2002">
        <v>1</v>
      </c>
      <c r="G2002" t="b">
        <v>0</v>
      </c>
      <c r="H2002">
        <v>1</v>
      </c>
      <c r="I2002">
        <v>1</v>
      </c>
      <c r="J2002">
        <v>0.12</v>
      </c>
      <c r="K2002">
        <v>0.1212</v>
      </c>
      <c r="L2002">
        <v>0.5</v>
      </c>
      <c r="M2002">
        <v>0.28360000000000002</v>
      </c>
      <c r="N2002">
        <v>1</v>
      </c>
      <c r="O2002">
        <v>0</v>
      </c>
      <c r="P2002">
        <v>1</v>
      </c>
      <c r="Q2002">
        <v>210</v>
      </c>
      <c r="R2002">
        <v>211</v>
      </c>
    </row>
    <row r="2003" spans="1:18" x14ac:dyDescent="0.25">
      <c r="A2003">
        <v>212</v>
      </c>
      <c r="B2003" s="1">
        <v>40553</v>
      </c>
      <c r="C2003">
        <v>1</v>
      </c>
      <c r="D2003">
        <v>0</v>
      </c>
      <c r="E2003">
        <v>1</v>
      </c>
      <c r="F2003">
        <v>2</v>
      </c>
      <c r="G2003" t="b">
        <v>0</v>
      </c>
      <c r="H2003">
        <v>1</v>
      </c>
      <c r="I2003">
        <v>1</v>
      </c>
      <c r="J2003">
        <v>0.12</v>
      </c>
      <c r="K2003">
        <v>0.1212</v>
      </c>
      <c r="L2003">
        <v>0.5</v>
      </c>
      <c r="M2003">
        <v>0.22389999999999999</v>
      </c>
      <c r="N2003">
        <v>0</v>
      </c>
      <c r="O2003">
        <v>3</v>
      </c>
      <c r="P2003">
        <v>3</v>
      </c>
      <c r="Q2003">
        <v>211</v>
      </c>
      <c r="R2003">
        <v>212</v>
      </c>
    </row>
    <row r="2004" spans="1:18" x14ac:dyDescent="0.25">
      <c r="A2004">
        <v>213</v>
      </c>
      <c r="B2004" s="1">
        <v>40553</v>
      </c>
      <c r="C2004">
        <v>1</v>
      </c>
      <c r="D2004">
        <v>0</v>
      </c>
      <c r="E2004">
        <v>1</v>
      </c>
      <c r="F2004">
        <v>3</v>
      </c>
      <c r="G2004" t="b">
        <v>0</v>
      </c>
      <c r="H2004">
        <v>1</v>
      </c>
      <c r="I2004">
        <v>1</v>
      </c>
      <c r="J2004">
        <v>0.12</v>
      </c>
      <c r="K2004">
        <v>0.1212</v>
      </c>
      <c r="L2004">
        <v>0.5</v>
      </c>
      <c r="M2004">
        <v>0.22389999999999999</v>
      </c>
      <c r="N2004">
        <v>0</v>
      </c>
      <c r="O2004">
        <v>1</v>
      </c>
      <c r="P2004">
        <v>1</v>
      </c>
      <c r="Q2004">
        <v>212</v>
      </c>
      <c r="R2004">
        <v>213</v>
      </c>
    </row>
    <row r="2005" spans="1:18" x14ac:dyDescent="0.25">
      <c r="A2005">
        <v>214</v>
      </c>
      <c r="B2005" s="1">
        <v>40553</v>
      </c>
      <c r="C2005">
        <v>1</v>
      </c>
      <c r="D2005">
        <v>0</v>
      </c>
      <c r="E2005">
        <v>1</v>
      </c>
      <c r="F2005">
        <v>4</v>
      </c>
      <c r="G2005" t="b">
        <v>0</v>
      </c>
      <c r="H2005">
        <v>1</v>
      </c>
      <c r="I2005">
        <v>1</v>
      </c>
      <c r="J2005">
        <v>0.1</v>
      </c>
      <c r="K2005">
        <v>0.1212</v>
      </c>
      <c r="L2005">
        <v>0.54</v>
      </c>
      <c r="M2005">
        <v>0.1343</v>
      </c>
      <c r="N2005">
        <v>1</v>
      </c>
      <c r="O2005">
        <v>2</v>
      </c>
      <c r="P2005">
        <v>3</v>
      </c>
      <c r="Q2005">
        <v>213</v>
      </c>
      <c r="R2005">
        <v>214</v>
      </c>
    </row>
    <row r="2006" spans="1:18" x14ac:dyDescent="0.25">
      <c r="A2006">
        <v>215</v>
      </c>
      <c r="B2006" s="1">
        <v>40553</v>
      </c>
      <c r="C2006">
        <v>1</v>
      </c>
      <c r="D2006">
        <v>0</v>
      </c>
      <c r="E2006">
        <v>1</v>
      </c>
      <c r="F2006">
        <v>5</v>
      </c>
      <c r="G2006" t="b">
        <v>0</v>
      </c>
      <c r="H2006">
        <v>1</v>
      </c>
      <c r="I2006">
        <v>1</v>
      </c>
      <c r="J2006">
        <v>0.1</v>
      </c>
      <c r="K2006">
        <v>0.1061</v>
      </c>
      <c r="L2006">
        <v>0.54</v>
      </c>
      <c r="M2006">
        <v>0.25369999999999998</v>
      </c>
      <c r="N2006">
        <v>0</v>
      </c>
      <c r="O2006">
        <v>3</v>
      </c>
      <c r="P2006">
        <v>3</v>
      </c>
      <c r="Q2006">
        <v>214</v>
      </c>
      <c r="R2006">
        <v>215</v>
      </c>
    </row>
    <row r="2007" spans="1:18" x14ac:dyDescent="0.25">
      <c r="A2007">
        <v>216</v>
      </c>
      <c r="B2007" s="1">
        <v>40553</v>
      </c>
      <c r="C2007">
        <v>1</v>
      </c>
      <c r="D2007">
        <v>0</v>
      </c>
      <c r="E2007">
        <v>1</v>
      </c>
      <c r="F2007">
        <v>6</v>
      </c>
      <c r="G2007" t="b">
        <v>0</v>
      </c>
      <c r="H2007">
        <v>1</v>
      </c>
      <c r="I2007">
        <v>1</v>
      </c>
      <c r="J2007">
        <v>0.12</v>
      </c>
      <c r="K2007">
        <v>0.1212</v>
      </c>
      <c r="L2007">
        <v>0.5</v>
      </c>
      <c r="M2007">
        <v>0.28360000000000002</v>
      </c>
      <c r="N2007">
        <v>0</v>
      </c>
      <c r="O2007">
        <v>31</v>
      </c>
      <c r="P2007">
        <v>31</v>
      </c>
      <c r="Q2007">
        <v>215</v>
      </c>
      <c r="R2007">
        <v>216</v>
      </c>
    </row>
    <row r="2008" spans="1:18" x14ac:dyDescent="0.25">
      <c r="A2008">
        <v>217</v>
      </c>
      <c r="B2008" s="1">
        <v>40553</v>
      </c>
      <c r="C2008">
        <v>1</v>
      </c>
      <c r="D2008">
        <v>0</v>
      </c>
      <c r="E2008">
        <v>1</v>
      </c>
      <c r="F2008">
        <v>7</v>
      </c>
      <c r="G2008" t="b">
        <v>0</v>
      </c>
      <c r="H2008">
        <v>1</v>
      </c>
      <c r="I2008">
        <v>1</v>
      </c>
      <c r="J2008">
        <v>0.12</v>
      </c>
      <c r="K2008">
        <v>0.1212</v>
      </c>
      <c r="L2008">
        <v>0.5</v>
      </c>
      <c r="M2008">
        <v>0.22389999999999999</v>
      </c>
      <c r="N2008">
        <v>2</v>
      </c>
      <c r="O2008">
        <v>75</v>
      </c>
      <c r="P2008">
        <v>77</v>
      </c>
      <c r="Q2008">
        <v>216</v>
      </c>
      <c r="R2008">
        <v>217</v>
      </c>
    </row>
    <row r="2009" spans="1:18" x14ac:dyDescent="0.25">
      <c r="A2009">
        <v>218</v>
      </c>
      <c r="B2009" s="1">
        <v>40553</v>
      </c>
      <c r="C2009">
        <v>1</v>
      </c>
      <c r="D2009">
        <v>0</v>
      </c>
      <c r="E2009">
        <v>1</v>
      </c>
      <c r="F2009">
        <v>8</v>
      </c>
      <c r="G2009" t="b">
        <v>0</v>
      </c>
      <c r="H2009">
        <v>1</v>
      </c>
      <c r="I2009">
        <v>2</v>
      </c>
      <c r="J2009">
        <v>0.12</v>
      </c>
      <c r="K2009">
        <v>0.1212</v>
      </c>
      <c r="L2009">
        <v>0.5</v>
      </c>
      <c r="M2009">
        <v>0.28360000000000002</v>
      </c>
      <c r="N2009">
        <v>4</v>
      </c>
      <c r="O2009">
        <v>184</v>
      </c>
      <c r="P2009">
        <v>188</v>
      </c>
      <c r="Q2009">
        <v>217</v>
      </c>
      <c r="R2009">
        <v>218</v>
      </c>
    </row>
    <row r="2010" spans="1:18" x14ac:dyDescent="0.25">
      <c r="A2010">
        <v>219</v>
      </c>
      <c r="B2010" s="1">
        <v>40553</v>
      </c>
      <c r="C2010">
        <v>1</v>
      </c>
      <c r="D2010">
        <v>0</v>
      </c>
      <c r="E2010">
        <v>1</v>
      </c>
      <c r="F2010">
        <v>9</v>
      </c>
      <c r="G2010" t="b">
        <v>0</v>
      </c>
      <c r="H2010">
        <v>1</v>
      </c>
      <c r="I2010">
        <v>2</v>
      </c>
      <c r="J2010">
        <v>0.14000000000000001</v>
      </c>
      <c r="K2010">
        <v>0.1212</v>
      </c>
      <c r="L2010">
        <v>0.5</v>
      </c>
      <c r="M2010">
        <v>0.25369999999999998</v>
      </c>
      <c r="N2010">
        <v>2</v>
      </c>
      <c r="O2010">
        <v>92</v>
      </c>
      <c r="P2010">
        <v>94</v>
      </c>
      <c r="Q2010">
        <v>218</v>
      </c>
      <c r="R2010">
        <v>219</v>
      </c>
    </row>
    <row r="2011" spans="1:18" x14ac:dyDescent="0.25">
      <c r="A2011">
        <v>220</v>
      </c>
      <c r="B2011" s="1">
        <v>40553</v>
      </c>
      <c r="C2011">
        <v>1</v>
      </c>
      <c r="D2011">
        <v>0</v>
      </c>
      <c r="E2011">
        <v>1</v>
      </c>
      <c r="F2011">
        <v>10</v>
      </c>
      <c r="G2011" t="b">
        <v>0</v>
      </c>
      <c r="H2011">
        <v>1</v>
      </c>
      <c r="I2011">
        <v>2</v>
      </c>
      <c r="J2011">
        <v>0.14000000000000001</v>
      </c>
      <c r="K2011">
        <v>0.1212</v>
      </c>
      <c r="L2011">
        <v>0.5</v>
      </c>
      <c r="M2011">
        <v>0.29849999999999999</v>
      </c>
      <c r="N2011">
        <v>0</v>
      </c>
      <c r="O2011">
        <v>31</v>
      </c>
      <c r="P2011">
        <v>31</v>
      </c>
      <c r="Q2011">
        <v>219</v>
      </c>
      <c r="R2011">
        <v>220</v>
      </c>
    </row>
    <row r="2012" spans="1:18" x14ac:dyDescent="0.25">
      <c r="A2012">
        <v>221</v>
      </c>
      <c r="B2012" s="1">
        <v>40553</v>
      </c>
      <c r="C2012">
        <v>1</v>
      </c>
      <c r="D2012">
        <v>0</v>
      </c>
      <c r="E2012">
        <v>1</v>
      </c>
      <c r="F2012">
        <v>11</v>
      </c>
      <c r="G2012" t="b">
        <v>0</v>
      </c>
      <c r="H2012">
        <v>1</v>
      </c>
      <c r="I2012">
        <v>2</v>
      </c>
      <c r="J2012">
        <v>0.16</v>
      </c>
      <c r="K2012">
        <v>0.13639999999999999</v>
      </c>
      <c r="L2012">
        <v>0.47</v>
      </c>
      <c r="M2012">
        <v>0.28360000000000002</v>
      </c>
      <c r="N2012">
        <v>2</v>
      </c>
      <c r="O2012">
        <v>28</v>
      </c>
      <c r="P2012">
        <v>30</v>
      </c>
      <c r="Q2012">
        <v>220</v>
      </c>
      <c r="R2012">
        <v>221</v>
      </c>
    </row>
    <row r="2013" spans="1:18" x14ac:dyDescent="0.25">
      <c r="A2013">
        <v>222</v>
      </c>
      <c r="B2013" s="1">
        <v>40553</v>
      </c>
      <c r="C2013">
        <v>1</v>
      </c>
      <c r="D2013">
        <v>0</v>
      </c>
      <c r="E2013">
        <v>1</v>
      </c>
      <c r="F2013">
        <v>12</v>
      </c>
      <c r="G2013" t="b">
        <v>0</v>
      </c>
      <c r="H2013">
        <v>1</v>
      </c>
      <c r="I2013">
        <v>2</v>
      </c>
      <c r="J2013">
        <v>0.2</v>
      </c>
      <c r="K2013">
        <v>0.18179999999999999</v>
      </c>
      <c r="L2013">
        <v>0.4</v>
      </c>
      <c r="M2013">
        <v>0.28360000000000002</v>
      </c>
      <c r="N2013">
        <v>5</v>
      </c>
      <c r="O2013">
        <v>47</v>
      </c>
      <c r="P2013">
        <v>52</v>
      </c>
      <c r="Q2013">
        <v>221</v>
      </c>
      <c r="R2013">
        <v>222</v>
      </c>
    </row>
    <row r="2014" spans="1:18" x14ac:dyDescent="0.25">
      <c r="A2014">
        <v>223</v>
      </c>
      <c r="B2014" s="1">
        <v>40553</v>
      </c>
      <c r="C2014">
        <v>1</v>
      </c>
      <c r="D2014">
        <v>0</v>
      </c>
      <c r="E2014">
        <v>1</v>
      </c>
      <c r="F2014">
        <v>13</v>
      </c>
      <c r="G2014" t="b">
        <v>0</v>
      </c>
      <c r="H2014">
        <v>1</v>
      </c>
      <c r="I2014">
        <v>2</v>
      </c>
      <c r="J2014">
        <v>0.2</v>
      </c>
      <c r="K2014">
        <v>0.18179999999999999</v>
      </c>
      <c r="L2014">
        <v>0.4</v>
      </c>
      <c r="M2014">
        <v>0.28360000000000002</v>
      </c>
      <c r="N2014">
        <v>4</v>
      </c>
      <c r="O2014">
        <v>50</v>
      </c>
      <c r="P2014">
        <v>54</v>
      </c>
      <c r="Q2014">
        <v>222</v>
      </c>
      <c r="R2014">
        <v>223</v>
      </c>
    </row>
    <row r="2015" spans="1:18" x14ac:dyDescent="0.25">
      <c r="A2015">
        <v>224</v>
      </c>
      <c r="B2015" s="1">
        <v>40553</v>
      </c>
      <c r="C2015">
        <v>1</v>
      </c>
      <c r="D2015">
        <v>0</v>
      </c>
      <c r="E2015">
        <v>1</v>
      </c>
      <c r="F2015">
        <v>14</v>
      </c>
      <c r="G2015" t="b">
        <v>0</v>
      </c>
      <c r="H2015">
        <v>1</v>
      </c>
      <c r="I2015">
        <v>2</v>
      </c>
      <c r="J2015">
        <v>0.2</v>
      </c>
      <c r="K2015">
        <v>0.19700000000000001</v>
      </c>
      <c r="L2015">
        <v>0.4</v>
      </c>
      <c r="M2015">
        <v>0.22389999999999999</v>
      </c>
      <c r="N2015">
        <v>0</v>
      </c>
      <c r="O2015">
        <v>47</v>
      </c>
      <c r="P2015">
        <v>47</v>
      </c>
      <c r="Q2015">
        <v>223</v>
      </c>
      <c r="R2015">
        <v>224</v>
      </c>
    </row>
    <row r="2016" spans="1:18" x14ac:dyDescent="0.25">
      <c r="A2016">
        <v>225</v>
      </c>
      <c r="B2016" s="1">
        <v>40553</v>
      </c>
      <c r="C2016">
        <v>1</v>
      </c>
      <c r="D2016">
        <v>0</v>
      </c>
      <c r="E2016">
        <v>1</v>
      </c>
      <c r="F2016">
        <v>15</v>
      </c>
      <c r="G2016" t="b">
        <v>0</v>
      </c>
      <c r="H2016">
        <v>1</v>
      </c>
      <c r="I2016">
        <v>2</v>
      </c>
      <c r="J2016">
        <v>0.2</v>
      </c>
      <c r="K2016">
        <v>0.19700000000000001</v>
      </c>
      <c r="L2016">
        <v>0.4</v>
      </c>
      <c r="M2016">
        <v>0.22389999999999999</v>
      </c>
      <c r="N2016">
        <v>2</v>
      </c>
      <c r="O2016">
        <v>43</v>
      </c>
      <c r="P2016">
        <v>45</v>
      </c>
      <c r="Q2016">
        <v>224</v>
      </c>
      <c r="R2016">
        <v>225</v>
      </c>
    </row>
    <row r="2017" spans="1:18" x14ac:dyDescent="0.25">
      <c r="A2017">
        <v>226</v>
      </c>
      <c r="B2017" s="1">
        <v>40553</v>
      </c>
      <c r="C2017">
        <v>1</v>
      </c>
      <c r="D2017">
        <v>0</v>
      </c>
      <c r="E2017">
        <v>1</v>
      </c>
      <c r="F2017">
        <v>16</v>
      </c>
      <c r="G2017" t="b">
        <v>0</v>
      </c>
      <c r="H2017">
        <v>1</v>
      </c>
      <c r="I2017">
        <v>1</v>
      </c>
      <c r="J2017">
        <v>0.2</v>
      </c>
      <c r="K2017">
        <v>0.21210000000000001</v>
      </c>
      <c r="L2017">
        <v>0.4</v>
      </c>
      <c r="M2017">
        <v>0.1343</v>
      </c>
      <c r="N2017">
        <v>4</v>
      </c>
      <c r="O2017">
        <v>70</v>
      </c>
      <c r="P2017">
        <v>74</v>
      </c>
      <c r="Q2017">
        <v>225</v>
      </c>
      <c r="R2017">
        <v>226</v>
      </c>
    </row>
    <row r="2018" spans="1:18" x14ac:dyDescent="0.25">
      <c r="A2018">
        <v>227</v>
      </c>
      <c r="B2018" s="1">
        <v>40553</v>
      </c>
      <c r="C2018">
        <v>1</v>
      </c>
      <c r="D2018">
        <v>0</v>
      </c>
      <c r="E2018">
        <v>1</v>
      </c>
      <c r="F2018">
        <v>17</v>
      </c>
      <c r="G2018" t="b">
        <v>0</v>
      </c>
      <c r="H2018">
        <v>1</v>
      </c>
      <c r="I2018">
        <v>1</v>
      </c>
      <c r="J2018">
        <v>0.2</v>
      </c>
      <c r="K2018">
        <v>0.2273</v>
      </c>
      <c r="L2018">
        <v>0.4</v>
      </c>
      <c r="M2018">
        <v>0.1045</v>
      </c>
      <c r="N2018">
        <v>4</v>
      </c>
      <c r="O2018">
        <v>174</v>
      </c>
      <c r="P2018">
        <v>178</v>
      </c>
      <c r="Q2018">
        <v>226</v>
      </c>
      <c r="R2018">
        <v>227</v>
      </c>
    </row>
    <row r="2019" spans="1:18" x14ac:dyDescent="0.25">
      <c r="A2019">
        <v>228</v>
      </c>
      <c r="B2019" s="1">
        <v>40553</v>
      </c>
      <c r="C2019">
        <v>1</v>
      </c>
      <c r="D2019">
        <v>0</v>
      </c>
      <c r="E2019">
        <v>1</v>
      </c>
      <c r="F2019">
        <v>18</v>
      </c>
      <c r="G2019" t="b">
        <v>0</v>
      </c>
      <c r="H2019">
        <v>1</v>
      </c>
      <c r="I2019">
        <v>1</v>
      </c>
      <c r="J2019">
        <v>0.2</v>
      </c>
      <c r="K2019">
        <v>0.19700000000000001</v>
      </c>
      <c r="L2019">
        <v>0.4</v>
      </c>
      <c r="M2019">
        <v>0.22389999999999999</v>
      </c>
      <c r="N2019">
        <v>1</v>
      </c>
      <c r="O2019">
        <v>154</v>
      </c>
      <c r="P2019">
        <v>155</v>
      </c>
      <c r="Q2019">
        <v>227</v>
      </c>
      <c r="R2019">
        <v>228</v>
      </c>
    </row>
    <row r="2020" spans="1:18" x14ac:dyDescent="0.25">
      <c r="A2020">
        <v>229</v>
      </c>
      <c r="B2020" s="1">
        <v>40553</v>
      </c>
      <c r="C2020">
        <v>1</v>
      </c>
      <c r="D2020">
        <v>0</v>
      </c>
      <c r="E2020">
        <v>1</v>
      </c>
      <c r="F2020">
        <v>19</v>
      </c>
      <c r="G2020" t="b">
        <v>0</v>
      </c>
      <c r="H2020">
        <v>1</v>
      </c>
      <c r="I2020">
        <v>1</v>
      </c>
      <c r="J2020">
        <v>0.16</v>
      </c>
      <c r="K2020">
        <v>0.16669999999999999</v>
      </c>
      <c r="L2020">
        <v>0.47</v>
      </c>
      <c r="M2020">
        <v>0.16420000000000001</v>
      </c>
      <c r="N2020">
        <v>3</v>
      </c>
      <c r="O2020">
        <v>92</v>
      </c>
      <c r="P2020">
        <v>95</v>
      </c>
      <c r="Q2020">
        <v>228</v>
      </c>
      <c r="R2020">
        <v>229</v>
      </c>
    </row>
    <row r="2021" spans="1:18" x14ac:dyDescent="0.25">
      <c r="A2021">
        <v>230</v>
      </c>
      <c r="B2021" s="1">
        <v>40553</v>
      </c>
      <c r="C2021">
        <v>1</v>
      </c>
      <c r="D2021">
        <v>0</v>
      </c>
      <c r="E2021">
        <v>1</v>
      </c>
      <c r="F2021">
        <v>20</v>
      </c>
      <c r="G2021" t="b">
        <v>0</v>
      </c>
      <c r="H2021">
        <v>1</v>
      </c>
      <c r="I2021">
        <v>1</v>
      </c>
      <c r="J2021">
        <v>0.16</v>
      </c>
      <c r="K2021">
        <v>0.16669999999999999</v>
      </c>
      <c r="L2021">
        <v>0.5</v>
      </c>
      <c r="M2021">
        <v>0.16420000000000001</v>
      </c>
      <c r="N2021">
        <v>1</v>
      </c>
      <c r="O2021">
        <v>73</v>
      </c>
      <c r="P2021">
        <v>74</v>
      </c>
      <c r="Q2021">
        <v>229</v>
      </c>
      <c r="R2021">
        <v>230</v>
      </c>
    </row>
    <row r="2022" spans="1:18" x14ac:dyDescent="0.25">
      <c r="A2022">
        <v>231</v>
      </c>
      <c r="B2022" s="1">
        <v>40553</v>
      </c>
      <c r="C2022">
        <v>1</v>
      </c>
      <c r="D2022">
        <v>0</v>
      </c>
      <c r="E2022">
        <v>1</v>
      </c>
      <c r="F2022">
        <v>21</v>
      </c>
      <c r="G2022" t="b">
        <v>0</v>
      </c>
      <c r="H2022">
        <v>1</v>
      </c>
      <c r="I2022">
        <v>1</v>
      </c>
      <c r="J2022">
        <v>0.14000000000000001</v>
      </c>
      <c r="K2022">
        <v>0.13639999999999999</v>
      </c>
      <c r="L2022">
        <v>0.59</v>
      </c>
      <c r="M2022">
        <v>0.19400000000000001</v>
      </c>
      <c r="N2022">
        <v>1</v>
      </c>
      <c r="O2022">
        <v>37</v>
      </c>
      <c r="P2022">
        <v>38</v>
      </c>
      <c r="Q2022">
        <v>230</v>
      </c>
      <c r="R2022">
        <v>231</v>
      </c>
    </row>
    <row r="2023" spans="1:18" x14ac:dyDescent="0.25">
      <c r="A2023">
        <v>232</v>
      </c>
      <c r="B2023" s="1">
        <v>40553</v>
      </c>
      <c r="C2023">
        <v>1</v>
      </c>
      <c r="D2023">
        <v>0</v>
      </c>
      <c r="E2023">
        <v>1</v>
      </c>
      <c r="F2023">
        <v>22</v>
      </c>
      <c r="G2023" t="b">
        <v>0</v>
      </c>
      <c r="H2023">
        <v>1</v>
      </c>
      <c r="I2023">
        <v>1</v>
      </c>
      <c r="J2023">
        <v>0.14000000000000001</v>
      </c>
      <c r="K2023">
        <v>0.1515</v>
      </c>
      <c r="L2023">
        <v>0.59</v>
      </c>
      <c r="M2023">
        <v>0.16420000000000001</v>
      </c>
      <c r="N2023">
        <v>2</v>
      </c>
      <c r="O2023">
        <v>22</v>
      </c>
      <c r="P2023">
        <v>24</v>
      </c>
      <c r="Q2023">
        <v>231</v>
      </c>
      <c r="R2023">
        <v>232</v>
      </c>
    </row>
    <row r="2024" spans="1:18" x14ac:dyDescent="0.25">
      <c r="A2024">
        <v>233</v>
      </c>
      <c r="B2024" s="1">
        <v>40553</v>
      </c>
      <c r="C2024">
        <v>1</v>
      </c>
      <c r="D2024">
        <v>0</v>
      </c>
      <c r="E2024">
        <v>1</v>
      </c>
      <c r="F2024">
        <v>23</v>
      </c>
      <c r="G2024" t="b">
        <v>0</v>
      </c>
      <c r="H2024">
        <v>1</v>
      </c>
      <c r="I2024">
        <v>1</v>
      </c>
      <c r="J2024">
        <v>0.14000000000000001</v>
      </c>
      <c r="K2024">
        <v>0.1515</v>
      </c>
      <c r="L2024">
        <v>0.59</v>
      </c>
      <c r="M2024">
        <v>0.16420000000000001</v>
      </c>
      <c r="N2024">
        <v>0</v>
      </c>
      <c r="O2024">
        <v>18</v>
      </c>
      <c r="P2024">
        <v>18</v>
      </c>
      <c r="Q2024">
        <v>232</v>
      </c>
      <c r="R2024">
        <v>233</v>
      </c>
    </row>
    <row r="2025" spans="1:18" x14ac:dyDescent="0.25">
      <c r="A2025">
        <v>234</v>
      </c>
      <c r="B2025" s="1">
        <v>40554</v>
      </c>
      <c r="C2025">
        <v>1</v>
      </c>
      <c r="D2025">
        <v>0</v>
      </c>
      <c r="E2025">
        <v>1</v>
      </c>
      <c r="F2025">
        <v>0</v>
      </c>
      <c r="G2025" t="b">
        <v>0</v>
      </c>
      <c r="H2025">
        <v>2</v>
      </c>
      <c r="I2025">
        <v>1</v>
      </c>
      <c r="J2025">
        <v>0.14000000000000001</v>
      </c>
      <c r="K2025">
        <v>0.16669999999999999</v>
      </c>
      <c r="L2025">
        <v>0.59</v>
      </c>
      <c r="M2025">
        <v>0.1045</v>
      </c>
      <c r="N2025">
        <v>2</v>
      </c>
      <c r="O2025">
        <v>10</v>
      </c>
      <c r="P2025">
        <v>12</v>
      </c>
      <c r="Q2025">
        <v>233</v>
      </c>
      <c r="R2025">
        <v>234</v>
      </c>
    </row>
    <row r="2026" spans="1:18" x14ac:dyDescent="0.25">
      <c r="A2026">
        <v>235</v>
      </c>
      <c r="B2026" s="1">
        <v>40554</v>
      </c>
      <c r="C2026">
        <v>1</v>
      </c>
      <c r="D2026">
        <v>0</v>
      </c>
      <c r="E2026">
        <v>1</v>
      </c>
      <c r="F2026">
        <v>1</v>
      </c>
      <c r="G2026" t="b">
        <v>0</v>
      </c>
      <c r="H2026">
        <v>2</v>
      </c>
      <c r="I2026">
        <v>1</v>
      </c>
      <c r="J2026">
        <v>0.14000000000000001</v>
      </c>
      <c r="K2026">
        <v>0.1515</v>
      </c>
      <c r="L2026">
        <v>0.59</v>
      </c>
      <c r="M2026">
        <v>0.16420000000000001</v>
      </c>
      <c r="N2026">
        <v>0</v>
      </c>
      <c r="O2026">
        <v>3</v>
      </c>
      <c r="P2026">
        <v>3</v>
      </c>
      <c r="Q2026">
        <v>234</v>
      </c>
      <c r="R2026">
        <v>235</v>
      </c>
    </row>
    <row r="2027" spans="1:18" x14ac:dyDescent="0.25">
      <c r="A2027">
        <v>236</v>
      </c>
      <c r="B2027" s="1">
        <v>40554</v>
      </c>
      <c r="C2027">
        <v>1</v>
      </c>
      <c r="D2027">
        <v>0</v>
      </c>
      <c r="E2027">
        <v>1</v>
      </c>
      <c r="F2027">
        <v>2</v>
      </c>
      <c r="G2027" t="b">
        <v>0</v>
      </c>
      <c r="H2027">
        <v>2</v>
      </c>
      <c r="I2027">
        <v>2</v>
      </c>
      <c r="J2027">
        <v>0.16</v>
      </c>
      <c r="K2027">
        <v>0.1515</v>
      </c>
      <c r="L2027">
        <v>0.55000000000000004</v>
      </c>
      <c r="M2027">
        <v>0.19400000000000001</v>
      </c>
      <c r="N2027">
        <v>0</v>
      </c>
      <c r="O2027">
        <v>3</v>
      </c>
      <c r="P2027">
        <v>3</v>
      </c>
      <c r="Q2027">
        <v>235</v>
      </c>
      <c r="R2027">
        <v>236</v>
      </c>
    </row>
    <row r="2028" spans="1:18" x14ac:dyDescent="0.25">
      <c r="A2028">
        <v>237</v>
      </c>
      <c r="B2028" s="1">
        <v>40554</v>
      </c>
      <c r="C2028">
        <v>1</v>
      </c>
      <c r="D2028">
        <v>0</v>
      </c>
      <c r="E2028">
        <v>1</v>
      </c>
      <c r="F2028">
        <v>5</v>
      </c>
      <c r="G2028" t="b">
        <v>0</v>
      </c>
      <c r="H2028">
        <v>2</v>
      </c>
      <c r="I2028">
        <v>2</v>
      </c>
      <c r="J2028">
        <v>0.16</v>
      </c>
      <c r="K2028">
        <v>0.18179999999999999</v>
      </c>
      <c r="L2028">
        <v>0.55000000000000004</v>
      </c>
      <c r="M2028">
        <v>0.1343</v>
      </c>
      <c r="N2028">
        <v>0</v>
      </c>
      <c r="O2028">
        <v>6</v>
      </c>
      <c r="P2028">
        <v>6</v>
      </c>
      <c r="Q2028">
        <v>236</v>
      </c>
      <c r="R2028">
        <v>237</v>
      </c>
    </row>
    <row r="2029" spans="1:18" x14ac:dyDescent="0.25">
      <c r="A2029">
        <v>238</v>
      </c>
      <c r="B2029" s="1">
        <v>40554</v>
      </c>
      <c r="C2029">
        <v>1</v>
      </c>
      <c r="D2029">
        <v>0</v>
      </c>
      <c r="E2029">
        <v>1</v>
      </c>
      <c r="F2029">
        <v>6</v>
      </c>
      <c r="G2029" t="b">
        <v>0</v>
      </c>
      <c r="H2029">
        <v>2</v>
      </c>
      <c r="I2029">
        <v>2</v>
      </c>
      <c r="J2029">
        <v>0.16</v>
      </c>
      <c r="K2029">
        <v>0.18179999999999999</v>
      </c>
      <c r="L2029">
        <v>0.55000000000000004</v>
      </c>
      <c r="M2029">
        <v>0.1343</v>
      </c>
      <c r="N2029">
        <v>0</v>
      </c>
      <c r="O2029">
        <v>27</v>
      </c>
      <c r="P2029">
        <v>27</v>
      </c>
      <c r="Q2029">
        <v>237</v>
      </c>
      <c r="R2029">
        <v>238</v>
      </c>
    </row>
    <row r="2030" spans="1:18" x14ac:dyDescent="0.25">
      <c r="A2030">
        <v>239</v>
      </c>
      <c r="B2030" s="1">
        <v>40554</v>
      </c>
      <c r="C2030">
        <v>1</v>
      </c>
      <c r="D2030">
        <v>0</v>
      </c>
      <c r="E2030">
        <v>1</v>
      </c>
      <c r="F2030">
        <v>7</v>
      </c>
      <c r="G2030" t="b">
        <v>0</v>
      </c>
      <c r="H2030">
        <v>2</v>
      </c>
      <c r="I2030">
        <v>2</v>
      </c>
      <c r="J2030">
        <v>0.16</v>
      </c>
      <c r="K2030">
        <v>0.2273</v>
      </c>
      <c r="L2030">
        <v>0.55000000000000004</v>
      </c>
      <c r="M2030">
        <v>0</v>
      </c>
      <c r="N2030">
        <v>2</v>
      </c>
      <c r="O2030">
        <v>97</v>
      </c>
      <c r="P2030">
        <v>99</v>
      </c>
      <c r="Q2030">
        <v>238</v>
      </c>
      <c r="R2030">
        <v>239</v>
      </c>
    </row>
    <row r="2031" spans="1:18" x14ac:dyDescent="0.25">
      <c r="A2031">
        <v>240</v>
      </c>
      <c r="B2031" s="1">
        <v>40554</v>
      </c>
      <c r="C2031">
        <v>1</v>
      </c>
      <c r="D2031">
        <v>0</v>
      </c>
      <c r="E2031">
        <v>1</v>
      </c>
      <c r="F2031">
        <v>8</v>
      </c>
      <c r="G2031" t="b">
        <v>0</v>
      </c>
      <c r="H2031">
        <v>2</v>
      </c>
      <c r="I2031">
        <v>2</v>
      </c>
      <c r="J2031">
        <v>0.18</v>
      </c>
      <c r="K2031">
        <v>0.21210000000000001</v>
      </c>
      <c r="L2031">
        <v>0.51</v>
      </c>
      <c r="M2031">
        <v>8.9599999999999999E-2</v>
      </c>
      <c r="N2031">
        <v>3</v>
      </c>
      <c r="O2031">
        <v>214</v>
      </c>
      <c r="P2031">
        <v>217</v>
      </c>
      <c r="Q2031">
        <v>239</v>
      </c>
      <c r="R2031">
        <v>240</v>
      </c>
    </row>
    <row r="2032" spans="1:18" x14ac:dyDescent="0.25">
      <c r="A2032">
        <v>241</v>
      </c>
      <c r="B2032" s="1">
        <v>40554</v>
      </c>
      <c r="C2032">
        <v>1</v>
      </c>
      <c r="D2032">
        <v>0</v>
      </c>
      <c r="E2032">
        <v>1</v>
      </c>
      <c r="F2032">
        <v>9</v>
      </c>
      <c r="G2032" t="b">
        <v>0</v>
      </c>
      <c r="H2032">
        <v>2</v>
      </c>
      <c r="I2032">
        <v>2</v>
      </c>
      <c r="J2032">
        <v>0.18</v>
      </c>
      <c r="K2032">
        <v>0.19700000000000001</v>
      </c>
      <c r="L2032">
        <v>0.51</v>
      </c>
      <c r="M2032">
        <v>0.16420000000000001</v>
      </c>
      <c r="N2032">
        <v>3</v>
      </c>
      <c r="O2032">
        <v>127</v>
      </c>
      <c r="P2032">
        <v>130</v>
      </c>
      <c r="Q2032">
        <v>240</v>
      </c>
      <c r="R2032">
        <v>241</v>
      </c>
    </row>
    <row r="2033" spans="1:18" x14ac:dyDescent="0.25">
      <c r="A2033">
        <v>242</v>
      </c>
      <c r="B2033" s="1">
        <v>40554</v>
      </c>
      <c r="C2033">
        <v>1</v>
      </c>
      <c r="D2033">
        <v>0</v>
      </c>
      <c r="E2033">
        <v>1</v>
      </c>
      <c r="F2033">
        <v>10</v>
      </c>
      <c r="G2033" t="b">
        <v>0</v>
      </c>
      <c r="H2033">
        <v>2</v>
      </c>
      <c r="I2033">
        <v>2</v>
      </c>
      <c r="J2033">
        <v>0.2</v>
      </c>
      <c r="K2033">
        <v>0.21210000000000001</v>
      </c>
      <c r="L2033">
        <v>0.51</v>
      </c>
      <c r="M2033">
        <v>0.16420000000000001</v>
      </c>
      <c r="N2033">
        <v>3</v>
      </c>
      <c r="O2033">
        <v>51</v>
      </c>
      <c r="P2033">
        <v>54</v>
      </c>
      <c r="Q2033">
        <v>241</v>
      </c>
      <c r="R2033">
        <v>242</v>
      </c>
    </row>
    <row r="2034" spans="1:18" x14ac:dyDescent="0.25">
      <c r="A2034">
        <v>243</v>
      </c>
      <c r="B2034" s="1">
        <v>40554</v>
      </c>
      <c r="C2034">
        <v>1</v>
      </c>
      <c r="D2034">
        <v>0</v>
      </c>
      <c r="E2034">
        <v>1</v>
      </c>
      <c r="F2034">
        <v>11</v>
      </c>
      <c r="G2034" t="b">
        <v>0</v>
      </c>
      <c r="H2034">
        <v>2</v>
      </c>
      <c r="I2034">
        <v>2</v>
      </c>
      <c r="J2034">
        <v>0.2</v>
      </c>
      <c r="K2034">
        <v>0.21210000000000001</v>
      </c>
      <c r="L2034">
        <v>0.47</v>
      </c>
      <c r="M2034">
        <v>0.1343</v>
      </c>
      <c r="N2034">
        <v>4</v>
      </c>
      <c r="O2034">
        <v>31</v>
      </c>
      <c r="P2034">
        <v>35</v>
      </c>
      <c r="Q2034">
        <v>242</v>
      </c>
      <c r="R2034">
        <v>243</v>
      </c>
    </row>
    <row r="2035" spans="1:18" x14ac:dyDescent="0.25">
      <c r="A2035">
        <v>244</v>
      </c>
      <c r="B2035" s="1">
        <v>40554</v>
      </c>
      <c r="C2035">
        <v>1</v>
      </c>
      <c r="D2035">
        <v>0</v>
      </c>
      <c r="E2035">
        <v>1</v>
      </c>
      <c r="F2035">
        <v>12</v>
      </c>
      <c r="G2035" t="b">
        <v>0</v>
      </c>
      <c r="H2035">
        <v>2</v>
      </c>
      <c r="I2035">
        <v>2</v>
      </c>
      <c r="J2035">
        <v>0.2</v>
      </c>
      <c r="K2035">
        <v>0.2273</v>
      </c>
      <c r="L2035">
        <v>0.51</v>
      </c>
      <c r="M2035">
        <v>0.1045</v>
      </c>
      <c r="N2035">
        <v>2</v>
      </c>
      <c r="O2035">
        <v>55</v>
      </c>
      <c r="P2035">
        <v>57</v>
      </c>
      <c r="Q2035">
        <v>243</v>
      </c>
      <c r="R2035">
        <v>244</v>
      </c>
    </row>
    <row r="2036" spans="1:18" x14ac:dyDescent="0.25">
      <c r="A2036">
        <v>245</v>
      </c>
      <c r="B2036" s="1">
        <v>40554</v>
      </c>
      <c r="C2036">
        <v>1</v>
      </c>
      <c r="D2036">
        <v>0</v>
      </c>
      <c r="E2036">
        <v>1</v>
      </c>
      <c r="F2036">
        <v>13</v>
      </c>
      <c r="G2036" t="b">
        <v>0</v>
      </c>
      <c r="H2036">
        <v>2</v>
      </c>
      <c r="I2036">
        <v>2</v>
      </c>
      <c r="J2036">
        <v>0.2</v>
      </c>
      <c r="K2036">
        <v>0.2273</v>
      </c>
      <c r="L2036">
        <v>0.59</v>
      </c>
      <c r="M2036">
        <v>8.9599999999999999E-2</v>
      </c>
      <c r="N2036">
        <v>6</v>
      </c>
      <c r="O2036">
        <v>46</v>
      </c>
      <c r="P2036">
        <v>52</v>
      </c>
      <c r="Q2036">
        <v>244</v>
      </c>
      <c r="R2036">
        <v>245</v>
      </c>
    </row>
    <row r="2037" spans="1:18" x14ac:dyDescent="0.25">
      <c r="A2037">
        <v>246</v>
      </c>
      <c r="B2037" s="1">
        <v>40554</v>
      </c>
      <c r="C2037">
        <v>1</v>
      </c>
      <c r="D2037">
        <v>0</v>
      </c>
      <c r="E2037">
        <v>1</v>
      </c>
      <c r="F2037">
        <v>14</v>
      </c>
      <c r="G2037" t="b">
        <v>0</v>
      </c>
      <c r="H2037">
        <v>2</v>
      </c>
      <c r="I2037">
        <v>2</v>
      </c>
      <c r="J2037">
        <v>0.2</v>
      </c>
      <c r="K2037">
        <v>0.2273</v>
      </c>
      <c r="L2037">
        <v>0.59</v>
      </c>
      <c r="M2037">
        <v>8.9599999999999999E-2</v>
      </c>
      <c r="N2037">
        <v>3</v>
      </c>
      <c r="O2037">
        <v>60</v>
      </c>
      <c r="P2037">
        <v>63</v>
      </c>
      <c r="Q2037">
        <v>245</v>
      </c>
      <c r="R2037">
        <v>246</v>
      </c>
    </row>
    <row r="2038" spans="1:18" x14ac:dyDescent="0.25">
      <c r="A2038">
        <v>247</v>
      </c>
      <c r="B2038" s="1">
        <v>40554</v>
      </c>
      <c r="C2038">
        <v>1</v>
      </c>
      <c r="D2038">
        <v>0</v>
      </c>
      <c r="E2038">
        <v>1</v>
      </c>
      <c r="F2038">
        <v>15</v>
      </c>
      <c r="G2038" t="b">
        <v>0</v>
      </c>
      <c r="H2038">
        <v>2</v>
      </c>
      <c r="I2038">
        <v>2</v>
      </c>
      <c r="J2038">
        <v>0.16</v>
      </c>
      <c r="K2038">
        <v>0.19700000000000001</v>
      </c>
      <c r="L2038">
        <v>0.8</v>
      </c>
      <c r="M2038">
        <v>8.9599999999999999E-2</v>
      </c>
      <c r="N2038">
        <v>2</v>
      </c>
      <c r="O2038">
        <v>45</v>
      </c>
      <c r="P2038">
        <v>47</v>
      </c>
      <c r="Q2038">
        <v>246</v>
      </c>
      <c r="R2038">
        <v>247</v>
      </c>
    </row>
    <row r="2039" spans="1:18" x14ac:dyDescent="0.25">
      <c r="A2039">
        <v>248</v>
      </c>
      <c r="B2039" s="1">
        <v>40554</v>
      </c>
      <c r="C2039">
        <v>1</v>
      </c>
      <c r="D2039">
        <v>0</v>
      </c>
      <c r="E2039">
        <v>1</v>
      </c>
      <c r="F2039">
        <v>16</v>
      </c>
      <c r="G2039" t="b">
        <v>0</v>
      </c>
      <c r="H2039">
        <v>2</v>
      </c>
      <c r="I2039">
        <v>2</v>
      </c>
      <c r="J2039">
        <v>0.16</v>
      </c>
      <c r="K2039">
        <v>0.1515</v>
      </c>
      <c r="L2039">
        <v>0.86</v>
      </c>
      <c r="M2039">
        <v>0.22389999999999999</v>
      </c>
      <c r="N2039">
        <v>4</v>
      </c>
      <c r="O2039">
        <v>72</v>
      </c>
      <c r="P2039">
        <v>76</v>
      </c>
      <c r="Q2039">
        <v>247</v>
      </c>
      <c r="R2039">
        <v>248</v>
      </c>
    </row>
    <row r="2040" spans="1:18" x14ac:dyDescent="0.25">
      <c r="A2040">
        <v>249</v>
      </c>
      <c r="B2040" s="1">
        <v>40554</v>
      </c>
      <c r="C2040">
        <v>1</v>
      </c>
      <c r="D2040">
        <v>0</v>
      </c>
      <c r="E2040">
        <v>1</v>
      </c>
      <c r="F2040">
        <v>17</v>
      </c>
      <c r="G2040" t="b">
        <v>0</v>
      </c>
      <c r="H2040">
        <v>2</v>
      </c>
      <c r="I2040">
        <v>2</v>
      </c>
      <c r="J2040">
        <v>0.16</v>
      </c>
      <c r="K2040">
        <v>0.1515</v>
      </c>
      <c r="L2040">
        <v>0.86</v>
      </c>
      <c r="M2040">
        <v>0.22389999999999999</v>
      </c>
      <c r="N2040">
        <v>6</v>
      </c>
      <c r="O2040">
        <v>130</v>
      </c>
      <c r="P2040">
        <v>136</v>
      </c>
      <c r="Q2040">
        <v>248</v>
      </c>
      <c r="R2040">
        <v>249</v>
      </c>
    </row>
    <row r="2041" spans="1:18" x14ac:dyDescent="0.25">
      <c r="A2041">
        <v>250</v>
      </c>
      <c r="B2041" s="1">
        <v>40554</v>
      </c>
      <c r="C2041">
        <v>1</v>
      </c>
      <c r="D2041">
        <v>0</v>
      </c>
      <c r="E2041">
        <v>1</v>
      </c>
      <c r="F2041">
        <v>18</v>
      </c>
      <c r="G2041" t="b">
        <v>0</v>
      </c>
      <c r="H2041">
        <v>2</v>
      </c>
      <c r="I2041">
        <v>3</v>
      </c>
      <c r="J2041">
        <v>0.16</v>
      </c>
      <c r="K2041">
        <v>0.18179999999999999</v>
      </c>
      <c r="L2041">
        <v>0.93</v>
      </c>
      <c r="M2041">
        <v>0.1045</v>
      </c>
      <c r="N2041">
        <v>1</v>
      </c>
      <c r="O2041">
        <v>94</v>
      </c>
      <c r="P2041">
        <v>95</v>
      </c>
      <c r="Q2041">
        <v>249</v>
      </c>
      <c r="R2041">
        <v>250</v>
      </c>
    </row>
    <row r="2042" spans="1:18" x14ac:dyDescent="0.25">
      <c r="A2042">
        <v>251</v>
      </c>
      <c r="B2042" s="1">
        <v>40554</v>
      </c>
      <c r="C2042">
        <v>1</v>
      </c>
      <c r="D2042">
        <v>0</v>
      </c>
      <c r="E2042">
        <v>1</v>
      </c>
      <c r="F2042">
        <v>19</v>
      </c>
      <c r="G2042" t="b">
        <v>0</v>
      </c>
      <c r="H2042">
        <v>2</v>
      </c>
      <c r="I2042">
        <v>3</v>
      </c>
      <c r="J2042">
        <v>0.16</v>
      </c>
      <c r="K2042">
        <v>0.2273</v>
      </c>
      <c r="L2042">
        <v>0.93</v>
      </c>
      <c r="M2042">
        <v>0</v>
      </c>
      <c r="N2042">
        <v>0</v>
      </c>
      <c r="O2042">
        <v>51</v>
      </c>
      <c r="P2042">
        <v>51</v>
      </c>
      <c r="Q2042">
        <v>250</v>
      </c>
      <c r="R2042">
        <v>251</v>
      </c>
    </row>
    <row r="2043" spans="1:18" x14ac:dyDescent="0.25">
      <c r="A2043">
        <v>252</v>
      </c>
      <c r="B2043" s="1">
        <v>40554</v>
      </c>
      <c r="C2043">
        <v>1</v>
      </c>
      <c r="D2043">
        <v>0</v>
      </c>
      <c r="E2043">
        <v>1</v>
      </c>
      <c r="F2043">
        <v>20</v>
      </c>
      <c r="G2043" t="b">
        <v>0</v>
      </c>
      <c r="H2043">
        <v>2</v>
      </c>
      <c r="I2043">
        <v>3</v>
      </c>
      <c r="J2043">
        <v>0.16</v>
      </c>
      <c r="K2043">
        <v>0.1515</v>
      </c>
      <c r="L2043">
        <v>0.93</v>
      </c>
      <c r="M2043">
        <v>0.19400000000000001</v>
      </c>
      <c r="N2043">
        <v>0</v>
      </c>
      <c r="O2043">
        <v>32</v>
      </c>
      <c r="P2043">
        <v>32</v>
      </c>
      <c r="Q2043">
        <v>251</v>
      </c>
      <c r="R2043">
        <v>252</v>
      </c>
    </row>
    <row r="2044" spans="1:18" x14ac:dyDescent="0.25">
      <c r="A2044">
        <v>253</v>
      </c>
      <c r="B2044" s="1">
        <v>40554</v>
      </c>
      <c r="C2044">
        <v>1</v>
      </c>
      <c r="D2044">
        <v>0</v>
      </c>
      <c r="E2044">
        <v>1</v>
      </c>
      <c r="F2044">
        <v>21</v>
      </c>
      <c r="G2044" t="b">
        <v>0</v>
      </c>
      <c r="H2044">
        <v>2</v>
      </c>
      <c r="I2044">
        <v>3</v>
      </c>
      <c r="J2044">
        <v>0.16</v>
      </c>
      <c r="K2044">
        <v>0.19700000000000001</v>
      </c>
      <c r="L2044">
        <v>0.86</v>
      </c>
      <c r="M2044">
        <v>8.9599999999999999E-2</v>
      </c>
      <c r="N2044">
        <v>0</v>
      </c>
      <c r="O2044">
        <v>20</v>
      </c>
      <c r="P2044">
        <v>20</v>
      </c>
      <c r="Q2044">
        <v>252</v>
      </c>
      <c r="R2044">
        <v>253</v>
      </c>
    </row>
    <row r="2045" spans="1:18" x14ac:dyDescent="0.25">
      <c r="A2045">
        <v>254</v>
      </c>
      <c r="B2045" s="1">
        <v>40554</v>
      </c>
      <c r="C2045">
        <v>1</v>
      </c>
      <c r="D2045">
        <v>0</v>
      </c>
      <c r="E2045">
        <v>1</v>
      </c>
      <c r="F2045">
        <v>22</v>
      </c>
      <c r="G2045" t="b">
        <v>0</v>
      </c>
      <c r="H2045">
        <v>2</v>
      </c>
      <c r="I2045">
        <v>3</v>
      </c>
      <c r="J2045">
        <v>0.16</v>
      </c>
      <c r="K2045">
        <v>0.18179999999999999</v>
      </c>
      <c r="L2045">
        <v>0.93</v>
      </c>
      <c r="M2045">
        <v>0.1045</v>
      </c>
      <c r="N2045">
        <v>1</v>
      </c>
      <c r="O2045">
        <v>28</v>
      </c>
      <c r="P2045">
        <v>29</v>
      </c>
      <c r="Q2045">
        <v>253</v>
      </c>
      <c r="R2045">
        <v>254</v>
      </c>
    </row>
    <row r="2046" spans="1:18" x14ac:dyDescent="0.25">
      <c r="A2046">
        <v>255</v>
      </c>
      <c r="B2046" s="1">
        <v>40554</v>
      </c>
      <c r="C2046">
        <v>1</v>
      </c>
      <c r="D2046">
        <v>0</v>
      </c>
      <c r="E2046">
        <v>1</v>
      </c>
      <c r="F2046">
        <v>23</v>
      </c>
      <c r="G2046" t="b">
        <v>0</v>
      </c>
      <c r="H2046">
        <v>2</v>
      </c>
      <c r="I2046">
        <v>3</v>
      </c>
      <c r="J2046">
        <v>0.16</v>
      </c>
      <c r="K2046">
        <v>0.19700000000000001</v>
      </c>
      <c r="L2046">
        <v>0.93</v>
      </c>
      <c r="M2046">
        <v>8.9599999999999999E-2</v>
      </c>
      <c r="N2046">
        <v>1</v>
      </c>
      <c r="O2046">
        <v>18</v>
      </c>
      <c r="P2046">
        <v>19</v>
      </c>
      <c r="Q2046">
        <v>254</v>
      </c>
      <c r="R2046">
        <v>255</v>
      </c>
    </row>
    <row r="2047" spans="1:18" x14ac:dyDescent="0.25">
      <c r="A2047">
        <v>256</v>
      </c>
      <c r="B2047" s="1">
        <v>40555</v>
      </c>
      <c r="C2047">
        <v>1</v>
      </c>
      <c r="D2047">
        <v>0</v>
      </c>
      <c r="E2047">
        <v>1</v>
      </c>
      <c r="F2047">
        <v>0</v>
      </c>
      <c r="G2047" t="b">
        <v>0</v>
      </c>
      <c r="H2047">
        <v>3</v>
      </c>
      <c r="I2047">
        <v>2</v>
      </c>
      <c r="J2047">
        <v>0.16</v>
      </c>
      <c r="K2047">
        <v>0.19700000000000001</v>
      </c>
      <c r="L2047">
        <v>0.86</v>
      </c>
      <c r="M2047">
        <v>8.9599999999999999E-2</v>
      </c>
      <c r="N2047">
        <v>0</v>
      </c>
      <c r="O2047">
        <v>7</v>
      </c>
      <c r="P2047">
        <v>7</v>
      </c>
      <c r="Q2047">
        <v>255</v>
      </c>
      <c r="R2047">
        <v>256</v>
      </c>
    </row>
    <row r="2048" spans="1:18" x14ac:dyDescent="0.25">
      <c r="A2048">
        <v>257</v>
      </c>
      <c r="B2048" s="1">
        <v>40555</v>
      </c>
      <c r="C2048">
        <v>1</v>
      </c>
      <c r="D2048">
        <v>0</v>
      </c>
      <c r="E2048">
        <v>1</v>
      </c>
      <c r="F2048">
        <v>1</v>
      </c>
      <c r="G2048" t="b">
        <v>0</v>
      </c>
      <c r="H2048">
        <v>3</v>
      </c>
      <c r="I2048">
        <v>2</v>
      </c>
      <c r="J2048">
        <v>0.16</v>
      </c>
      <c r="K2048">
        <v>0.18179999999999999</v>
      </c>
      <c r="L2048">
        <v>0.86</v>
      </c>
      <c r="M2048">
        <v>0.1045</v>
      </c>
      <c r="N2048">
        <v>0</v>
      </c>
      <c r="O2048">
        <v>6</v>
      </c>
      <c r="P2048">
        <v>6</v>
      </c>
      <c r="Q2048">
        <v>256</v>
      </c>
      <c r="R2048">
        <v>257</v>
      </c>
    </row>
    <row r="2049" spans="1:18" x14ac:dyDescent="0.25">
      <c r="A2049">
        <v>258</v>
      </c>
      <c r="B2049" s="1">
        <v>40555</v>
      </c>
      <c r="C2049">
        <v>1</v>
      </c>
      <c r="D2049">
        <v>0</v>
      </c>
      <c r="E2049">
        <v>1</v>
      </c>
      <c r="F2049">
        <v>2</v>
      </c>
      <c r="G2049" t="b">
        <v>0</v>
      </c>
      <c r="H2049">
        <v>3</v>
      </c>
      <c r="I2049">
        <v>1</v>
      </c>
      <c r="J2049">
        <v>0.14000000000000001</v>
      </c>
      <c r="K2049">
        <v>0.1515</v>
      </c>
      <c r="L2049">
        <v>0.86</v>
      </c>
      <c r="M2049">
        <v>0.1343</v>
      </c>
      <c r="N2049">
        <v>0</v>
      </c>
      <c r="O2049">
        <v>1</v>
      </c>
      <c r="P2049">
        <v>1</v>
      </c>
      <c r="Q2049">
        <v>257</v>
      </c>
      <c r="R2049">
        <v>258</v>
      </c>
    </row>
    <row r="2050" spans="1:18" x14ac:dyDescent="0.25">
      <c r="A2050">
        <v>259</v>
      </c>
      <c r="B2050" s="1">
        <v>40555</v>
      </c>
      <c r="C2050">
        <v>1</v>
      </c>
      <c r="D2050">
        <v>0</v>
      </c>
      <c r="E2050">
        <v>1</v>
      </c>
      <c r="F2050">
        <v>5</v>
      </c>
      <c r="G2050" t="b">
        <v>0</v>
      </c>
      <c r="H2050">
        <v>3</v>
      </c>
      <c r="I2050">
        <v>1</v>
      </c>
      <c r="J2050">
        <v>0.14000000000000001</v>
      </c>
      <c r="K2050">
        <v>0.1515</v>
      </c>
      <c r="L2050">
        <v>0.86</v>
      </c>
      <c r="M2050">
        <v>0.16420000000000001</v>
      </c>
      <c r="N2050">
        <v>0</v>
      </c>
      <c r="O2050">
        <v>5</v>
      </c>
      <c r="P2050">
        <v>5</v>
      </c>
      <c r="Q2050">
        <v>258</v>
      </c>
      <c r="R2050">
        <v>259</v>
      </c>
    </row>
    <row r="2051" spans="1:18" x14ac:dyDescent="0.25">
      <c r="A2051">
        <v>260</v>
      </c>
      <c r="B2051" s="1">
        <v>40555</v>
      </c>
      <c r="C2051">
        <v>1</v>
      </c>
      <c r="D2051">
        <v>0</v>
      </c>
      <c r="E2051">
        <v>1</v>
      </c>
      <c r="F2051">
        <v>6</v>
      </c>
      <c r="G2051" t="b">
        <v>0</v>
      </c>
      <c r="H2051">
        <v>3</v>
      </c>
      <c r="I2051">
        <v>1</v>
      </c>
      <c r="J2051">
        <v>0.12</v>
      </c>
      <c r="K2051">
        <v>0.1515</v>
      </c>
      <c r="L2051">
        <v>0.93</v>
      </c>
      <c r="M2051">
        <v>0.1343</v>
      </c>
      <c r="N2051">
        <v>0</v>
      </c>
      <c r="O2051">
        <v>16</v>
      </c>
      <c r="P2051">
        <v>16</v>
      </c>
      <c r="Q2051">
        <v>259</v>
      </c>
      <c r="R2051">
        <v>260</v>
      </c>
    </row>
    <row r="2052" spans="1:18" x14ac:dyDescent="0.25">
      <c r="A2052">
        <v>261</v>
      </c>
      <c r="B2052" s="1">
        <v>40555</v>
      </c>
      <c r="C2052">
        <v>1</v>
      </c>
      <c r="D2052">
        <v>0</v>
      </c>
      <c r="E2052">
        <v>1</v>
      </c>
      <c r="F2052">
        <v>7</v>
      </c>
      <c r="G2052" t="b">
        <v>0</v>
      </c>
      <c r="H2052">
        <v>3</v>
      </c>
      <c r="I2052">
        <v>1</v>
      </c>
      <c r="J2052">
        <v>0.14000000000000001</v>
      </c>
      <c r="K2052">
        <v>0.1515</v>
      </c>
      <c r="L2052">
        <v>0.69</v>
      </c>
      <c r="M2052">
        <v>0.1343</v>
      </c>
      <c r="N2052">
        <v>0</v>
      </c>
      <c r="O2052">
        <v>54</v>
      </c>
      <c r="P2052">
        <v>54</v>
      </c>
      <c r="Q2052">
        <v>260</v>
      </c>
      <c r="R2052">
        <v>261</v>
      </c>
    </row>
    <row r="2053" spans="1:18" x14ac:dyDescent="0.25">
      <c r="A2053">
        <v>262</v>
      </c>
      <c r="B2053" s="1">
        <v>40555</v>
      </c>
      <c r="C2053">
        <v>1</v>
      </c>
      <c r="D2053">
        <v>0</v>
      </c>
      <c r="E2053">
        <v>1</v>
      </c>
      <c r="F2053">
        <v>8</v>
      </c>
      <c r="G2053" t="b">
        <v>0</v>
      </c>
      <c r="H2053">
        <v>3</v>
      </c>
      <c r="I2053">
        <v>1</v>
      </c>
      <c r="J2053">
        <v>0.16</v>
      </c>
      <c r="K2053">
        <v>0.16669999999999999</v>
      </c>
      <c r="L2053">
        <v>0.59</v>
      </c>
      <c r="M2053">
        <v>0.16420000000000001</v>
      </c>
      <c r="N2053">
        <v>3</v>
      </c>
      <c r="O2053">
        <v>125</v>
      </c>
      <c r="P2053">
        <v>128</v>
      </c>
      <c r="Q2053">
        <v>261</v>
      </c>
      <c r="R2053">
        <v>262</v>
      </c>
    </row>
    <row r="2054" spans="1:18" x14ac:dyDescent="0.25">
      <c r="A2054">
        <v>263</v>
      </c>
      <c r="B2054" s="1">
        <v>40555</v>
      </c>
      <c r="C2054">
        <v>1</v>
      </c>
      <c r="D2054">
        <v>0</v>
      </c>
      <c r="E2054">
        <v>1</v>
      </c>
      <c r="F2054">
        <v>9</v>
      </c>
      <c r="G2054" t="b">
        <v>0</v>
      </c>
      <c r="H2054">
        <v>3</v>
      </c>
      <c r="I2054">
        <v>1</v>
      </c>
      <c r="J2054">
        <v>0.16</v>
      </c>
      <c r="K2054">
        <v>0.13639999999999999</v>
      </c>
      <c r="L2054">
        <v>0.59</v>
      </c>
      <c r="M2054">
        <v>0.32840000000000003</v>
      </c>
      <c r="N2054">
        <v>3</v>
      </c>
      <c r="O2054">
        <v>78</v>
      </c>
      <c r="P2054">
        <v>81</v>
      </c>
      <c r="Q2054">
        <v>262</v>
      </c>
      <c r="R2054">
        <v>263</v>
      </c>
    </row>
    <row r="2055" spans="1:18" x14ac:dyDescent="0.25">
      <c r="A2055">
        <v>264</v>
      </c>
      <c r="B2055" s="1">
        <v>40555</v>
      </c>
      <c r="C2055">
        <v>1</v>
      </c>
      <c r="D2055">
        <v>0</v>
      </c>
      <c r="E2055">
        <v>1</v>
      </c>
      <c r="F2055">
        <v>10</v>
      </c>
      <c r="G2055" t="b">
        <v>0</v>
      </c>
      <c r="H2055">
        <v>3</v>
      </c>
      <c r="I2055">
        <v>1</v>
      </c>
      <c r="J2055">
        <v>0.18</v>
      </c>
      <c r="K2055">
        <v>0.18179999999999999</v>
      </c>
      <c r="L2055">
        <v>0.55000000000000004</v>
      </c>
      <c r="M2055">
        <v>0.22389999999999999</v>
      </c>
      <c r="N2055">
        <v>0</v>
      </c>
      <c r="O2055">
        <v>39</v>
      </c>
      <c r="P2055">
        <v>39</v>
      </c>
      <c r="Q2055">
        <v>263</v>
      </c>
      <c r="R2055">
        <v>264</v>
      </c>
    </row>
    <row r="2056" spans="1:18" x14ac:dyDescent="0.25">
      <c r="A2056">
        <v>265</v>
      </c>
      <c r="B2056" s="1">
        <v>40555</v>
      </c>
      <c r="C2056">
        <v>1</v>
      </c>
      <c r="D2056">
        <v>0</v>
      </c>
      <c r="E2056">
        <v>1</v>
      </c>
      <c r="F2056">
        <v>11</v>
      </c>
      <c r="G2056" t="b">
        <v>0</v>
      </c>
      <c r="H2056">
        <v>3</v>
      </c>
      <c r="I2056">
        <v>1</v>
      </c>
      <c r="J2056">
        <v>0.2</v>
      </c>
      <c r="K2056">
        <v>0.18179999999999999</v>
      </c>
      <c r="L2056">
        <v>0.51</v>
      </c>
      <c r="M2056">
        <v>0.3881</v>
      </c>
      <c r="N2056">
        <v>3</v>
      </c>
      <c r="O2056">
        <v>32</v>
      </c>
      <c r="P2056">
        <v>35</v>
      </c>
      <c r="Q2056">
        <v>264</v>
      </c>
      <c r="R2056">
        <v>265</v>
      </c>
    </row>
    <row r="2057" spans="1:18" x14ac:dyDescent="0.25">
      <c r="A2057">
        <v>266</v>
      </c>
      <c r="B2057" s="1">
        <v>40555</v>
      </c>
      <c r="C2057">
        <v>1</v>
      </c>
      <c r="D2057">
        <v>0</v>
      </c>
      <c r="E2057">
        <v>1</v>
      </c>
      <c r="F2057">
        <v>12</v>
      </c>
      <c r="G2057" t="b">
        <v>0</v>
      </c>
      <c r="H2057">
        <v>3</v>
      </c>
      <c r="I2057">
        <v>1</v>
      </c>
      <c r="J2057">
        <v>0.2</v>
      </c>
      <c r="K2057">
        <v>0.1515</v>
      </c>
      <c r="L2057">
        <v>0.47</v>
      </c>
      <c r="M2057">
        <v>0.58209999999999995</v>
      </c>
      <c r="N2057">
        <v>3</v>
      </c>
      <c r="O2057">
        <v>52</v>
      </c>
      <c r="P2057">
        <v>55</v>
      </c>
      <c r="Q2057">
        <v>265</v>
      </c>
      <c r="R2057">
        <v>266</v>
      </c>
    </row>
    <row r="2058" spans="1:18" x14ac:dyDescent="0.25">
      <c r="A2058">
        <v>267</v>
      </c>
      <c r="B2058" s="1">
        <v>40555</v>
      </c>
      <c r="C2058">
        <v>1</v>
      </c>
      <c r="D2058">
        <v>0</v>
      </c>
      <c r="E2058">
        <v>1</v>
      </c>
      <c r="F2058">
        <v>13</v>
      </c>
      <c r="G2058" t="b">
        <v>0</v>
      </c>
      <c r="H2058">
        <v>3</v>
      </c>
      <c r="I2058">
        <v>1</v>
      </c>
      <c r="J2058">
        <v>0.22</v>
      </c>
      <c r="K2058">
        <v>0.19700000000000001</v>
      </c>
      <c r="L2058">
        <v>0.44</v>
      </c>
      <c r="M2058">
        <v>0.35820000000000002</v>
      </c>
      <c r="N2058">
        <v>0</v>
      </c>
      <c r="O2058">
        <v>49</v>
      </c>
      <c r="P2058">
        <v>49</v>
      </c>
      <c r="Q2058">
        <v>266</v>
      </c>
      <c r="R2058">
        <v>267</v>
      </c>
    </row>
    <row r="2059" spans="1:18" x14ac:dyDescent="0.25">
      <c r="A2059">
        <v>268</v>
      </c>
      <c r="B2059" s="1">
        <v>40555</v>
      </c>
      <c r="C2059">
        <v>1</v>
      </c>
      <c r="D2059">
        <v>0</v>
      </c>
      <c r="E2059">
        <v>1</v>
      </c>
      <c r="F2059">
        <v>14</v>
      </c>
      <c r="G2059" t="b">
        <v>0</v>
      </c>
      <c r="H2059">
        <v>3</v>
      </c>
      <c r="I2059">
        <v>1</v>
      </c>
      <c r="J2059">
        <v>0.2</v>
      </c>
      <c r="K2059">
        <v>0.18179999999999999</v>
      </c>
      <c r="L2059">
        <v>0.47</v>
      </c>
      <c r="M2059">
        <v>0.32840000000000003</v>
      </c>
      <c r="N2059">
        <v>0</v>
      </c>
      <c r="O2059">
        <v>44</v>
      </c>
      <c r="P2059">
        <v>44</v>
      </c>
      <c r="Q2059">
        <v>267</v>
      </c>
      <c r="R2059">
        <v>268</v>
      </c>
    </row>
    <row r="2060" spans="1:18" x14ac:dyDescent="0.25">
      <c r="A2060">
        <v>269</v>
      </c>
      <c r="B2060" s="1">
        <v>40555</v>
      </c>
      <c r="C2060">
        <v>1</v>
      </c>
      <c r="D2060">
        <v>0</v>
      </c>
      <c r="E2060">
        <v>1</v>
      </c>
      <c r="F2060">
        <v>15</v>
      </c>
      <c r="G2060" t="b">
        <v>0</v>
      </c>
      <c r="H2060">
        <v>3</v>
      </c>
      <c r="I2060">
        <v>1</v>
      </c>
      <c r="J2060">
        <v>0.2</v>
      </c>
      <c r="K2060">
        <v>0.16669999999999999</v>
      </c>
      <c r="L2060">
        <v>0.47</v>
      </c>
      <c r="M2060">
        <v>0.41789999999999999</v>
      </c>
      <c r="N2060">
        <v>1</v>
      </c>
      <c r="O2060">
        <v>48</v>
      </c>
      <c r="P2060">
        <v>49</v>
      </c>
      <c r="Q2060">
        <v>268</v>
      </c>
      <c r="R2060">
        <v>269</v>
      </c>
    </row>
    <row r="2061" spans="1:18" x14ac:dyDescent="0.25">
      <c r="A2061">
        <v>270</v>
      </c>
      <c r="B2061" s="1">
        <v>40555</v>
      </c>
      <c r="C2061">
        <v>1</v>
      </c>
      <c r="D2061">
        <v>0</v>
      </c>
      <c r="E2061">
        <v>1</v>
      </c>
      <c r="F2061">
        <v>16</v>
      </c>
      <c r="G2061" t="b">
        <v>0</v>
      </c>
      <c r="H2061">
        <v>3</v>
      </c>
      <c r="I2061">
        <v>1</v>
      </c>
      <c r="J2061">
        <v>0.22</v>
      </c>
      <c r="K2061">
        <v>0.19700000000000001</v>
      </c>
      <c r="L2061">
        <v>0.44</v>
      </c>
      <c r="M2061">
        <v>0.32840000000000003</v>
      </c>
      <c r="N2061">
        <v>5</v>
      </c>
      <c r="O2061">
        <v>63</v>
      </c>
      <c r="P2061">
        <v>68</v>
      </c>
      <c r="Q2061">
        <v>269</v>
      </c>
      <c r="R2061">
        <v>270</v>
      </c>
    </row>
    <row r="2062" spans="1:18" x14ac:dyDescent="0.25">
      <c r="A2062">
        <v>271</v>
      </c>
      <c r="B2062" s="1">
        <v>40555</v>
      </c>
      <c r="C2062">
        <v>1</v>
      </c>
      <c r="D2062">
        <v>0</v>
      </c>
      <c r="E2062">
        <v>1</v>
      </c>
      <c r="F2062">
        <v>17</v>
      </c>
      <c r="G2062" t="b">
        <v>0</v>
      </c>
      <c r="H2062">
        <v>3</v>
      </c>
      <c r="I2062">
        <v>1</v>
      </c>
      <c r="J2062">
        <v>0.2</v>
      </c>
      <c r="K2062">
        <v>0.18179999999999999</v>
      </c>
      <c r="L2062">
        <v>0.47</v>
      </c>
      <c r="M2062">
        <v>0.35820000000000002</v>
      </c>
      <c r="N2062">
        <v>0</v>
      </c>
      <c r="O2062">
        <v>139</v>
      </c>
      <c r="P2062">
        <v>139</v>
      </c>
      <c r="Q2062">
        <v>270</v>
      </c>
      <c r="R2062">
        <v>271</v>
      </c>
    </row>
    <row r="2063" spans="1:18" x14ac:dyDescent="0.25">
      <c r="A2063">
        <v>272</v>
      </c>
      <c r="B2063" s="1">
        <v>40555</v>
      </c>
      <c r="C2063">
        <v>1</v>
      </c>
      <c r="D2063">
        <v>0</v>
      </c>
      <c r="E2063">
        <v>1</v>
      </c>
      <c r="F2063">
        <v>18</v>
      </c>
      <c r="G2063" t="b">
        <v>0</v>
      </c>
      <c r="H2063">
        <v>3</v>
      </c>
      <c r="I2063">
        <v>1</v>
      </c>
      <c r="J2063">
        <v>0.2</v>
      </c>
      <c r="K2063">
        <v>0.1515</v>
      </c>
      <c r="L2063">
        <v>0.47</v>
      </c>
      <c r="M2063">
        <v>0.52239999999999998</v>
      </c>
      <c r="N2063">
        <v>2</v>
      </c>
      <c r="O2063">
        <v>135</v>
      </c>
      <c r="P2063">
        <v>137</v>
      </c>
      <c r="Q2063">
        <v>271</v>
      </c>
      <c r="R2063">
        <v>272</v>
      </c>
    </row>
    <row r="2064" spans="1:18" x14ac:dyDescent="0.25">
      <c r="A2064">
        <v>273</v>
      </c>
      <c r="B2064" s="1">
        <v>40555</v>
      </c>
      <c r="C2064">
        <v>1</v>
      </c>
      <c r="D2064">
        <v>0</v>
      </c>
      <c r="E2064">
        <v>1</v>
      </c>
      <c r="F2064">
        <v>19</v>
      </c>
      <c r="G2064" t="b">
        <v>0</v>
      </c>
      <c r="H2064">
        <v>3</v>
      </c>
      <c r="I2064">
        <v>1</v>
      </c>
      <c r="J2064">
        <v>0.18</v>
      </c>
      <c r="K2064">
        <v>0.1515</v>
      </c>
      <c r="L2064">
        <v>0.47</v>
      </c>
      <c r="M2064">
        <v>0.41789999999999999</v>
      </c>
      <c r="N2064">
        <v>1</v>
      </c>
      <c r="O2064">
        <v>82</v>
      </c>
      <c r="P2064">
        <v>83</v>
      </c>
      <c r="Q2064">
        <v>272</v>
      </c>
      <c r="R2064">
        <v>273</v>
      </c>
    </row>
    <row r="2065" spans="1:18" x14ac:dyDescent="0.25">
      <c r="A2065">
        <v>274</v>
      </c>
      <c r="B2065" s="1">
        <v>40555</v>
      </c>
      <c r="C2065">
        <v>1</v>
      </c>
      <c r="D2065">
        <v>0</v>
      </c>
      <c r="E2065">
        <v>1</v>
      </c>
      <c r="F2065">
        <v>20</v>
      </c>
      <c r="G2065" t="b">
        <v>0</v>
      </c>
      <c r="H2065">
        <v>3</v>
      </c>
      <c r="I2065">
        <v>1</v>
      </c>
      <c r="J2065">
        <v>0.16</v>
      </c>
      <c r="K2065">
        <v>0.13639999999999999</v>
      </c>
      <c r="L2065">
        <v>0.5</v>
      </c>
      <c r="M2065">
        <v>0.32840000000000003</v>
      </c>
      <c r="N2065">
        <v>2</v>
      </c>
      <c r="O2065">
        <v>54</v>
      </c>
      <c r="P2065">
        <v>56</v>
      </c>
      <c r="Q2065">
        <v>273</v>
      </c>
      <c r="R2065">
        <v>274</v>
      </c>
    </row>
    <row r="2066" spans="1:18" x14ac:dyDescent="0.25">
      <c r="A2066">
        <v>275</v>
      </c>
      <c r="B2066" s="1">
        <v>40555</v>
      </c>
      <c r="C2066">
        <v>1</v>
      </c>
      <c r="D2066">
        <v>0</v>
      </c>
      <c r="E2066">
        <v>1</v>
      </c>
      <c r="F2066">
        <v>21</v>
      </c>
      <c r="G2066" t="b">
        <v>0</v>
      </c>
      <c r="H2066">
        <v>3</v>
      </c>
      <c r="I2066">
        <v>1</v>
      </c>
      <c r="J2066">
        <v>0.16</v>
      </c>
      <c r="K2066">
        <v>0.13639999999999999</v>
      </c>
      <c r="L2066">
        <v>0.55000000000000004</v>
      </c>
      <c r="M2066">
        <v>0.32840000000000003</v>
      </c>
      <c r="N2066">
        <v>0</v>
      </c>
      <c r="O2066">
        <v>57</v>
      </c>
      <c r="P2066">
        <v>57</v>
      </c>
      <c r="Q2066">
        <v>274</v>
      </c>
      <c r="R2066">
        <v>275</v>
      </c>
    </row>
    <row r="2067" spans="1:18" x14ac:dyDescent="0.25">
      <c r="A2067">
        <v>276</v>
      </c>
      <c r="B2067" s="1">
        <v>40555</v>
      </c>
      <c r="C2067">
        <v>1</v>
      </c>
      <c r="D2067">
        <v>0</v>
      </c>
      <c r="E2067">
        <v>1</v>
      </c>
      <c r="F2067">
        <v>22</v>
      </c>
      <c r="G2067" t="b">
        <v>0</v>
      </c>
      <c r="H2067">
        <v>3</v>
      </c>
      <c r="I2067">
        <v>1</v>
      </c>
      <c r="J2067">
        <v>0.16</v>
      </c>
      <c r="K2067">
        <v>0.1212</v>
      </c>
      <c r="L2067">
        <v>0.55000000000000004</v>
      </c>
      <c r="M2067">
        <v>0.44779999999999998</v>
      </c>
      <c r="N2067">
        <v>1</v>
      </c>
      <c r="O2067">
        <v>32</v>
      </c>
      <c r="P2067">
        <v>33</v>
      </c>
      <c r="Q2067">
        <v>275</v>
      </c>
      <c r="R2067">
        <v>276</v>
      </c>
    </row>
    <row r="2068" spans="1:18" x14ac:dyDescent="0.25">
      <c r="A2068">
        <v>277</v>
      </c>
      <c r="B2068" s="1">
        <v>40555</v>
      </c>
      <c r="C2068">
        <v>1</v>
      </c>
      <c r="D2068">
        <v>0</v>
      </c>
      <c r="E2068">
        <v>1</v>
      </c>
      <c r="F2068">
        <v>23</v>
      </c>
      <c r="G2068" t="b">
        <v>0</v>
      </c>
      <c r="H2068">
        <v>3</v>
      </c>
      <c r="I2068">
        <v>1</v>
      </c>
      <c r="J2068">
        <v>0.14000000000000001</v>
      </c>
      <c r="K2068">
        <v>0.1061</v>
      </c>
      <c r="L2068">
        <v>0.59</v>
      </c>
      <c r="M2068">
        <v>0.41789999999999999</v>
      </c>
      <c r="N2068">
        <v>1</v>
      </c>
      <c r="O2068">
        <v>19</v>
      </c>
      <c r="P2068">
        <v>20</v>
      </c>
      <c r="Q2068">
        <v>276</v>
      </c>
      <c r="R2068">
        <v>277</v>
      </c>
    </row>
    <row r="2069" spans="1:18" x14ac:dyDescent="0.25">
      <c r="A2069">
        <v>278</v>
      </c>
      <c r="B2069" s="1">
        <v>40556</v>
      </c>
      <c r="C2069">
        <v>1</v>
      </c>
      <c r="D2069">
        <v>0</v>
      </c>
      <c r="E2069">
        <v>1</v>
      </c>
      <c r="F2069">
        <v>0</v>
      </c>
      <c r="G2069" t="b">
        <v>0</v>
      </c>
      <c r="H2069">
        <v>4</v>
      </c>
      <c r="I2069">
        <v>1</v>
      </c>
      <c r="J2069">
        <v>0.14000000000000001</v>
      </c>
      <c r="K2069">
        <v>0.1212</v>
      </c>
      <c r="L2069">
        <v>0.59</v>
      </c>
      <c r="M2069">
        <v>0.28360000000000002</v>
      </c>
      <c r="N2069">
        <v>1</v>
      </c>
      <c r="O2069">
        <v>6</v>
      </c>
      <c r="P2069">
        <v>7</v>
      </c>
      <c r="Q2069">
        <v>277</v>
      </c>
      <c r="R2069">
        <v>278</v>
      </c>
    </row>
    <row r="2070" spans="1:18" x14ac:dyDescent="0.25">
      <c r="A2070">
        <v>279</v>
      </c>
      <c r="B2070" s="1">
        <v>40556</v>
      </c>
      <c r="C2070">
        <v>1</v>
      </c>
      <c r="D2070">
        <v>0</v>
      </c>
      <c r="E2070">
        <v>1</v>
      </c>
      <c r="F2070">
        <v>1</v>
      </c>
      <c r="G2070" t="b">
        <v>0</v>
      </c>
      <c r="H2070">
        <v>4</v>
      </c>
      <c r="I2070">
        <v>1</v>
      </c>
      <c r="J2070">
        <v>0.14000000000000001</v>
      </c>
      <c r="K2070">
        <v>0.1212</v>
      </c>
      <c r="L2070">
        <v>0.5</v>
      </c>
      <c r="M2070">
        <v>0.28360000000000002</v>
      </c>
      <c r="N2070">
        <v>0</v>
      </c>
      <c r="O2070">
        <v>2</v>
      </c>
      <c r="P2070">
        <v>2</v>
      </c>
      <c r="Q2070">
        <v>278</v>
      </c>
      <c r="R2070">
        <v>279</v>
      </c>
    </row>
    <row r="2071" spans="1:18" x14ac:dyDescent="0.25">
      <c r="A2071">
        <v>280</v>
      </c>
      <c r="B2071" s="1">
        <v>40556</v>
      </c>
      <c r="C2071">
        <v>1</v>
      </c>
      <c r="D2071">
        <v>0</v>
      </c>
      <c r="E2071">
        <v>1</v>
      </c>
      <c r="F2071">
        <v>2</v>
      </c>
      <c r="G2071" t="b">
        <v>0</v>
      </c>
      <c r="H2071">
        <v>4</v>
      </c>
      <c r="I2071">
        <v>1</v>
      </c>
      <c r="J2071">
        <v>0.14000000000000001</v>
      </c>
      <c r="K2071">
        <v>0.1212</v>
      </c>
      <c r="L2071">
        <v>0.5</v>
      </c>
      <c r="M2071">
        <v>0.35820000000000002</v>
      </c>
      <c r="N2071">
        <v>0</v>
      </c>
      <c r="O2071">
        <v>2</v>
      </c>
      <c r="P2071">
        <v>2</v>
      </c>
      <c r="Q2071">
        <v>279</v>
      </c>
      <c r="R2071">
        <v>280</v>
      </c>
    </row>
    <row r="2072" spans="1:18" x14ac:dyDescent="0.25">
      <c r="A2072">
        <v>281</v>
      </c>
      <c r="B2072" s="1">
        <v>40556</v>
      </c>
      <c r="C2072">
        <v>1</v>
      </c>
      <c r="D2072">
        <v>0</v>
      </c>
      <c r="E2072">
        <v>1</v>
      </c>
      <c r="F2072">
        <v>3</v>
      </c>
      <c r="G2072" t="b">
        <v>0</v>
      </c>
      <c r="H2072">
        <v>4</v>
      </c>
      <c r="I2072">
        <v>1</v>
      </c>
      <c r="J2072">
        <v>0.14000000000000001</v>
      </c>
      <c r="K2072">
        <v>0.1212</v>
      </c>
      <c r="L2072">
        <v>0.5</v>
      </c>
      <c r="M2072">
        <v>0.32840000000000003</v>
      </c>
      <c r="N2072">
        <v>0</v>
      </c>
      <c r="O2072">
        <v>3</v>
      </c>
      <c r="P2072">
        <v>3</v>
      </c>
      <c r="Q2072">
        <v>280</v>
      </c>
      <c r="R2072">
        <v>281</v>
      </c>
    </row>
    <row r="2073" spans="1:18" x14ac:dyDescent="0.25">
      <c r="A2073">
        <v>282</v>
      </c>
      <c r="B2073" s="1">
        <v>40556</v>
      </c>
      <c r="C2073">
        <v>1</v>
      </c>
      <c r="D2073">
        <v>0</v>
      </c>
      <c r="E2073">
        <v>1</v>
      </c>
      <c r="F2073">
        <v>4</v>
      </c>
      <c r="G2073" t="b">
        <v>0</v>
      </c>
      <c r="H2073">
        <v>4</v>
      </c>
      <c r="I2073">
        <v>1</v>
      </c>
      <c r="J2073">
        <v>0.14000000000000001</v>
      </c>
      <c r="K2073">
        <v>0.1212</v>
      </c>
      <c r="L2073">
        <v>0.5</v>
      </c>
      <c r="M2073">
        <v>0.25369999999999998</v>
      </c>
      <c r="N2073">
        <v>0</v>
      </c>
      <c r="O2073">
        <v>4</v>
      </c>
      <c r="P2073">
        <v>4</v>
      </c>
      <c r="Q2073">
        <v>281</v>
      </c>
      <c r="R2073">
        <v>282</v>
      </c>
    </row>
    <row r="2074" spans="1:18" x14ac:dyDescent="0.25">
      <c r="A2074">
        <v>283</v>
      </c>
      <c r="B2074" s="1">
        <v>40556</v>
      </c>
      <c r="C2074">
        <v>1</v>
      </c>
      <c r="D2074">
        <v>0</v>
      </c>
      <c r="E2074">
        <v>1</v>
      </c>
      <c r="F2074">
        <v>5</v>
      </c>
      <c r="G2074" t="b">
        <v>0</v>
      </c>
      <c r="H2074">
        <v>4</v>
      </c>
      <c r="I2074">
        <v>1</v>
      </c>
      <c r="J2074">
        <v>0.14000000000000001</v>
      </c>
      <c r="K2074">
        <v>0.1212</v>
      </c>
      <c r="L2074">
        <v>0.5</v>
      </c>
      <c r="M2074">
        <v>0.29849999999999999</v>
      </c>
      <c r="N2074">
        <v>0</v>
      </c>
      <c r="O2074">
        <v>3</v>
      </c>
      <c r="P2074">
        <v>3</v>
      </c>
      <c r="Q2074">
        <v>282</v>
      </c>
      <c r="R2074">
        <v>283</v>
      </c>
    </row>
    <row r="2075" spans="1:18" x14ac:dyDescent="0.25">
      <c r="A2075">
        <v>284</v>
      </c>
      <c r="B2075" s="1">
        <v>40556</v>
      </c>
      <c r="C2075">
        <v>1</v>
      </c>
      <c r="D2075">
        <v>0</v>
      </c>
      <c r="E2075">
        <v>1</v>
      </c>
      <c r="F2075">
        <v>6</v>
      </c>
      <c r="G2075" t="b">
        <v>0</v>
      </c>
      <c r="H2075">
        <v>4</v>
      </c>
      <c r="I2075">
        <v>1</v>
      </c>
      <c r="J2075">
        <v>0.12</v>
      </c>
      <c r="K2075">
        <v>0.1515</v>
      </c>
      <c r="L2075">
        <v>0.54</v>
      </c>
      <c r="M2075">
        <v>0.1343</v>
      </c>
      <c r="N2075">
        <v>0</v>
      </c>
      <c r="O2075">
        <v>28</v>
      </c>
      <c r="P2075">
        <v>28</v>
      </c>
      <c r="Q2075">
        <v>283</v>
      </c>
      <c r="R2075">
        <v>284</v>
      </c>
    </row>
    <row r="2076" spans="1:18" x14ac:dyDescent="0.25">
      <c r="A2076">
        <v>285</v>
      </c>
      <c r="B2076" s="1">
        <v>40556</v>
      </c>
      <c r="C2076">
        <v>1</v>
      </c>
      <c r="D2076">
        <v>0</v>
      </c>
      <c r="E2076">
        <v>1</v>
      </c>
      <c r="F2076">
        <v>7</v>
      </c>
      <c r="G2076" t="b">
        <v>0</v>
      </c>
      <c r="H2076">
        <v>4</v>
      </c>
      <c r="I2076">
        <v>1</v>
      </c>
      <c r="J2076">
        <v>0.12</v>
      </c>
      <c r="K2076">
        <v>0.1515</v>
      </c>
      <c r="L2076">
        <v>0.54</v>
      </c>
      <c r="M2076">
        <v>0.1343</v>
      </c>
      <c r="N2076">
        <v>0</v>
      </c>
      <c r="O2076">
        <v>72</v>
      </c>
      <c r="P2076">
        <v>72</v>
      </c>
      <c r="Q2076">
        <v>284</v>
      </c>
      <c r="R2076">
        <v>285</v>
      </c>
    </row>
    <row r="2077" spans="1:18" x14ac:dyDescent="0.25">
      <c r="A2077">
        <v>286</v>
      </c>
      <c r="B2077" s="1">
        <v>40556</v>
      </c>
      <c r="C2077">
        <v>1</v>
      </c>
      <c r="D2077">
        <v>0</v>
      </c>
      <c r="E2077">
        <v>1</v>
      </c>
      <c r="F2077">
        <v>8</v>
      </c>
      <c r="G2077" t="b">
        <v>0</v>
      </c>
      <c r="H2077">
        <v>4</v>
      </c>
      <c r="I2077">
        <v>1</v>
      </c>
      <c r="J2077">
        <v>0.14000000000000001</v>
      </c>
      <c r="K2077">
        <v>0.13639999999999999</v>
      </c>
      <c r="L2077">
        <v>0.5</v>
      </c>
      <c r="M2077">
        <v>0.19400000000000001</v>
      </c>
      <c r="N2077">
        <v>5</v>
      </c>
      <c r="O2077">
        <v>197</v>
      </c>
      <c r="P2077">
        <v>202</v>
      </c>
      <c r="Q2077">
        <v>285</v>
      </c>
      <c r="R2077">
        <v>286</v>
      </c>
    </row>
    <row r="2078" spans="1:18" x14ac:dyDescent="0.25">
      <c r="A2078">
        <v>287</v>
      </c>
      <c r="B2078" s="1">
        <v>40556</v>
      </c>
      <c r="C2078">
        <v>1</v>
      </c>
      <c r="D2078">
        <v>0</v>
      </c>
      <c r="E2078">
        <v>1</v>
      </c>
      <c r="F2078">
        <v>9</v>
      </c>
      <c r="G2078" t="b">
        <v>0</v>
      </c>
      <c r="H2078">
        <v>4</v>
      </c>
      <c r="I2078">
        <v>1</v>
      </c>
      <c r="J2078">
        <v>0.14000000000000001</v>
      </c>
      <c r="K2078">
        <v>0.1212</v>
      </c>
      <c r="L2078">
        <v>0.5</v>
      </c>
      <c r="M2078">
        <v>0.32840000000000003</v>
      </c>
      <c r="N2078">
        <v>2</v>
      </c>
      <c r="O2078">
        <v>137</v>
      </c>
      <c r="P2078">
        <v>139</v>
      </c>
      <c r="Q2078">
        <v>286</v>
      </c>
      <c r="R2078">
        <v>287</v>
      </c>
    </row>
    <row r="2079" spans="1:18" x14ac:dyDescent="0.25">
      <c r="A2079">
        <v>288</v>
      </c>
      <c r="B2079" s="1">
        <v>40556</v>
      </c>
      <c r="C2079">
        <v>1</v>
      </c>
      <c r="D2079">
        <v>0</v>
      </c>
      <c r="E2079">
        <v>1</v>
      </c>
      <c r="F2079">
        <v>10</v>
      </c>
      <c r="G2079" t="b">
        <v>0</v>
      </c>
      <c r="H2079">
        <v>4</v>
      </c>
      <c r="I2079">
        <v>2</v>
      </c>
      <c r="J2079">
        <v>0.16</v>
      </c>
      <c r="K2079">
        <v>0.13639999999999999</v>
      </c>
      <c r="L2079">
        <v>0.5</v>
      </c>
      <c r="M2079">
        <v>0.35820000000000002</v>
      </c>
      <c r="N2079">
        <v>2</v>
      </c>
      <c r="O2079">
        <v>36</v>
      </c>
      <c r="P2079">
        <v>38</v>
      </c>
      <c r="Q2079">
        <v>287</v>
      </c>
      <c r="R2079">
        <v>288</v>
      </c>
    </row>
    <row r="2080" spans="1:18" x14ac:dyDescent="0.25">
      <c r="A2080">
        <v>289</v>
      </c>
      <c r="B2080" s="1">
        <v>40556</v>
      </c>
      <c r="C2080">
        <v>1</v>
      </c>
      <c r="D2080">
        <v>0</v>
      </c>
      <c r="E2080">
        <v>1</v>
      </c>
      <c r="F2080">
        <v>11</v>
      </c>
      <c r="G2080" t="b">
        <v>0</v>
      </c>
      <c r="H2080">
        <v>4</v>
      </c>
      <c r="I2080">
        <v>2</v>
      </c>
      <c r="J2080">
        <v>0.2</v>
      </c>
      <c r="K2080">
        <v>0.16669999999999999</v>
      </c>
      <c r="L2080">
        <v>0.44</v>
      </c>
      <c r="M2080">
        <v>0.44779999999999998</v>
      </c>
      <c r="N2080">
        <v>4</v>
      </c>
      <c r="O2080">
        <v>33</v>
      </c>
      <c r="P2080">
        <v>37</v>
      </c>
      <c r="Q2080">
        <v>288</v>
      </c>
      <c r="R2080">
        <v>289</v>
      </c>
    </row>
    <row r="2081" spans="1:18" x14ac:dyDescent="0.25">
      <c r="A2081">
        <v>290</v>
      </c>
      <c r="B2081" s="1">
        <v>40556</v>
      </c>
      <c r="C2081">
        <v>1</v>
      </c>
      <c r="D2081">
        <v>0</v>
      </c>
      <c r="E2081">
        <v>1</v>
      </c>
      <c r="F2081">
        <v>12</v>
      </c>
      <c r="G2081" t="b">
        <v>0</v>
      </c>
      <c r="H2081">
        <v>4</v>
      </c>
      <c r="I2081">
        <v>1</v>
      </c>
      <c r="J2081">
        <v>0.2</v>
      </c>
      <c r="K2081">
        <v>0.16669999999999999</v>
      </c>
      <c r="L2081">
        <v>0.44</v>
      </c>
      <c r="M2081">
        <v>0.41789999999999999</v>
      </c>
      <c r="N2081">
        <v>3</v>
      </c>
      <c r="O2081">
        <v>49</v>
      </c>
      <c r="P2081">
        <v>52</v>
      </c>
      <c r="Q2081">
        <v>289</v>
      </c>
      <c r="R2081">
        <v>290</v>
      </c>
    </row>
    <row r="2082" spans="1:18" x14ac:dyDescent="0.25">
      <c r="A2082">
        <v>291</v>
      </c>
      <c r="B2082" s="1">
        <v>40556</v>
      </c>
      <c r="C2082">
        <v>1</v>
      </c>
      <c r="D2082">
        <v>0</v>
      </c>
      <c r="E2082">
        <v>1</v>
      </c>
      <c r="F2082">
        <v>13</v>
      </c>
      <c r="G2082" t="b">
        <v>0</v>
      </c>
      <c r="H2082">
        <v>4</v>
      </c>
      <c r="I2082">
        <v>1</v>
      </c>
      <c r="J2082">
        <v>0.22</v>
      </c>
      <c r="K2082">
        <v>0.19700000000000001</v>
      </c>
      <c r="L2082">
        <v>0.41</v>
      </c>
      <c r="M2082">
        <v>0.44779999999999998</v>
      </c>
      <c r="N2082">
        <v>2</v>
      </c>
      <c r="O2082">
        <v>81</v>
      </c>
      <c r="P2082">
        <v>83</v>
      </c>
      <c r="Q2082">
        <v>290</v>
      </c>
      <c r="R2082">
        <v>291</v>
      </c>
    </row>
    <row r="2083" spans="1:18" x14ac:dyDescent="0.25">
      <c r="A2083">
        <v>292</v>
      </c>
      <c r="B2083" s="1">
        <v>40556</v>
      </c>
      <c r="C2083">
        <v>1</v>
      </c>
      <c r="D2083">
        <v>0</v>
      </c>
      <c r="E2083">
        <v>1</v>
      </c>
      <c r="F2083">
        <v>14</v>
      </c>
      <c r="G2083" t="b">
        <v>0</v>
      </c>
      <c r="H2083">
        <v>4</v>
      </c>
      <c r="I2083">
        <v>1</v>
      </c>
      <c r="J2083">
        <v>0.22</v>
      </c>
      <c r="K2083">
        <v>0.19700000000000001</v>
      </c>
      <c r="L2083">
        <v>0.41</v>
      </c>
      <c r="M2083">
        <v>0.3881</v>
      </c>
      <c r="N2083">
        <v>3</v>
      </c>
      <c r="O2083">
        <v>39</v>
      </c>
      <c r="P2083">
        <v>42</v>
      </c>
      <c r="Q2083">
        <v>291</v>
      </c>
      <c r="R2083">
        <v>292</v>
      </c>
    </row>
    <row r="2084" spans="1:18" x14ac:dyDescent="0.25">
      <c r="A2084">
        <v>293</v>
      </c>
      <c r="B2084" s="1">
        <v>40556</v>
      </c>
      <c r="C2084">
        <v>1</v>
      </c>
      <c r="D2084">
        <v>0</v>
      </c>
      <c r="E2084">
        <v>1</v>
      </c>
      <c r="F2084">
        <v>15</v>
      </c>
      <c r="G2084" t="b">
        <v>0</v>
      </c>
      <c r="H2084">
        <v>4</v>
      </c>
      <c r="I2084">
        <v>1</v>
      </c>
      <c r="J2084">
        <v>0.24</v>
      </c>
      <c r="K2084">
        <v>0.21210000000000001</v>
      </c>
      <c r="L2084">
        <v>0.38</v>
      </c>
      <c r="M2084">
        <v>0.29849999999999999</v>
      </c>
      <c r="N2084">
        <v>5</v>
      </c>
      <c r="O2084">
        <v>55</v>
      </c>
      <c r="P2084">
        <v>60</v>
      </c>
      <c r="Q2084">
        <v>292</v>
      </c>
      <c r="R2084">
        <v>293</v>
      </c>
    </row>
    <row r="2085" spans="1:18" x14ac:dyDescent="0.25">
      <c r="A2085">
        <v>294</v>
      </c>
      <c r="B2085" s="1">
        <v>40556</v>
      </c>
      <c r="C2085">
        <v>1</v>
      </c>
      <c r="D2085">
        <v>0</v>
      </c>
      <c r="E2085">
        <v>1</v>
      </c>
      <c r="F2085">
        <v>16</v>
      </c>
      <c r="G2085" t="b">
        <v>0</v>
      </c>
      <c r="H2085">
        <v>4</v>
      </c>
      <c r="I2085">
        <v>1</v>
      </c>
      <c r="J2085">
        <v>0.24</v>
      </c>
      <c r="K2085">
        <v>0.21210000000000001</v>
      </c>
      <c r="L2085">
        <v>0.38</v>
      </c>
      <c r="M2085">
        <v>0.35820000000000002</v>
      </c>
      <c r="N2085">
        <v>2</v>
      </c>
      <c r="O2085">
        <v>76</v>
      </c>
      <c r="P2085">
        <v>78</v>
      </c>
      <c r="Q2085">
        <v>293</v>
      </c>
      <c r="R2085">
        <v>294</v>
      </c>
    </row>
    <row r="2086" spans="1:18" x14ac:dyDescent="0.25">
      <c r="A2086">
        <v>295</v>
      </c>
      <c r="B2086" s="1">
        <v>40556</v>
      </c>
      <c r="C2086">
        <v>1</v>
      </c>
      <c r="D2086">
        <v>0</v>
      </c>
      <c r="E2086">
        <v>1</v>
      </c>
      <c r="F2086">
        <v>17</v>
      </c>
      <c r="G2086" t="b">
        <v>0</v>
      </c>
      <c r="H2086">
        <v>4</v>
      </c>
      <c r="I2086">
        <v>1</v>
      </c>
      <c r="J2086">
        <v>0.2</v>
      </c>
      <c r="K2086">
        <v>0.18179999999999999</v>
      </c>
      <c r="L2086">
        <v>0.4</v>
      </c>
      <c r="M2086">
        <v>0.28360000000000002</v>
      </c>
      <c r="N2086">
        <v>4</v>
      </c>
      <c r="O2086">
        <v>158</v>
      </c>
      <c r="P2086">
        <v>162</v>
      </c>
      <c r="Q2086">
        <v>294</v>
      </c>
      <c r="R2086">
        <v>295</v>
      </c>
    </row>
    <row r="2087" spans="1:18" x14ac:dyDescent="0.25">
      <c r="A2087">
        <v>296</v>
      </c>
      <c r="B2087" s="1">
        <v>40556</v>
      </c>
      <c r="C2087">
        <v>1</v>
      </c>
      <c r="D2087">
        <v>0</v>
      </c>
      <c r="E2087">
        <v>1</v>
      </c>
      <c r="F2087">
        <v>18</v>
      </c>
      <c r="G2087" t="b">
        <v>0</v>
      </c>
      <c r="H2087">
        <v>4</v>
      </c>
      <c r="I2087">
        <v>1</v>
      </c>
      <c r="J2087">
        <v>0.2</v>
      </c>
      <c r="K2087">
        <v>0.18179999999999999</v>
      </c>
      <c r="L2087">
        <v>0.4</v>
      </c>
      <c r="M2087">
        <v>0.32840000000000003</v>
      </c>
      <c r="N2087">
        <v>3</v>
      </c>
      <c r="O2087">
        <v>141</v>
      </c>
      <c r="P2087">
        <v>144</v>
      </c>
      <c r="Q2087">
        <v>295</v>
      </c>
      <c r="R2087">
        <v>296</v>
      </c>
    </row>
    <row r="2088" spans="1:18" x14ac:dyDescent="0.25">
      <c r="A2088">
        <v>297</v>
      </c>
      <c r="B2088" s="1">
        <v>40556</v>
      </c>
      <c r="C2088">
        <v>1</v>
      </c>
      <c r="D2088">
        <v>0</v>
      </c>
      <c r="E2088">
        <v>1</v>
      </c>
      <c r="F2088">
        <v>19</v>
      </c>
      <c r="G2088" t="b">
        <v>0</v>
      </c>
      <c r="H2088">
        <v>4</v>
      </c>
      <c r="I2088">
        <v>1</v>
      </c>
      <c r="J2088">
        <v>0.16</v>
      </c>
      <c r="K2088">
        <v>0.1515</v>
      </c>
      <c r="L2088">
        <v>0.47</v>
      </c>
      <c r="M2088">
        <v>0.25369999999999998</v>
      </c>
      <c r="N2088">
        <v>1</v>
      </c>
      <c r="O2088">
        <v>98</v>
      </c>
      <c r="P2088">
        <v>99</v>
      </c>
      <c r="Q2088">
        <v>296</v>
      </c>
      <c r="R2088">
        <v>297</v>
      </c>
    </row>
    <row r="2089" spans="1:18" x14ac:dyDescent="0.25">
      <c r="A2089">
        <v>298</v>
      </c>
      <c r="B2089" s="1">
        <v>40556</v>
      </c>
      <c r="C2089">
        <v>1</v>
      </c>
      <c r="D2089">
        <v>0</v>
      </c>
      <c r="E2089">
        <v>1</v>
      </c>
      <c r="F2089">
        <v>20</v>
      </c>
      <c r="G2089" t="b">
        <v>0</v>
      </c>
      <c r="H2089">
        <v>4</v>
      </c>
      <c r="I2089">
        <v>1</v>
      </c>
      <c r="J2089">
        <v>0.16</v>
      </c>
      <c r="K2089">
        <v>0.1515</v>
      </c>
      <c r="L2089">
        <v>0.47</v>
      </c>
      <c r="M2089">
        <v>0.22389999999999999</v>
      </c>
      <c r="N2089">
        <v>0</v>
      </c>
      <c r="O2089">
        <v>64</v>
      </c>
      <c r="P2089">
        <v>64</v>
      </c>
      <c r="Q2089">
        <v>297</v>
      </c>
      <c r="R2089">
        <v>298</v>
      </c>
    </row>
    <row r="2090" spans="1:18" x14ac:dyDescent="0.25">
      <c r="A2090">
        <v>299</v>
      </c>
      <c r="B2090" s="1">
        <v>40556</v>
      </c>
      <c r="C2090">
        <v>1</v>
      </c>
      <c r="D2090">
        <v>0</v>
      </c>
      <c r="E2090">
        <v>1</v>
      </c>
      <c r="F2090">
        <v>21</v>
      </c>
      <c r="G2090" t="b">
        <v>0</v>
      </c>
      <c r="H2090">
        <v>4</v>
      </c>
      <c r="I2090">
        <v>1</v>
      </c>
      <c r="J2090">
        <v>0.14000000000000001</v>
      </c>
      <c r="K2090">
        <v>0.1212</v>
      </c>
      <c r="L2090">
        <v>0.46</v>
      </c>
      <c r="M2090">
        <v>0.29849999999999999</v>
      </c>
      <c r="N2090">
        <v>0</v>
      </c>
      <c r="O2090">
        <v>40</v>
      </c>
      <c r="P2090">
        <v>40</v>
      </c>
      <c r="Q2090">
        <v>298</v>
      </c>
      <c r="R2090">
        <v>299</v>
      </c>
    </row>
    <row r="2091" spans="1:18" x14ac:dyDescent="0.25">
      <c r="A2091">
        <v>300</v>
      </c>
      <c r="B2091" s="1">
        <v>40556</v>
      </c>
      <c r="C2091">
        <v>1</v>
      </c>
      <c r="D2091">
        <v>0</v>
      </c>
      <c r="E2091">
        <v>1</v>
      </c>
      <c r="F2091">
        <v>22</v>
      </c>
      <c r="G2091" t="b">
        <v>0</v>
      </c>
      <c r="H2091">
        <v>4</v>
      </c>
      <c r="I2091">
        <v>1</v>
      </c>
      <c r="J2091">
        <v>0.14000000000000001</v>
      </c>
      <c r="K2091">
        <v>0.1212</v>
      </c>
      <c r="L2091">
        <v>0.46</v>
      </c>
      <c r="M2091">
        <v>0.32840000000000003</v>
      </c>
      <c r="N2091">
        <v>0</v>
      </c>
      <c r="O2091">
        <v>30</v>
      </c>
      <c r="P2091">
        <v>30</v>
      </c>
      <c r="Q2091">
        <v>299</v>
      </c>
      <c r="R2091">
        <v>300</v>
      </c>
    </row>
    <row r="2092" spans="1:18" x14ac:dyDescent="0.25">
      <c r="A2092">
        <v>301</v>
      </c>
      <c r="B2092" s="1">
        <v>40556</v>
      </c>
      <c r="C2092">
        <v>1</v>
      </c>
      <c r="D2092">
        <v>0</v>
      </c>
      <c r="E2092">
        <v>1</v>
      </c>
      <c r="F2092">
        <v>23</v>
      </c>
      <c r="G2092" t="b">
        <v>0</v>
      </c>
      <c r="H2092">
        <v>4</v>
      </c>
      <c r="I2092">
        <v>1</v>
      </c>
      <c r="J2092">
        <v>0.12</v>
      </c>
      <c r="K2092">
        <v>0.13639999999999999</v>
      </c>
      <c r="L2092">
        <v>0.5</v>
      </c>
      <c r="M2092">
        <v>0.19400000000000001</v>
      </c>
      <c r="N2092">
        <v>1</v>
      </c>
      <c r="O2092">
        <v>14</v>
      </c>
      <c r="P2092">
        <v>15</v>
      </c>
      <c r="Q2092">
        <v>300</v>
      </c>
      <c r="R2092">
        <v>301</v>
      </c>
    </row>
    <row r="2093" spans="1:18" x14ac:dyDescent="0.25">
      <c r="A2093">
        <v>302</v>
      </c>
      <c r="B2093" s="1">
        <v>40557</v>
      </c>
      <c r="C2093">
        <v>1</v>
      </c>
      <c r="D2093">
        <v>0</v>
      </c>
      <c r="E2093">
        <v>1</v>
      </c>
      <c r="F2093">
        <v>0</v>
      </c>
      <c r="G2093" t="b">
        <v>0</v>
      </c>
      <c r="H2093">
        <v>5</v>
      </c>
      <c r="I2093">
        <v>1</v>
      </c>
      <c r="J2093">
        <v>0.12</v>
      </c>
      <c r="K2093">
        <v>0.13639999999999999</v>
      </c>
      <c r="L2093">
        <v>0.5</v>
      </c>
      <c r="M2093">
        <v>0.19400000000000001</v>
      </c>
      <c r="N2093">
        <v>0</v>
      </c>
      <c r="O2093">
        <v>14</v>
      </c>
      <c r="P2093">
        <v>14</v>
      </c>
      <c r="Q2093">
        <v>301</v>
      </c>
      <c r="R2093">
        <v>302</v>
      </c>
    </row>
    <row r="2094" spans="1:18" x14ac:dyDescent="0.25">
      <c r="A2094">
        <v>303</v>
      </c>
      <c r="B2094" s="1">
        <v>40557</v>
      </c>
      <c r="C2094">
        <v>1</v>
      </c>
      <c r="D2094">
        <v>0</v>
      </c>
      <c r="E2094">
        <v>1</v>
      </c>
      <c r="F2094">
        <v>1</v>
      </c>
      <c r="G2094" t="b">
        <v>0</v>
      </c>
      <c r="H2094">
        <v>5</v>
      </c>
      <c r="I2094">
        <v>1</v>
      </c>
      <c r="J2094">
        <v>0.1</v>
      </c>
      <c r="K2094">
        <v>0.1212</v>
      </c>
      <c r="L2094">
        <v>0.54</v>
      </c>
      <c r="M2094">
        <v>0.16420000000000001</v>
      </c>
      <c r="N2094">
        <v>0</v>
      </c>
      <c r="O2094">
        <v>5</v>
      </c>
      <c r="P2094">
        <v>5</v>
      </c>
      <c r="Q2094">
        <v>302</v>
      </c>
      <c r="R2094">
        <v>303</v>
      </c>
    </row>
    <row r="2095" spans="1:18" x14ac:dyDescent="0.25">
      <c r="A2095">
        <v>304</v>
      </c>
      <c r="B2095" s="1">
        <v>40557</v>
      </c>
      <c r="C2095">
        <v>1</v>
      </c>
      <c r="D2095">
        <v>0</v>
      </c>
      <c r="E2095">
        <v>1</v>
      </c>
      <c r="F2095">
        <v>2</v>
      </c>
      <c r="G2095" t="b">
        <v>0</v>
      </c>
      <c r="H2095">
        <v>5</v>
      </c>
      <c r="I2095">
        <v>1</v>
      </c>
      <c r="J2095">
        <v>0.1</v>
      </c>
      <c r="K2095">
        <v>0.1212</v>
      </c>
      <c r="L2095">
        <v>0.54</v>
      </c>
      <c r="M2095">
        <v>0.1343</v>
      </c>
      <c r="N2095">
        <v>0</v>
      </c>
      <c r="O2095">
        <v>1</v>
      </c>
      <c r="P2095">
        <v>1</v>
      </c>
      <c r="Q2095">
        <v>303</v>
      </c>
      <c r="R2095">
        <v>304</v>
      </c>
    </row>
    <row r="2096" spans="1:18" x14ac:dyDescent="0.25">
      <c r="A2096">
        <v>305</v>
      </c>
      <c r="B2096" s="1">
        <v>40557</v>
      </c>
      <c r="C2096">
        <v>1</v>
      </c>
      <c r="D2096">
        <v>0</v>
      </c>
      <c r="E2096">
        <v>1</v>
      </c>
      <c r="F2096">
        <v>3</v>
      </c>
      <c r="G2096" t="b">
        <v>0</v>
      </c>
      <c r="H2096">
        <v>5</v>
      </c>
      <c r="I2096">
        <v>1</v>
      </c>
      <c r="J2096">
        <v>0.1</v>
      </c>
      <c r="K2096">
        <v>0.13639999999999999</v>
      </c>
      <c r="L2096">
        <v>0.54</v>
      </c>
      <c r="M2096">
        <v>0.1045</v>
      </c>
      <c r="N2096">
        <v>0</v>
      </c>
      <c r="O2096">
        <v>1</v>
      </c>
      <c r="P2096">
        <v>1</v>
      </c>
      <c r="Q2096">
        <v>304</v>
      </c>
      <c r="R2096">
        <v>305</v>
      </c>
    </row>
    <row r="2097" spans="1:18" x14ac:dyDescent="0.25">
      <c r="A2097">
        <v>306</v>
      </c>
      <c r="B2097" s="1">
        <v>40557</v>
      </c>
      <c r="C2097">
        <v>1</v>
      </c>
      <c r="D2097">
        <v>0</v>
      </c>
      <c r="E2097">
        <v>1</v>
      </c>
      <c r="F2097">
        <v>5</v>
      </c>
      <c r="G2097" t="b">
        <v>0</v>
      </c>
      <c r="H2097">
        <v>5</v>
      </c>
      <c r="I2097">
        <v>1</v>
      </c>
      <c r="J2097">
        <v>0.1</v>
      </c>
      <c r="K2097">
        <v>0.13639999999999999</v>
      </c>
      <c r="L2097">
        <v>0.54</v>
      </c>
      <c r="M2097">
        <v>8.9599999999999999E-2</v>
      </c>
      <c r="N2097">
        <v>0</v>
      </c>
      <c r="O2097">
        <v>8</v>
      </c>
      <c r="P2097">
        <v>8</v>
      </c>
      <c r="Q2097">
        <v>305</v>
      </c>
      <c r="R2097">
        <v>306</v>
      </c>
    </row>
    <row r="2098" spans="1:18" x14ac:dyDescent="0.25">
      <c r="A2098">
        <v>307</v>
      </c>
      <c r="B2098" s="1">
        <v>40557</v>
      </c>
      <c r="C2098">
        <v>1</v>
      </c>
      <c r="D2098">
        <v>0</v>
      </c>
      <c r="E2098">
        <v>1</v>
      </c>
      <c r="F2098">
        <v>6</v>
      </c>
      <c r="G2098" t="b">
        <v>0</v>
      </c>
      <c r="H2098">
        <v>5</v>
      </c>
      <c r="I2098">
        <v>1</v>
      </c>
      <c r="J2098">
        <v>0.1</v>
      </c>
      <c r="K2098">
        <v>0.18179999999999999</v>
      </c>
      <c r="L2098">
        <v>0.54</v>
      </c>
      <c r="M2098">
        <v>0</v>
      </c>
      <c r="N2098">
        <v>0</v>
      </c>
      <c r="O2098">
        <v>17</v>
      </c>
      <c r="P2098">
        <v>17</v>
      </c>
      <c r="Q2098">
        <v>306</v>
      </c>
      <c r="R2098">
        <v>307</v>
      </c>
    </row>
    <row r="2099" spans="1:18" x14ac:dyDescent="0.25">
      <c r="A2099">
        <v>308</v>
      </c>
      <c r="B2099" s="1">
        <v>40557</v>
      </c>
      <c r="C2099">
        <v>1</v>
      </c>
      <c r="D2099">
        <v>0</v>
      </c>
      <c r="E2099">
        <v>1</v>
      </c>
      <c r="F2099">
        <v>7</v>
      </c>
      <c r="G2099" t="b">
        <v>0</v>
      </c>
      <c r="H2099">
        <v>5</v>
      </c>
      <c r="I2099">
        <v>1</v>
      </c>
      <c r="J2099">
        <v>0.1</v>
      </c>
      <c r="K2099">
        <v>0.1212</v>
      </c>
      <c r="L2099">
        <v>0.74</v>
      </c>
      <c r="M2099">
        <v>0.16420000000000001</v>
      </c>
      <c r="N2099">
        <v>0</v>
      </c>
      <c r="O2099">
        <v>70</v>
      </c>
      <c r="P2099">
        <v>70</v>
      </c>
      <c r="Q2099">
        <v>307</v>
      </c>
      <c r="R2099">
        <v>308</v>
      </c>
    </row>
    <row r="2100" spans="1:18" x14ac:dyDescent="0.25">
      <c r="A2100">
        <v>309</v>
      </c>
      <c r="B2100" s="1">
        <v>40557</v>
      </c>
      <c r="C2100">
        <v>1</v>
      </c>
      <c r="D2100">
        <v>0</v>
      </c>
      <c r="E2100">
        <v>1</v>
      </c>
      <c r="F2100">
        <v>8</v>
      </c>
      <c r="G2100" t="b">
        <v>0</v>
      </c>
      <c r="H2100">
        <v>5</v>
      </c>
      <c r="I2100">
        <v>1</v>
      </c>
      <c r="J2100">
        <v>0.12</v>
      </c>
      <c r="K2100">
        <v>0.16669999999999999</v>
      </c>
      <c r="L2100">
        <v>0.68</v>
      </c>
      <c r="M2100">
        <v>0</v>
      </c>
      <c r="N2100">
        <v>2</v>
      </c>
      <c r="O2100">
        <v>156</v>
      </c>
      <c r="P2100">
        <v>158</v>
      </c>
      <c r="Q2100">
        <v>308</v>
      </c>
      <c r="R2100">
        <v>309</v>
      </c>
    </row>
    <row r="2101" spans="1:18" x14ac:dyDescent="0.25">
      <c r="A2101">
        <v>310</v>
      </c>
      <c r="B2101" s="1">
        <v>40557</v>
      </c>
      <c r="C2101">
        <v>1</v>
      </c>
      <c r="D2101">
        <v>0</v>
      </c>
      <c r="E2101">
        <v>1</v>
      </c>
      <c r="F2101">
        <v>9</v>
      </c>
      <c r="G2101" t="b">
        <v>0</v>
      </c>
      <c r="H2101">
        <v>5</v>
      </c>
      <c r="I2101">
        <v>1</v>
      </c>
      <c r="J2101">
        <v>0.14000000000000001</v>
      </c>
      <c r="K2101">
        <v>0.1515</v>
      </c>
      <c r="L2101">
        <v>0.69</v>
      </c>
      <c r="M2101">
        <v>0.1343</v>
      </c>
      <c r="N2101">
        <v>0</v>
      </c>
      <c r="O2101">
        <v>117</v>
      </c>
      <c r="P2101">
        <v>117</v>
      </c>
      <c r="Q2101">
        <v>309</v>
      </c>
      <c r="R2101">
        <v>310</v>
      </c>
    </row>
    <row r="2102" spans="1:18" x14ac:dyDescent="0.25">
      <c r="A2102">
        <v>311</v>
      </c>
      <c r="B2102" s="1">
        <v>40557</v>
      </c>
      <c r="C2102">
        <v>1</v>
      </c>
      <c r="D2102">
        <v>0</v>
      </c>
      <c r="E2102">
        <v>1</v>
      </c>
      <c r="F2102">
        <v>10</v>
      </c>
      <c r="G2102" t="b">
        <v>0</v>
      </c>
      <c r="H2102">
        <v>5</v>
      </c>
      <c r="I2102">
        <v>1</v>
      </c>
      <c r="J2102">
        <v>0.18</v>
      </c>
      <c r="K2102">
        <v>0.18179999999999999</v>
      </c>
      <c r="L2102">
        <v>0.55000000000000004</v>
      </c>
      <c r="M2102">
        <v>0.19400000000000001</v>
      </c>
      <c r="N2102">
        <v>4</v>
      </c>
      <c r="O2102">
        <v>40</v>
      </c>
      <c r="P2102">
        <v>44</v>
      </c>
      <c r="Q2102">
        <v>310</v>
      </c>
      <c r="R2102">
        <v>311</v>
      </c>
    </row>
    <row r="2103" spans="1:18" x14ac:dyDescent="0.25">
      <c r="A2103">
        <v>312</v>
      </c>
      <c r="B2103" s="1">
        <v>40557</v>
      </c>
      <c r="C2103">
        <v>1</v>
      </c>
      <c r="D2103">
        <v>0</v>
      </c>
      <c r="E2103">
        <v>1</v>
      </c>
      <c r="F2103">
        <v>11</v>
      </c>
      <c r="G2103" t="b">
        <v>0</v>
      </c>
      <c r="H2103">
        <v>5</v>
      </c>
      <c r="I2103">
        <v>1</v>
      </c>
      <c r="J2103">
        <v>0.18</v>
      </c>
      <c r="K2103">
        <v>0.16669999999999999</v>
      </c>
      <c r="L2103">
        <v>0.51</v>
      </c>
      <c r="M2103">
        <v>0.28360000000000002</v>
      </c>
      <c r="N2103">
        <v>6</v>
      </c>
      <c r="O2103">
        <v>47</v>
      </c>
      <c r="P2103">
        <v>53</v>
      </c>
      <c r="Q2103">
        <v>311</v>
      </c>
      <c r="R2103">
        <v>312</v>
      </c>
    </row>
    <row r="2104" spans="1:18" x14ac:dyDescent="0.25">
      <c r="A2104">
        <v>313</v>
      </c>
      <c r="B2104" s="1">
        <v>40557</v>
      </c>
      <c r="C2104">
        <v>1</v>
      </c>
      <c r="D2104">
        <v>0</v>
      </c>
      <c r="E2104">
        <v>1</v>
      </c>
      <c r="F2104">
        <v>12</v>
      </c>
      <c r="G2104" t="b">
        <v>0</v>
      </c>
      <c r="H2104">
        <v>5</v>
      </c>
      <c r="I2104">
        <v>1</v>
      </c>
      <c r="J2104">
        <v>0.2</v>
      </c>
      <c r="K2104">
        <v>0.19700000000000001</v>
      </c>
      <c r="L2104">
        <v>0.44</v>
      </c>
      <c r="M2104">
        <v>0.25369999999999998</v>
      </c>
      <c r="N2104">
        <v>2</v>
      </c>
      <c r="O2104">
        <v>59</v>
      </c>
      <c r="P2104">
        <v>61</v>
      </c>
      <c r="Q2104">
        <v>312</v>
      </c>
      <c r="R2104">
        <v>313</v>
      </c>
    </row>
    <row r="2105" spans="1:18" x14ac:dyDescent="0.25">
      <c r="A2105">
        <v>314</v>
      </c>
      <c r="B2105" s="1">
        <v>40557</v>
      </c>
      <c r="C2105">
        <v>1</v>
      </c>
      <c r="D2105">
        <v>0</v>
      </c>
      <c r="E2105">
        <v>1</v>
      </c>
      <c r="F2105">
        <v>13</v>
      </c>
      <c r="G2105" t="b">
        <v>0</v>
      </c>
      <c r="H2105">
        <v>5</v>
      </c>
      <c r="I2105">
        <v>1</v>
      </c>
      <c r="J2105">
        <v>0.22</v>
      </c>
      <c r="K2105">
        <v>0.19700000000000001</v>
      </c>
      <c r="L2105">
        <v>0.37</v>
      </c>
      <c r="M2105">
        <v>0.3881</v>
      </c>
      <c r="N2105">
        <v>4</v>
      </c>
      <c r="O2105">
        <v>73</v>
      </c>
      <c r="P2105">
        <v>77</v>
      </c>
      <c r="Q2105">
        <v>313</v>
      </c>
      <c r="R2105">
        <v>314</v>
      </c>
    </row>
    <row r="2106" spans="1:18" x14ac:dyDescent="0.25">
      <c r="A2106">
        <v>315</v>
      </c>
      <c r="B2106" s="1">
        <v>40557</v>
      </c>
      <c r="C2106">
        <v>1</v>
      </c>
      <c r="D2106">
        <v>0</v>
      </c>
      <c r="E2106">
        <v>1</v>
      </c>
      <c r="F2106">
        <v>14</v>
      </c>
      <c r="G2106" t="b">
        <v>0</v>
      </c>
      <c r="H2106">
        <v>5</v>
      </c>
      <c r="I2106">
        <v>1</v>
      </c>
      <c r="J2106">
        <v>0.22</v>
      </c>
      <c r="K2106">
        <v>0.21210000000000001</v>
      </c>
      <c r="L2106">
        <v>0.41</v>
      </c>
      <c r="M2106">
        <v>0.28360000000000002</v>
      </c>
      <c r="N2106">
        <v>5</v>
      </c>
      <c r="O2106">
        <v>59</v>
      </c>
      <c r="P2106">
        <v>64</v>
      </c>
      <c r="Q2106">
        <v>314</v>
      </c>
      <c r="R2106">
        <v>315</v>
      </c>
    </row>
    <row r="2107" spans="1:18" x14ac:dyDescent="0.25">
      <c r="A2107">
        <v>316</v>
      </c>
      <c r="B2107" s="1">
        <v>40557</v>
      </c>
      <c r="C2107">
        <v>1</v>
      </c>
      <c r="D2107">
        <v>0</v>
      </c>
      <c r="E2107">
        <v>1</v>
      </c>
      <c r="F2107">
        <v>15</v>
      </c>
      <c r="G2107" t="b">
        <v>0</v>
      </c>
      <c r="H2107">
        <v>5</v>
      </c>
      <c r="I2107">
        <v>1</v>
      </c>
      <c r="J2107">
        <v>0.24</v>
      </c>
      <c r="K2107">
        <v>0.2424</v>
      </c>
      <c r="L2107">
        <v>0.38</v>
      </c>
      <c r="M2107">
        <v>0.16420000000000001</v>
      </c>
      <c r="N2107">
        <v>9</v>
      </c>
      <c r="O2107">
        <v>59</v>
      </c>
      <c r="P2107">
        <v>68</v>
      </c>
      <c r="Q2107">
        <v>315</v>
      </c>
      <c r="R2107">
        <v>316</v>
      </c>
    </row>
    <row r="2108" spans="1:18" x14ac:dyDescent="0.25">
      <c r="A2108">
        <v>317</v>
      </c>
      <c r="B2108" s="1">
        <v>40557</v>
      </c>
      <c r="C2108">
        <v>1</v>
      </c>
      <c r="D2108">
        <v>0</v>
      </c>
      <c r="E2108">
        <v>1</v>
      </c>
      <c r="F2108">
        <v>16</v>
      </c>
      <c r="G2108" t="b">
        <v>0</v>
      </c>
      <c r="H2108">
        <v>5</v>
      </c>
      <c r="I2108">
        <v>1</v>
      </c>
      <c r="J2108">
        <v>0.22</v>
      </c>
      <c r="K2108">
        <v>0.2424</v>
      </c>
      <c r="L2108">
        <v>0.41</v>
      </c>
      <c r="M2108">
        <v>0.1045</v>
      </c>
      <c r="N2108">
        <v>3</v>
      </c>
      <c r="O2108">
        <v>87</v>
      </c>
      <c r="P2108">
        <v>90</v>
      </c>
      <c r="Q2108">
        <v>316</v>
      </c>
      <c r="R2108">
        <v>317</v>
      </c>
    </row>
    <row r="2109" spans="1:18" x14ac:dyDescent="0.25">
      <c r="A2109">
        <v>318</v>
      </c>
      <c r="B2109" s="1">
        <v>40557</v>
      </c>
      <c r="C2109">
        <v>1</v>
      </c>
      <c r="D2109">
        <v>0</v>
      </c>
      <c r="E2109">
        <v>1</v>
      </c>
      <c r="F2109">
        <v>17</v>
      </c>
      <c r="G2109" t="b">
        <v>0</v>
      </c>
      <c r="H2109">
        <v>5</v>
      </c>
      <c r="I2109">
        <v>1</v>
      </c>
      <c r="J2109">
        <v>0.22</v>
      </c>
      <c r="K2109">
        <v>0.2273</v>
      </c>
      <c r="L2109">
        <v>0.41</v>
      </c>
      <c r="M2109">
        <v>0.16420000000000001</v>
      </c>
      <c r="N2109">
        <v>4</v>
      </c>
      <c r="O2109">
        <v>155</v>
      </c>
      <c r="P2109">
        <v>159</v>
      </c>
      <c r="Q2109">
        <v>317</v>
      </c>
      <c r="R2109">
        <v>318</v>
      </c>
    </row>
    <row r="2110" spans="1:18" x14ac:dyDescent="0.25">
      <c r="A2110">
        <v>319</v>
      </c>
      <c r="B2110" s="1">
        <v>40557</v>
      </c>
      <c r="C2110">
        <v>1</v>
      </c>
      <c r="D2110">
        <v>0</v>
      </c>
      <c r="E2110">
        <v>1</v>
      </c>
      <c r="F2110">
        <v>18</v>
      </c>
      <c r="G2110" t="b">
        <v>0</v>
      </c>
      <c r="H2110">
        <v>5</v>
      </c>
      <c r="I2110">
        <v>1</v>
      </c>
      <c r="J2110">
        <v>0.2</v>
      </c>
      <c r="K2110">
        <v>0.2576</v>
      </c>
      <c r="L2110">
        <v>0.47</v>
      </c>
      <c r="M2110">
        <v>0</v>
      </c>
      <c r="N2110">
        <v>5</v>
      </c>
      <c r="O2110">
        <v>134</v>
      </c>
      <c r="P2110">
        <v>139</v>
      </c>
      <c r="Q2110">
        <v>318</v>
      </c>
      <c r="R2110">
        <v>319</v>
      </c>
    </row>
    <row r="2111" spans="1:18" x14ac:dyDescent="0.25">
      <c r="A2111">
        <v>320</v>
      </c>
      <c r="B2111" s="1">
        <v>40557</v>
      </c>
      <c r="C2111">
        <v>1</v>
      </c>
      <c r="D2111">
        <v>0</v>
      </c>
      <c r="E2111">
        <v>1</v>
      </c>
      <c r="F2111">
        <v>19</v>
      </c>
      <c r="G2111" t="b">
        <v>0</v>
      </c>
      <c r="H2111">
        <v>5</v>
      </c>
      <c r="I2111">
        <v>1</v>
      </c>
      <c r="J2111">
        <v>0.16</v>
      </c>
      <c r="K2111">
        <v>0.19700000000000001</v>
      </c>
      <c r="L2111">
        <v>0.59</v>
      </c>
      <c r="M2111">
        <v>8.9599999999999999E-2</v>
      </c>
      <c r="N2111">
        <v>3</v>
      </c>
      <c r="O2111">
        <v>89</v>
      </c>
      <c r="P2111">
        <v>92</v>
      </c>
      <c r="Q2111">
        <v>319</v>
      </c>
      <c r="R2111">
        <v>320</v>
      </c>
    </row>
    <row r="2112" spans="1:18" x14ac:dyDescent="0.25">
      <c r="A2112">
        <v>321</v>
      </c>
      <c r="B2112" s="1">
        <v>40557</v>
      </c>
      <c r="C2112">
        <v>1</v>
      </c>
      <c r="D2112">
        <v>0</v>
      </c>
      <c r="E2112">
        <v>1</v>
      </c>
      <c r="F2112">
        <v>20</v>
      </c>
      <c r="G2112" t="b">
        <v>0</v>
      </c>
      <c r="H2112">
        <v>5</v>
      </c>
      <c r="I2112">
        <v>1</v>
      </c>
      <c r="J2112">
        <v>0.18</v>
      </c>
      <c r="K2112">
        <v>0.2424</v>
      </c>
      <c r="L2112">
        <v>0.59</v>
      </c>
      <c r="M2112">
        <v>0</v>
      </c>
      <c r="N2112">
        <v>0</v>
      </c>
      <c r="O2112">
        <v>68</v>
      </c>
      <c r="P2112">
        <v>68</v>
      </c>
      <c r="Q2112">
        <v>320</v>
      </c>
      <c r="R2112">
        <v>321</v>
      </c>
    </row>
    <row r="2113" spans="1:18" x14ac:dyDescent="0.25">
      <c r="A2113">
        <v>322</v>
      </c>
      <c r="B2113" s="1">
        <v>40557</v>
      </c>
      <c r="C2113">
        <v>1</v>
      </c>
      <c r="D2113">
        <v>0</v>
      </c>
      <c r="E2113">
        <v>1</v>
      </c>
      <c r="F2113">
        <v>21</v>
      </c>
      <c r="G2113" t="b">
        <v>0</v>
      </c>
      <c r="H2113">
        <v>5</v>
      </c>
      <c r="I2113">
        <v>1</v>
      </c>
      <c r="J2113">
        <v>0.16</v>
      </c>
      <c r="K2113">
        <v>0.2273</v>
      </c>
      <c r="L2113">
        <v>0.69</v>
      </c>
      <c r="M2113">
        <v>0</v>
      </c>
      <c r="N2113">
        <v>4</v>
      </c>
      <c r="O2113">
        <v>48</v>
      </c>
      <c r="P2113">
        <v>52</v>
      </c>
      <c r="Q2113">
        <v>321</v>
      </c>
      <c r="R2113">
        <v>322</v>
      </c>
    </row>
    <row r="2114" spans="1:18" x14ac:dyDescent="0.25">
      <c r="A2114">
        <v>323</v>
      </c>
      <c r="B2114" s="1">
        <v>40557</v>
      </c>
      <c r="C2114">
        <v>1</v>
      </c>
      <c r="D2114">
        <v>0</v>
      </c>
      <c r="E2114">
        <v>1</v>
      </c>
      <c r="F2114">
        <v>22</v>
      </c>
      <c r="G2114" t="b">
        <v>0</v>
      </c>
      <c r="H2114">
        <v>5</v>
      </c>
      <c r="I2114">
        <v>2</v>
      </c>
      <c r="J2114">
        <v>0.16</v>
      </c>
      <c r="K2114">
        <v>0.2273</v>
      </c>
      <c r="L2114">
        <v>0.69</v>
      </c>
      <c r="M2114">
        <v>0</v>
      </c>
      <c r="N2114">
        <v>2</v>
      </c>
      <c r="O2114">
        <v>34</v>
      </c>
      <c r="P2114">
        <v>36</v>
      </c>
      <c r="Q2114">
        <v>322</v>
      </c>
      <c r="R2114">
        <v>323</v>
      </c>
    </row>
    <row r="2115" spans="1:18" x14ac:dyDescent="0.25">
      <c r="A2115">
        <v>324</v>
      </c>
      <c r="B2115" s="1">
        <v>40557</v>
      </c>
      <c r="C2115">
        <v>1</v>
      </c>
      <c r="D2115">
        <v>0</v>
      </c>
      <c r="E2115">
        <v>1</v>
      </c>
      <c r="F2115">
        <v>23</v>
      </c>
      <c r="G2115" t="b">
        <v>0</v>
      </c>
      <c r="H2115">
        <v>5</v>
      </c>
      <c r="I2115">
        <v>2</v>
      </c>
      <c r="J2115">
        <v>0.18</v>
      </c>
      <c r="K2115">
        <v>0.2424</v>
      </c>
      <c r="L2115">
        <v>0.55000000000000004</v>
      </c>
      <c r="M2115">
        <v>0</v>
      </c>
      <c r="N2115">
        <v>1</v>
      </c>
      <c r="O2115">
        <v>26</v>
      </c>
      <c r="P2115">
        <v>27</v>
      </c>
      <c r="Q2115">
        <v>323</v>
      </c>
      <c r="R2115">
        <v>324</v>
      </c>
    </row>
    <row r="2116" spans="1:18" x14ac:dyDescent="0.25">
      <c r="A2116">
        <v>325</v>
      </c>
      <c r="B2116" s="1">
        <v>40558</v>
      </c>
      <c r="C2116">
        <v>1</v>
      </c>
      <c r="D2116">
        <v>0</v>
      </c>
      <c r="E2116">
        <v>1</v>
      </c>
      <c r="F2116">
        <v>0</v>
      </c>
      <c r="G2116" t="b">
        <v>0</v>
      </c>
      <c r="H2116">
        <v>6</v>
      </c>
      <c r="I2116">
        <v>1</v>
      </c>
      <c r="J2116">
        <v>0.18</v>
      </c>
      <c r="K2116">
        <v>0.2424</v>
      </c>
      <c r="L2116">
        <v>0.55000000000000004</v>
      </c>
      <c r="M2116">
        <v>0</v>
      </c>
      <c r="N2116">
        <v>3</v>
      </c>
      <c r="O2116">
        <v>25</v>
      </c>
      <c r="P2116">
        <v>28</v>
      </c>
      <c r="Q2116">
        <v>324</v>
      </c>
      <c r="R2116">
        <v>325</v>
      </c>
    </row>
    <row r="2117" spans="1:18" x14ac:dyDescent="0.25">
      <c r="A2117">
        <v>326</v>
      </c>
      <c r="B2117" s="1">
        <v>40558</v>
      </c>
      <c r="C2117">
        <v>1</v>
      </c>
      <c r="D2117">
        <v>0</v>
      </c>
      <c r="E2117">
        <v>1</v>
      </c>
      <c r="F2117">
        <v>1</v>
      </c>
      <c r="G2117" t="b">
        <v>0</v>
      </c>
      <c r="H2117">
        <v>6</v>
      </c>
      <c r="I2117">
        <v>2</v>
      </c>
      <c r="J2117">
        <v>0.16</v>
      </c>
      <c r="K2117">
        <v>0.19700000000000001</v>
      </c>
      <c r="L2117">
        <v>0.59</v>
      </c>
      <c r="M2117">
        <v>8.9599999999999999E-2</v>
      </c>
      <c r="N2117">
        <v>2</v>
      </c>
      <c r="O2117">
        <v>18</v>
      </c>
      <c r="P2117">
        <v>20</v>
      </c>
      <c r="Q2117">
        <v>325</v>
      </c>
      <c r="R2117">
        <v>326</v>
      </c>
    </row>
    <row r="2118" spans="1:18" x14ac:dyDescent="0.25">
      <c r="A2118">
        <v>327</v>
      </c>
      <c r="B2118" s="1">
        <v>40558</v>
      </c>
      <c r="C2118">
        <v>1</v>
      </c>
      <c r="D2118">
        <v>0</v>
      </c>
      <c r="E2118">
        <v>1</v>
      </c>
      <c r="F2118">
        <v>2</v>
      </c>
      <c r="G2118" t="b">
        <v>0</v>
      </c>
      <c r="H2118">
        <v>6</v>
      </c>
      <c r="I2118">
        <v>2</v>
      </c>
      <c r="J2118">
        <v>0.16</v>
      </c>
      <c r="K2118">
        <v>0.19700000000000001</v>
      </c>
      <c r="L2118">
        <v>0.59</v>
      </c>
      <c r="M2118">
        <v>8.9599999999999999E-2</v>
      </c>
      <c r="N2118">
        <v>0</v>
      </c>
      <c r="O2118">
        <v>12</v>
      </c>
      <c r="P2118">
        <v>12</v>
      </c>
      <c r="Q2118">
        <v>326</v>
      </c>
      <c r="R2118">
        <v>327</v>
      </c>
    </row>
    <row r="2119" spans="1:18" x14ac:dyDescent="0.25">
      <c r="A2119">
        <v>328</v>
      </c>
      <c r="B2119" s="1">
        <v>40558</v>
      </c>
      <c r="C2119">
        <v>1</v>
      </c>
      <c r="D2119">
        <v>0</v>
      </c>
      <c r="E2119">
        <v>1</v>
      </c>
      <c r="F2119">
        <v>3</v>
      </c>
      <c r="G2119" t="b">
        <v>0</v>
      </c>
      <c r="H2119">
        <v>6</v>
      </c>
      <c r="I2119">
        <v>2</v>
      </c>
      <c r="J2119">
        <v>0.16</v>
      </c>
      <c r="K2119">
        <v>0.2273</v>
      </c>
      <c r="L2119">
        <v>0.59</v>
      </c>
      <c r="M2119">
        <v>0</v>
      </c>
      <c r="N2119">
        <v>1</v>
      </c>
      <c r="O2119">
        <v>7</v>
      </c>
      <c r="P2119">
        <v>8</v>
      </c>
      <c r="Q2119">
        <v>327</v>
      </c>
      <c r="R2119">
        <v>328</v>
      </c>
    </row>
    <row r="2120" spans="1:18" x14ac:dyDescent="0.25">
      <c r="A2120">
        <v>329</v>
      </c>
      <c r="B2120" s="1">
        <v>40558</v>
      </c>
      <c r="C2120">
        <v>1</v>
      </c>
      <c r="D2120">
        <v>0</v>
      </c>
      <c r="E2120">
        <v>1</v>
      </c>
      <c r="F2120">
        <v>4</v>
      </c>
      <c r="G2120" t="b">
        <v>0</v>
      </c>
      <c r="H2120">
        <v>6</v>
      </c>
      <c r="I2120">
        <v>2</v>
      </c>
      <c r="J2120">
        <v>0.16</v>
      </c>
      <c r="K2120">
        <v>0.2273</v>
      </c>
      <c r="L2120">
        <v>0.59</v>
      </c>
      <c r="M2120">
        <v>0</v>
      </c>
      <c r="N2120">
        <v>0</v>
      </c>
      <c r="O2120">
        <v>5</v>
      </c>
      <c r="P2120">
        <v>5</v>
      </c>
      <c r="Q2120">
        <v>328</v>
      </c>
      <c r="R2120">
        <v>329</v>
      </c>
    </row>
    <row r="2121" spans="1:18" x14ac:dyDescent="0.25">
      <c r="A2121">
        <v>330</v>
      </c>
      <c r="B2121" s="1">
        <v>40558</v>
      </c>
      <c r="C2121">
        <v>1</v>
      </c>
      <c r="D2121">
        <v>0</v>
      </c>
      <c r="E2121">
        <v>1</v>
      </c>
      <c r="F2121">
        <v>5</v>
      </c>
      <c r="G2121" t="b">
        <v>0</v>
      </c>
      <c r="H2121">
        <v>6</v>
      </c>
      <c r="I2121">
        <v>1</v>
      </c>
      <c r="J2121">
        <v>0.16</v>
      </c>
      <c r="K2121">
        <v>0.2273</v>
      </c>
      <c r="L2121">
        <v>0.59</v>
      </c>
      <c r="M2121">
        <v>0</v>
      </c>
      <c r="N2121">
        <v>0</v>
      </c>
      <c r="O2121">
        <v>1</v>
      </c>
      <c r="P2121">
        <v>1</v>
      </c>
      <c r="Q2121">
        <v>329</v>
      </c>
      <c r="R2121">
        <v>330</v>
      </c>
    </row>
    <row r="2122" spans="1:18" x14ac:dyDescent="0.25">
      <c r="A2122">
        <v>331</v>
      </c>
      <c r="B2122" s="1">
        <v>40558</v>
      </c>
      <c r="C2122">
        <v>1</v>
      </c>
      <c r="D2122">
        <v>0</v>
      </c>
      <c r="E2122">
        <v>1</v>
      </c>
      <c r="F2122">
        <v>6</v>
      </c>
      <c r="G2122" t="b">
        <v>0</v>
      </c>
      <c r="H2122">
        <v>6</v>
      </c>
      <c r="I2122">
        <v>1</v>
      </c>
      <c r="J2122">
        <v>0.14000000000000001</v>
      </c>
      <c r="K2122">
        <v>0.16669999999999999</v>
      </c>
      <c r="L2122">
        <v>0.63</v>
      </c>
      <c r="M2122">
        <v>0.1045</v>
      </c>
      <c r="N2122">
        <v>1</v>
      </c>
      <c r="O2122">
        <v>2</v>
      </c>
      <c r="P2122">
        <v>3</v>
      </c>
      <c r="Q2122">
        <v>330</v>
      </c>
      <c r="R2122">
        <v>331</v>
      </c>
    </row>
    <row r="2123" spans="1:18" x14ac:dyDescent="0.25">
      <c r="A2123">
        <v>332</v>
      </c>
      <c r="B2123" s="1">
        <v>40558</v>
      </c>
      <c r="C2123">
        <v>1</v>
      </c>
      <c r="D2123">
        <v>0</v>
      </c>
      <c r="E2123">
        <v>1</v>
      </c>
      <c r="F2123">
        <v>7</v>
      </c>
      <c r="G2123" t="b">
        <v>0</v>
      </c>
      <c r="H2123">
        <v>6</v>
      </c>
      <c r="I2123">
        <v>1</v>
      </c>
      <c r="J2123">
        <v>0.14000000000000001</v>
      </c>
      <c r="K2123">
        <v>0.21210000000000001</v>
      </c>
      <c r="L2123">
        <v>0.63</v>
      </c>
      <c r="M2123">
        <v>0</v>
      </c>
      <c r="N2123">
        <v>1</v>
      </c>
      <c r="O2123">
        <v>9</v>
      </c>
      <c r="P2123">
        <v>10</v>
      </c>
      <c r="Q2123">
        <v>331</v>
      </c>
      <c r="R2123">
        <v>332</v>
      </c>
    </row>
    <row r="2124" spans="1:18" x14ac:dyDescent="0.25">
      <c r="A2124">
        <v>333</v>
      </c>
      <c r="B2124" s="1">
        <v>40558</v>
      </c>
      <c r="C2124">
        <v>1</v>
      </c>
      <c r="D2124">
        <v>0</v>
      </c>
      <c r="E2124">
        <v>1</v>
      </c>
      <c r="F2124">
        <v>8</v>
      </c>
      <c r="G2124" t="b">
        <v>0</v>
      </c>
      <c r="H2124">
        <v>6</v>
      </c>
      <c r="I2124">
        <v>1</v>
      </c>
      <c r="J2124">
        <v>0.14000000000000001</v>
      </c>
      <c r="K2124">
        <v>0.1515</v>
      </c>
      <c r="L2124">
        <v>0.63</v>
      </c>
      <c r="M2124">
        <v>0.1343</v>
      </c>
      <c r="N2124">
        <v>1</v>
      </c>
      <c r="O2124">
        <v>22</v>
      </c>
      <c r="P2124">
        <v>23</v>
      </c>
      <c r="Q2124">
        <v>332</v>
      </c>
      <c r="R2124">
        <v>333</v>
      </c>
    </row>
    <row r="2125" spans="1:18" x14ac:dyDescent="0.25">
      <c r="A2125">
        <v>334</v>
      </c>
      <c r="B2125" s="1">
        <v>40558</v>
      </c>
      <c r="C2125">
        <v>1</v>
      </c>
      <c r="D2125">
        <v>0</v>
      </c>
      <c r="E2125">
        <v>1</v>
      </c>
      <c r="F2125">
        <v>9</v>
      </c>
      <c r="G2125" t="b">
        <v>0</v>
      </c>
      <c r="H2125">
        <v>6</v>
      </c>
      <c r="I2125">
        <v>1</v>
      </c>
      <c r="J2125">
        <v>0.16</v>
      </c>
      <c r="K2125">
        <v>0.18179999999999999</v>
      </c>
      <c r="L2125">
        <v>0.64</v>
      </c>
      <c r="M2125">
        <v>0.1343</v>
      </c>
      <c r="N2125">
        <v>2</v>
      </c>
      <c r="O2125">
        <v>31</v>
      </c>
      <c r="P2125">
        <v>33</v>
      </c>
      <c r="Q2125">
        <v>333</v>
      </c>
      <c r="R2125">
        <v>334</v>
      </c>
    </row>
    <row r="2126" spans="1:18" x14ac:dyDescent="0.25">
      <c r="A2126">
        <v>335</v>
      </c>
      <c r="B2126" s="1">
        <v>40558</v>
      </c>
      <c r="C2126">
        <v>1</v>
      </c>
      <c r="D2126">
        <v>0</v>
      </c>
      <c r="E2126">
        <v>1</v>
      </c>
      <c r="F2126">
        <v>10</v>
      </c>
      <c r="G2126" t="b">
        <v>0</v>
      </c>
      <c r="H2126">
        <v>6</v>
      </c>
      <c r="I2126">
        <v>1</v>
      </c>
      <c r="J2126">
        <v>0.18</v>
      </c>
      <c r="K2126">
        <v>0.19700000000000001</v>
      </c>
      <c r="L2126">
        <v>0.59</v>
      </c>
      <c r="M2126">
        <v>0.16420000000000001</v>
      </c>
      <c r="N2126">
        <v>2</v>
      </c>
      <c r="O2126">
        <v>57</v>
      </c>
      <c r="P2126">
        <v>59</v>
      </c>
      <c r="Q2126">
        <v>334</v>
      </c>
      <c r="R2126">
        <v>335</v>
      </c>
    </row>
    <row r="2127" spans="1:18" x14ac:dyDescent="0.25">
      <c r="A2127">
        <v>336</v>
      </c>
      <c r="B2127" s="1">
        <v>40558</v>
      </c>
      <c r="C2127">
        <v>1</v>
      </c>
      <c r="D2127">
        <v>0</v>
      </c>
      <c r="E2127">
        <v>1</v>
      </c>
      <c r="F2127">
        <v>11</v>
      </c>
      <c r="G2127" t="b">
        <v>0</v>
      </c>
      <c r="H2127">
        <v>6</v>
      </c>
      <c r="I2127">
        <v>1</v>
      </c>
      <c r="J2127">
        <v>0.2</v>
      </c>
      <c r="K2127">
        <v>0.19700000000000001</v>
      </c>
      <c r="L2127">
        <v>0.55000000000000004</v>
      </c>
      <c r="M2127">
        <v>0.22389999999999999</v>
      </c>
      <c r="N2127">
        <v>18</v>
      </c>
      <c r="O2127">
        <v>54</v>
      </c>
      <c r="P2127">
        <v>72</v>
      </c>
      <c r="Q2127">
        <v>335</v>
      </c>
      <c r="R2127">
        <v>336</v>
      </c>
    </row>
    <row r="2128" spans="1:18" x14ac:dyDescent="0.25">
      <c r="A2128">
        <v>337</v>
      </c>
      <c r="B2128" s="1">
        <v>40558</v>
      </c>
      <c r="C2128">
        <v>1</v>
      </c>
      <c r="D2128">
        <v>0</v>
      </c>
      <c r="E2128">
        <v>1</v>
      </c>
      <c r="F2128">
        <v>12</v>
      </c>
      <c r="G2128" t="b">
        <v>0</v>
      </c>
      <c r="H2128">
        <v>6</v>
      </c>
      <c r="I2128">
        <v>1</v>
      </c>
      <c r="J2128">
        <v>0.24</v>
      </c>
      <c r="K2128">
        <v>0.2273</v>
      </c>
      <c r="L2128">
        <v>0.48</v>
      </c>
      <c r="M2128">
        <v>0.22389999999999999</v>
      </c>
      <c r="N2128">
        <v>15</v>
      </c>
      <c r="O2128">
        <v>74</v>
      </c>
      <c r="P2128">
        <v>89</v>
      </c>
      <c r="Q2128">
        <v>336</v>
      </c>
      <c r="R2128">
        <v>337</v>
      </c>
    </row>
    <row r="2129" spans="1:18" x14ac:dyDescent="0.25">
      <c r="A2129">
        <v>338</v>
      </c>
      <c r="B2129" s="1">
        <v>40558</v>
      </c>
      <c r="C2129">
        <v>1</v>
      </c>
      <c r="D2129">
        <v>0</v>
      </c>
      <c r="E2129">
        <v>1</v>
      </c>
      <c r="F2129">
        <v>13</v>
      </c>
      <c r="G2129" t="b">
        <v>0</v>
      </c>
      <c r="H2129">
        <v>6</v>
      </c>
      <c r="I2129">
        <v>1</v>
      </c>
      <c r="J2129">
        <v>0.28000000000000003</v>
      </c>
      <c r="K2129">
        <v>0.2576</v>
      </c>
      <c r="L2129">
        <v>0.38</v>
      </c>
      <c r="M2129">
        <v>0.29849999999999999</v>
      </c>
      <c r="N2129">
        <v>21</v>
      </c>
      <c r="O2129">
        <v>80</v>
      </c>
      <c r="P2129">
        <v>101</v>
      </c>
      <c r="Q2129">
        <v>337</v>
      </c>
      <c r="R2129">
        <v>338</v>
      </c>
    </row>
    <row r="2130" spans="1:18" x14ac:dyDescent="0.25">
      <c r="A2130">
        <v>339</v>
      </c>
      <c r="B2130" s="1">
        <v>40558</v>
      </c>
      <c r="C2130">
        <v>1</v>
      </c>
      <c r="D2130">
        <v>0</v>
      </c>
      <c r="E2130">
        <v>1</v>
      </c>
      <c r="F2130">
        <v>14</v>
      </c>
      <c r="G2130" t="b">
        <v>0</v>
      </c>
      <c r="H2130">
        <v>6</v>
      </c>
      <c r="I2130">
        <v>1</v>
      </c>
      <c r="J2130">
        <v>0.3</v>
      </c>
      <c r="K2130">
        <v>0.28789999999999999</v>
      </c>
      <c r="L2130">
        <v>0.39</v>
      </c>
      <c r="M2130">
        <v>0.28360000000000002</v>
      </c>
      <c r="N2130">
        <v>26</v>
      </c>
      <c r="O2130">
        <v>92</v>
      </c>
      <c r="P2130">
        <v>118</v>
      </c>
      <c r="Q2130">
        <v>338</v>
      </c>
      <c r="R2130">
        <v>339</v>
      </c>
    </row>
    <row r="2131" spans="1:18" x14ac:dyDescent="0.25">
      <c r="A2131">
        <v>340</v>
      </c>
      <c r="B2131" s="1">
        <v>40558</v>
      </c>
      <c r="C2131">
        <v>1</v>
      </c>
      <c r="D2131">
        <v>0</v>
      </c>
      <c r="E2131">
        <v>1</v>
      </c>
      <c r="F2131">
        <v>15</v>
      </c>
      <c r="G2131" t="b">
        <v>0</v>
      </c>
      <c r="H2131">
        <v>6</v>
      </c>
      <c r="I2131">
        <v>2</v>
      </c>
      <c r="J2131">
        <v>0.32</v>
      </c>
      <c r="K2131">
        <v>0.31819999999999998</v>
      </c>
      <c r="L2131">
        <v>0.36</v>
      </c>
      <c r="M2131">
        <v>0.19400000000000001</v>
      </c>
      <c r="N2131">
        <v>21</v>
      </c>
      <c r="O2131">
        <v>108</v>
      </c>
      <c r="P2131">
        <v>129</v>
      </c>
      <c r="Q2131">
        <v>339</v>
      </c>
      <c r="R2131">
        <v>340</v>
      </c>
    </row>
    <row r="2132" spans="1:18" x14ac:dyDescent="0.25">
      <c r="A2132">
        <v>341</v>
      </c>
      <c r="B2132" s="1">
        <v>40558</v>
      </c>
      <c r="C2132">
        <v>1</v>
      </c>
      <c r="D2132">
        <v>0</v>
      </c>
      <c r="E2132">
        <v>1</v>
      </c>
      <c r="F2132">
        <v>16</v>
      </c>
      <c r="G2132" t="b">
        <v>0</v>
      </c>
      <c r="H2132">
        <v>6</v>
      </c>
      <c r="I2132">
        <v>2</v>
      </c>
      <c r="J2132">
        <v>0.34</v>
      </c>
      <c r="K2132">
        <v>0.33329999999999999</v>
      </c>
      <c r="L2132">
        <v>0.34</v>
      </c>
      <c r="M2132">
        <v>0.19400000000000001</v>
      </c>
      <c r="N2132">
        <v>33</v>
      </c>
      <c r="O2132">
        <v>95</v>
      </c>
      <c r="P2132">
        <v>128</v>
      </c>
      <c r="Q2132">
        <v>340</v>
      </c>
      <c r="R2132">
        <v>341</v>
      </c>
    </row>
    <row r="2133" spans="1:18" x14ac:dyDescent="0.25">
      <c r="A2133">
        <v>342</v>
      </c>
      <c r="B2133" s="1">
        <v>40558</v>
      </c>
      <c r="C2133">
        <v>1</v>
      </c>
      <c r="D2133">
        <v>0</v>
      </c>
      <c r="E2133">
        <v>1</v>
      </c>
      <c r="F2133">
        <v>17</v>
      </c>
      <c r="G2133" t="b">
        <v>0</v>
      </c>
      <c r="H2133">
        <v>6</v>
      </c>
      <c r="I2133">
        <v>2</v>
      </c>
      <c r="J2133">
        <v>0.32</v>
      </c>
      <c r="K2133">
        <v>0.30299999999999999</v>
      </c>
      <c r="L2133">
        <v>0.36</v>
      </c>
      <c r="M2133">
        <v>0.28360000000000002</v>
      </c>
      <c r="N2133">
        <v>29</v>
      </c>
      <c r="O2133">
        <v>54</v>
      </c>
      <c r="P2133">
        <v>83</v>
      </c>
      <c r="Q2133">
        <v>341</v>
      </c>
      <c r="R2133">
        <v>342</v>
      </c>
    </row>
    <row r="2134" spans="1:18" x14ac:dyDescent="0.25">
      <c r="A2134">
        <v>343</v>
      </c>
      <c r="B2134" s="1">
        <v>40558</v>
      </c>
      <c r="C2134">
        <v>1</v>
      </c>
      <c r="D2134">
        <v>0</v>
      </c>
      <c r="E2134">
        <v>1</v>
      </c>
      <c r="F2134">
        <v>18</v>
      </c>
      <c r="G2134" t="b">
        <v>0</v>
      </c>
      <c r="H2134">
        <v>6</v>
      </c>
      <c r="I2134">
        <v>2</v>
      </c>
      <c r="J2134">
        <v>0.3</v>
      </c>
      <c r="K2134">
        <v>0.28789999999999999</v>
      </c>
      <c r="L2134">
        <v>0.45</v>
      </c>
      <c r="M2134">
        <v>0.25369999999999998</v>
      </c>
      <c r="N2134">
        <v>15</v>
      </c>
      <c r="O2134">
        <v>69</v>
      </c>
      <c r="P2134">
        <v>84</v>
      </c>
      <c r="Q2134">
        <v>342</v>
      </c>
      <c r="R2134">
        <v>343</v>
      </c>
    </row>
    <row r="2135" spans="1:18" x14ac:dyDescent="0.25">
      <c r="A2135">
        <v>344</v>
      </c>
      <c r="B2135" s="1">
        <v>40558</v>
      </c>
      <c r="C2135">
        <v>1</v>
      </c>
      <c r="D2135">
        <v>0</v>
      </c>
      <c r="E2135">
        <v>1</v>
      </c>
      <c r="F2135">
        <v>19</v>
      </c>
      <c r="G2135" t="b">
        <v>0</v>
      </c>
      <c r="H2135">
        <v>6</v>
      </c>
      <c r="I2135">
        <v>2</v>
      </c>
      <c r="J2135">
        <v>0.32</v>
      </c>
      <c r="K2135">
        <v>0.30299999999999999</v>
      </c>
      <c r="L2135">
        <v>0.39</v>
      </c>
      <c r="M2135">
        <v>0.25369999999999998</v>
      </c>
      <c r="N2135">
        <v>14</v>
      </c>
      <c r="O2135">
        <v>60</v>
      </c>
      <c r="P2135">
        <v>74</v>
      </c>
      <c r="Q2135">
        <v>343</v>
      </c>
      <c r="R2135">
        <v>344</v>
      </c>
    </row>
    <row r="2136" spans="1:18" x14ac:dyDescent="0.25">
      <c r="A2136">
        <v>345</v>
      </c>
      <c r="B2136" s="1">
        <v>40558</v>
      </c>
      <c r="C2136">
        <v>1</v>
      </c>
      <c r="D2136">
        <v>0</v>
      </c>
      <c r="E2136">
        <v>1</v>
      </c>
      <c r="F2136">
        <v>20</v>
      </c>
      <c r="G2136" t="b">
        <v>0</v>
      </c>
      <c r="H2136">
        <v>6</v>
      </c>
      <c r="I2136">
        <v>2</v>
      </c>
      <c r="J2136">
        <v>0.32</v>
      </c>
      <c r="K2136">
        <v>0.30299999999999999</v>
      </c>
      <c r="L2136">
        <v>0.39</v>
      </c>
      <c r="M2136">
        <v>0.25369999999999998</v>
      </c>
      <c r="N2136">
        <v>6</v>
      </c>
      <c r="O2136">
        <v>35</v>
      </c>
      <c r="P2136">
        <v>41</v>
      </c>
      <c r="Q2136">
        <v>344</v>
      </c>
      <c r="R2136">
        <v>345</v>
      </c>
    </row>
    <row r="2137" spans="1:18" x14ac:dyDescent="0.25">
      <c r="A2137">
        <v>346</v>
      </c>
      <c r="B2137" s="1">
        <v>40558</v>
      </c>
      <c r="C2137">
        <v>1</v>
      </c>
      <c r="D2137">
        <v>0</v>
      </c>
      <c r="E2137">
        <v>1</v>
      </c>
      <c r="F2137">
        <v>21</v>
      </c>
      <c r="G2137" t="b">
        <v>0</v>
      </c>
      <c r="H2137">
        <v>6</v>
      </c>
      <c r="I2137">
        <v>2</v>
      </c>
      <c r="J2137">
        <v>0.32</v>
      </c>
      <c r="K2137">
        <v>0.30299999999999999</v>
      </c>
      <c r="L2137">
        <v>0.39</v>
      </c>
      <c r="M2137">
        <v>0.22389999999999999</v>
      </c>
      <c r="N2137">
        <v>6</v>
      </c>
      <c r="O2137">
        <v>51</v>
      </c>
      <c r="P2137">
        <v>57</v>
      </c>
      <c r="Q2137">
        <v>345</v>
      </c>
      <c r="R2137">
        <v>346</v>
      </c>
    </row>
    <row r="2138" spans="1:18" x14ac:dyDescent="0.25">
      <c r="A2138">
        <v>347</v>
      </c>
      <c r="B2138" s="1">
        <v>40558</v>
      </c>
      <c r="C2138">
        <v>1</v>
      </c>
      <c r="D2138">
        <v>0</v>
      </c>
      <c r="E2138">
        <v>1</v>
      </c>
      <c r="F2138">
        <v>22</v>
      </c>
      <c r="G2138" t="b">
        <v>0</v>
      </c>
      <c r="H2138">
        <v>6</v>
      </c>
      <c r="I2138">
        <v>2</v>
      </c>
      <c r="J2138">
        <v>0.3</v>
      </c>
      <c r="K2138">
        <v>0.31819999999999998</v>
      </c>
      <c r="L2138">
        <v>0.42</v>
      </c>
      <c r="M2138">
        <v>0.1045</v>
      </c>
      <c r="N2138">
        <v>0</v>
      </c>
      <c r="O2138">
        <v>26</v>
      </c>
      <c r="P2138">
        <v>26</v>
      </c>
      <c r="Q2138">
        <v>346</v>
      </c>
      <c r="R2138">
        <v>347</v>
      </c>
    </row>
    <row r="2139" spans="1:18" x14ac:dyDescent="0.25">
      <c r="A2139">
        <v>348</v>
      </c>
      <c r="B2139" s="1">
        <v>40558</v>
      </c>
      <c r="C2139">
        <v>1</v>
      </c>
      <c r="D2139">
        <v>0</v>
      </c>
      <c r="E2139">
        <v>1</v>
      </c>
      <c r="F2139">
        <v>23</v>
      </c>
      <c r="G2139" t="b">
        <v>0</v>
      </c>
      <c r="H2139">
        <v>6</v>
      </c>
      <c r="I2139">
        <v>1</v>
      </c>
      <c r="J2139">
        <v>0.3</v>
      </c>
      <c r="K2139">
        <v>0.28789999999999999</v>
      </c>
      <c r="L2139">
        <v>0.45</v>
      </c>
      <c r="M2139">
        <v>0.28360000000000002</v>
      </c>
      <c r="N2139">
        <v>5</v>
      </c>
      <c r="O2139">
        <v>39</v>
      </c>
      <c r="P2139">
        <v>44</v>
      </c>
      <c r="Q2139">
        <v>347</v>
      </c>
      <c r="R2139">
        <v>348</v>
      </c>
    </row>
    <row r="2140" spans="1:18" x14ac:dyDescent="0.25">
      <c r="A2140">
        <v>349</v>
      </c>
      <c r="B2140" s="1">
        <v>40559</v>
      </c>
      <c r="C2140">
        <v>1</v>
      </c>
      <c r="D2140">
        <v>0</v>
      </c>
      <c r="E2140">
        <v>1</v>
      </c>
      <c r="F2140">
        <v>0</v>
      </c>
      <c r="G2140" t="b">
        <v>0</v>
      </c>
      <c r="H2140">
        <v>0</v>
      </c>
      <c r="I2140">
        <v>1</v>
      </c>
      <c r="J2140">
        <v>0.26</v>
      </c>
      <c r="K2140">
        <v>0.30299999999999999</v>
      </c>
      <c r="L2140">
        <v>0.56000000000000005</v>
      </c>
      <c r="M2140">
        <v>0</v>
      </c>
      <c r="N2140">
        <v>6</v>
      </c>
      <c r="O2140">
        <v>33</v>
      </c>
      <c r="P2140">
        <v>39</v>
      </c>
      <c r="Q2140">
        <v>348</v>
      </c>
      <c r="R2140">
        <v>349</v>
      </c>
    </row>
    <row r="2141" spans="1:18" x14ac:dyDescent="0.25">
      <c r="A2141">
        <v>350</v>
      </c>
      <c r="B2141" s="1">
        <v>40559</v>
      </c>
      <c r="C2141">
        <v>1</v>
      </c>
      <c r="D2141">
        <v>0</v>
      </c>
      <c r="E2141">
        <v>1</v>
      </c>
      <c r="F2141">
        <v>1</v>
      </c>
      <c r="G2141" t="b">
        <v>0</v>
      </c>
      <c r="H2141">
        <v>0</v>
      </c>
      <c r="I2141">
        <v>1</v>
      </c>
      <c r="J2141">
        <v>0.26</v>
      </c>
      <c r="K2141">
        <v>0.2727</v>
      </c>
      <c r="L2141">
        <v>0.56000000000000005</v>
      </c>
      <c r="M2141">
        <v>0.1343</v>
      </c>
      <c r="N2141">
        <v>4</v>
      </c>
      <c r="O2141">
        <v>19</v>
      </c>
      <c r="P2141">
        <v>23</v>
      </c>
      <c r="Q2141">
        <v>349</v>
      </c>
      <c r="R2141">
        <v>350</v>
      </c>
    </row>
    <row r="2142" spans="1:18" x14ac:dyDescent="0.25">
      <c r="A2142">
        <v>351</v>
      </c>
      <c r="B2142" s="1">
        <v>40559</v>
      </c>
      <c r="C2142">
        <v>1</v>
      </c>
      <c r="D2142">
        <v>0</v>
      </c>
      <c r="E2142">
        <v>1</v>
      </c>
      <c r="F2142">
        <v>2</v>
      </c>
      <c r="G2142" t="b">
        <v>0</v>
      </c>
      <c r="H2142">
        <v>0</v>
      </c>
      <c r="I2142">
        <v>1</v>
      </c>
      <c r="J2142">
        <v>0.26</v>
      </c>
      <c r="K2142">
        <v>0.28789999999999999</v>
      </c>
      <c r="L2142">
        <v>0.56000000000000005</v>
      </c>
      <c r="M2142">
        <v>8.9599999999999999E-2</v>
      </c>
      <c r="N2142">
        <v>3</v>
      </c>
      <c r="O2142">
        <v>13</v>
      </c>
      <c r="P2142">
        <v>16</v>
      </c>
      <c r="Q2142">
        <v>350</v>
      </c>
      <c r="R2142">
        <v>351</v>
      </c>
    </row>
    <row r="2143" spans="1:18" x14ac:dyDescent="0.25">
      <c r="A2143">
        <v>352</v>
      </c>
      <c r="B2143" s="1">
        <v>40559</v>
      </c>
      <c r="C2143">
        <v>1</v>
      </c>
      <c r="D2143">
        <v>0</v>
      </c>
      <c r="E2143">
        <v>1</v>
      </c>
      <c r="F2143">
        <v>3</v>
      </c>
      <c r="G2143" t="b">
        <v>0</v>
      </c>
      <c r="H2143">
        <v>0</v>
      </c>
      <c r="I2143">
        <v>1</v>
      </c>
      <c r="J2143">
        <v>0.22</v>
      </c>
      <c r="K2143">
        <v>0.2727</v>
      </c>
      <c r="L2143">
        <v>0.69</v>
      </c>
      <c r="M2143">
        <v>0</v>
      </c>
      <c r="N2143">
        <v>9</v>
      </c>
      <c r="O2143">
        <v>6</v>
      </c>
      <c r="P2143">
        <v>15</v>
      </c>
      <c r="Q2143">
        <v>351</v>
      </c>
      <c r="R2143">
        <v>352</v>
      </c>
    </row>
    <row r="2144" spans="1:18" x14ac:dyDescent="0.25">
      <c r="A2144">
        <v>353</v>
      </c>
      <c r="B2144" s="1">
        <v>40559</v>
      </c>
      <c r="C2144">
        <v>1</v>
      </c>
      <c r="D2144">
        <v>0</v>
      </c>
      <c r="E2144">
        <v>1</v>
      </c>
      <c r="F2144">
        <v>4</v>
      </c>
      <c r="G2144" t="b">
        <v>0</v>
      </c>
      <c r="H2144">
        <v>0</v>
      </c>
      <c r="I2144">
        <v>1</v>
      </c>
      <c r="J2144">
        <v>0.26</v>
      </c>
      <c r="K2144">
        <v>0.2576</v>
      </c>
      <c r="L2144">
        <v>0.56000000000000005</v>
      </c>
      <c r="M2144">
        <v>0.16420000000000001</v>
      </c>
      <c r="N2144">
        <v>0</v>
      </c>
      <c r="O2144">
        <v>1</v>
      </c>
      <c r="P2144">
        <v>1</v>
      </c>
      <c r="Q2144">
        <v>352</v>
      </c>
      <c r="R2144">
        <v>353</v>
      </c>
    </row>
    <row r="2145" spans="1:18" x14ac:dyDescent="0.25">
      <c r="A2145">
        <v>354</v>
      </c>
      <c r="B2145" s="1">
        <v>40559</v>
      </c>
      <c r="C2145">
        <v>1</v>
      </c>
      <c r="D2145">
        <v>0</v>
      </c>
      <c r="E2145">
        <v>1</v>
      </c>
      <c r="F2145">
        <v>5</v>
      </c>
      <c r="G2145" t="b">
        <v>0</v>
      </c>
      <c r="H2145">
        <v>0</v>
      </c>
      <c r="I2145">
        <v>2</v>
      </c>
      <c r="J2145">
        <v>0.26</v>
      </c>
      <c r="K2145">
        <v>0.2576</v>
      </c>
      <c r="L2145">
        <v>0.56000000000000005</v>
      </c>
      <c r="M2145">
        <v>0.16420000000000001</v>
      </c>
      <c r="N2145">
        <v>1</v>
      </c>
      <c r="O2145">
        <v>1</v>
      </c>
      <c r="P2145">
        <v>2</v>
      </c>
      <c r="Q2145">
        <v>353</v>
      </c>
      <c r="R2145">
        <v>354</v>
      </c>
    </row>
    <row r="2146" spans="1:18" x14ac:dyDescent="0.25">
      <c r="A2146">
        <v>355</v>
      </c>
      <c r="B2146" s="1">
        <v>40559</v>
      </c>
      <c r="C2146">
        <v>1</v>
      </c>
      <c r="D2146">
        <v>0</v>
      </c>
      <c r="E2146">
        <v>1</v>
      </c>
      <c r="F2146">
        <v>6</v>
      </c>
      <c r="G2146" t="b">
        <v>0</v>
      </c>
      <c r="H2146">
        <v>0</v>
      </c>
      <c r="I2146">
        <v>2</v>
      </c>
      <c r="J2146">
        <v>0.26</v>
      </c>
      <c r="K2146">
        <v>0.2576</v>
      </c>
      <c r="L2146">
        <v>0.56000000000000005</v>
      </c>
      <c r="M2146">
        <v>0.16420000000000001</v>
      </c>
      <c r="N2146">
        <v>0</v>
      </c>
      <c r="O2146">
        <v>1</v>
      </c>
      <c r="P2146">
        <v>1</v>
      </c>
      <c r="Q2146">
        <v>354</v>
      </c>
      <c r="R2146">
        <v>355</v>
      </c>
    </row>
    <row r="2147" spans="1:18" x14ac:dyDescent="0.25">
      <c r="A2147">
        <v>356</v>
      </c>
      <c r="B2147" s="1">
        <v>40559</v>
      </c>
      <c r="C2147">
        <v>1</v>
      </c>
      <c r="D2147">
        <v>0</v>
      </c>
      <c r="E2147">
        <v>1</v>
      </c>
      <c r="F2147">
        <v>7</v>
      </c>
      <c r="G2147" t="b">
        <v>0</v>
      </c>
      <c r="H2147">
        <v>0</v>
      </c>
      <c r="I2147">
        <v>2</v>
      </c>
      <c r="J2147">
        <v>0.24</v>
      </c>
      <c r="K2147">
        <v>0.21210000000000001</v>
      </c>
      <c r="L2147">
        <v>0.56000000000000005</v>
      </c>
      <c r="M2147">
        <v>0.29849999999999999</v>
      </c>
      <c r="N2147">
        <v>0</v>
      </c>
      <c r="O2147">
        <v>3</v>
      </c>
      <c r="P2147">
        <v>3</v>
      </c>
      <c r="Q2147">
        <v>355</v>
      </c>
      <c r="R2147">
        <v>356</v>
      </c>
    </row>
    <row r="2148" spans="1:18" x14ac:dyDescent="0.25">
      <c r="A2148">
        <v>357</v>
      </c>
      <c r="B2148" s="1">
        <v>40559</v>
      </c>
      <c r="C2148">
        <v>1</v>
      </c>
      <c r="D2148">
        <v>0</v>
      </c>
      <c r="E2148">
        <v>1</v>
      </c>
      <c r="F2148">
        <v>8</v>
      </c>
      <c r="G2148" t="b">
        <v>0</v>
      </c>
      <c r="H2148">
        <v>0</v>
      </c>
      <c r="I2148">
        <v>1</v>
      </c>
      <c r="J2148">
        <v>0.22</v>
      </c>
      <c r="K2148">
        <v>0.21210000000000001</v>
      </c>
      <c r="L2148">
        <v>0.55000000000000004</v>
      </c>
      <c r="M2148">
        <v>0.28360000000000002</v>
      </c>
      <c r="N2148">
        <v>0</v>
      </c>
      <c r="O2148">
        <v>18</v>
      </c>
      <c r="P2148">
        <v>18</v>
      </c>
      <c r="Q2148">
        <v>356</v>
      </c>
      <c r="R2148">
        <v>357</v>
      </c>
    </row>
    <row r="2149" spans="1:18" x14ac:dyDescent="0.25">
      <c r="A2149">
        <v>358</v>
      </c>
      <c r="B2149" s="1">
        <v>40559</v>
      </c>
      <c r="C2149">
        <v>1</v>
      </c>
      <c r="D2149">
        <v>0</v>
      </c>
      <c r="E2149">
        <v>1</v>
      </c>
      <c r="F2149">
        <v>9</v>
      </c>
      <c r="G2149" t="b">
        <v>0</v>
      </c>
      <c r="H2149">
        <v>0</v>
      </c>
      <c r="I2149">
        <v>1</v>
      </c>
      <c r="J2149">
        <v>0.22</v>
      </c>
      <c r="K2149">
        <v>0.21210000000000001</v>
      </c>
      <c r="L2149">
        <v>0.51</v>
      </c>
      <c r="M2149">
        <v>0.25369999999999998</v>
      </c>
      <c r="N2149">
        <v>3</v>
      </c>
      <c r="O2149">
        <v>29</v>
      </c>
      <c r="P2149">
        <v>32</v>
      </c>
      <c r="Q2149">
        <v>357</v>
      </c>
      <c r="R2149">
        <v>358</v>
      </c>
    </row>
    <row r="2150" spans="1:18" x14ac:dyDescent="0.25">
      <c r="A2150">
        <v>359</v>
      </c>
      <c r="B2150" s="1">
        <v>40559</v>
      </c>
      <c r="C2150">
        <v>1</v>
      </c>
      <c r="D2150">
        <v>0</v>
      </c>
      <c r="E2150">
        <v>1</v>
      </c>
      <c r="F2150">
        <v>10</v>
      </c>
      <c r="G2150" t="b">
        <v>0</v>
      </c>
      <c r="H2150">
        <v>0</v>
      </c>
      <c r="I2150">
        <v>1</v>
      </c>
      <c r="J2150">
        <v>0.22</v>
      </c>
      <c r="K2150">
        <v>0.21210000000000001</v>
      </c>
      <c r="L2150">
        <v>0.51</v>
      </c>
      <c r="M2150">
        <v>0.28360000000000002</v>
      </c>
      <c r="N2150">
        <v>8</v>
      </c>
      <c r="O2150">
        <v>71</v>
      </c>
      <c r="P2150">
        <v>79</v>
      </c>
      <c r="Q2150">
        <v>358</v>
      </c>
      <c r="R2150">
        <v>359</v>
      </c>
    </row>
    <row r="2151" spans="1:18" x14ac:dyDescent="0.25">
      <c r="A2151">
        <v>360</v>
      </c>
      <c r="B2151" s="1">
        <v>40559</v>
      </c>
      <c r="C2151">
        <v>1</v>
      </c>
      <c r="D2151">
        <v>0</v>
      </c>
      <c r="E2151">
        <v>1</v>
      </c>
      <c r="F2151">
        <v>11</v>
      </c>
      <c r="G2151" t="b">
        <v>0</v>
      </c>
      <c r="H2151">
        <v>0</v>
      </c>
      <c r="I2151">
        <v>1</v>
      </c>
      <c r="J2151">
        <v>0.24</v>
      </c>
      <c r="K2151">
        <v>0.2273</v>
      </c>
      <c r="L2151">
        <v>0.44</v>
      </c>
      <c r="M2151">
        <v>0.25369999999999998</v>
      </c>
      <c r="N2151">
        <v>23</v>
      </c>
      <c r="O2151">
        <v>70</v>
      </c>
      <c r="P2151">
        <v>93</v>
      </c>
      <c r="Q2151">
        <v>359</v>
      </c>
      <c r="R2151">
        <v>360</v>
      </c>
    </row>
    <row r="2152" spans="1:18" x14ac:dyDescent="0.25">
      <c r="A2152">
        <v>361</v>
      </c>
      <c r="B2152" s="1">
        <v>40559</v>
      </c>
      <c r="C2152">
        <v>1</v>
      </c>
      <c r="D2152">
        <v>0</v>
      </c>
      <c r="E2152">
        <v>1</v>
      </c>
      <c r="F2152">
        <v>12</v>
      </c>
      <c r="G2152" t="b">
        <v>0</v>
      </c>
      <c r="H2152">
        <v>0</v>
      </c>
      <c r="I2152">
        <v>1</v>
      </c>
      <c r="J2152">
        <v>0.24</v>
      </c>
      <c r="K2152">
        <v>0.21210000000000001</v>
      </c>
      <c r="L2152">
        <v>0.41</v>
      </c>
      <c r="M2152">
        <v>0.28360000000000002</v>
      </c>
      <c r="N2152">
        <v>29</v>
      </c>
      <c r="O2152">
        <v>75</v>
      </c>
      <c r="P2152">
        <v>104</v>
      </c>
      <c r="Q2152">
        <v>360</v>
      </c>
      <c r="R2152">
        <v>361</v>
      </c>
    </row>
    <row r="2153" spans="1:18" x14ac:dyDescent="0.25">
      <c r="A2153">
        <v>362</v>
      </c>
      <c r="B2153" s="1">
        <v>40559</v>
      </c>
      <c r="C2153">
        <v>1</v>
      </c>
      <c r="D2153">
        <v>0</v>
      </c>
      <c r="E2153">
        <v>1</v>
      </c>
      <c r="F2153">
        <v>13</v>
      </c>
      <c r="G2153" t="b">
        <v>0</v>
      </c>
      <c r="H2153">
        <v>0</v>
      </c>
      <c r="I2153">
        <v>1</v>
      </c>
      <c r="J2153">
        <v>0.26</v>
      </c>
      <c r="K2153">
        <v>0.2273</v>
      </c>
      <c r="L2153">
        <v>0.35</v>
      </c>
      <c r="M2153">
        <v>0.29849999999999999</v>
      </c>
      <c r="N2153">
        <v>23</v>
      </c>
      <c r="O2153">
        <v>95</v>
      </c>
      <c r="P2153">
        <v>118</v>
      </c>
      <c r="Q2153">
        <v>361</v>
      </c>
      <c r="R2153">
        <v>362</v>
      </c>
    </row>
    <row r="2154" spans="1:18" x14ac:dyDescent="0.25">
      <c r="A2154">
        <v>363</v>
      </c>
      <c r="B2154" s="1">
        <v>40559</v>
      </c>
      <c r="C2154">
        <v>1</v>
      </c>
      <c r="D2154">
        <v>0</v>
      </c>
      <c r="E2154">
        <v>1</v>
      </c>
      <c r="F2154">
        <v>14</v>
      </c>
      <c r="G2154" t="b">
        <v>0</v>
      </c>
      <c r="H2154">
        <v>0</v>
      </c>
      <c r="I2154">
        <v>1</v>
      </c>
      <c r="J2154">
        <v>0.28000000000000003</v>
      </c>
      <c r="K2154">
        <v>0.2727</v>
      </c>
      <c r="L2154">
        <v>0.36</v>
      </c>
      <c r="M2154">
        <v>0.25369999999999998</v>
      </c>
      <c r="N2154">
        <v>22</v>
      </c>
      <c r="O2154">
        <v>69</v>
      </c>
      <c r="P2154">
        <v>91</v>
      </c>
      <c r="Q2154">
        <v>362</v>
      </c>
      <c r="R2154">
        <v>363</v>
      </c>
    </row>
    <row r="2155" spans="1:18" x14ac:dyDescent="0.25">
      <c r="A2155">
        <v>364</v>
      </c>
      <c r="B2155" s="1">
        <v>40559</v>
      </c>
      <c r="C2155">
        <v>1</v>
      </c>
      <c r="D2155">
        <v>0</v>
      </c>
      <c r="E2155">
        <v>1</v>
      </c>
      <c r="F2155">
        <v>15</v>
      </c>
      <c r="G2155" t="b">
        <v>0</v>
      </c>
      <c r="H2155">
        <v>0</v>
      </c>
      <c r="I2155">
        <v>1</v>
      </c>
      <c r="J2155">
        <v>0.26</v>
      </c>
      <c r="K2155">
        <v>0.2424</v>
      </c>
      <c r="L2155">
        <v>0.38</v>
      </c>
      <c r="M2155">
        <v>0.25369999999999998</v>
      </c>
      <c r="N2155">
        <v>35</v>
      </c>
      <c r="O2155">
        <v>78</v>
      </c>
      <c r="P2155">
        <v>113</v>
      </c>
      <c r="Q2155">
        <v>363</v>
      </c>
      <c r="R2155">
        <v>364</v>
      </c>
    </row>
    <row r="2156" spans="1:18" x14ac:dyDescent="0.25">
      <c r="A2156">
        <v>365</v>
      </c>
      <c r="B2156" s="1">
        <v>40559</v>
      </c>
      <c r="C2156">
        <v>1</v>
      </c>
      <c r="D2156">
        <v>0</v>
      </c>
      <c r="E2156">
        <v>1</v>
      </c>
      <c r="F2156">
        <v>16</v>
      </c>
      <c r="G2156" t="b">
        <v>0</v>
      </c>
      <c r="H2156">
        <v>0</v>
      </c>
      <c r="I2156">
        <v>1</v>
      </c>
      <c r="J2156">
        <v>0.24</v>
      </c>
      <c r="K2156">
        <v>0.2273</v>
      </c>
      <c r="L2156">
        <v>0.38</v>
      </c>
      <c r="M2156">
        <v>0.22389999999999999</v>
      </c>
      <c r="N2156">
        <v>22</v>
      </c>
      <c r="O2156">
        <v>77</v>
      </c>
      <c r="P2156">
        <v>99</v>
      </c>
      <c r="Q2156">
        <v>364</v>
      </c>
      <c r="R2156">
        <v>365</v>
      </c>
    </row>
    <row r="2157" spans="1:18" x14ac:dyDescent="0.25">
      <c r="A2157">
        <v>366</v>
      </c>
      <c r="B2157" s="1">
        <v>40559</v>
      </c>
      <c r="C2157">
        <v>1</v>
      </c>
      <c r="D2157">
        <v>0</v>
      </c>
      <c r="E2157">
        <v>1</v>
      </c>
      <c r="F2157">
        <v>17</v>
      </c>
      <c r="G2157" t="b">
        <v>0</v>
      </c>
      <c r="H2157">
        <v>0</v>
      </c>
      <c r="I2157">
        <v>1</v>
      </c>
      <c r="J2157">
        <v>0.22</v>
      </c>
      <c r="K2157">
        <v>0.21210000000000001</v>
      </c>
      <c r="L2157">
        <v>0.37</v>
      </c>
      <c r="M2157">
        <v>0.25369999999999998</v>
      </c>
      <c r="N2157">
        <v>23</v>
      </c>
      <c r="O2157">
        <v>82</v>
      </c>
      <c r="P2157">
        <v>105</v>
      </c>
      <c r="Q2157">
        <v>365</v>
      </c>
      <c r="R2157">
        <v>366</v>
      </c>
    </row>
    <row r="2158" spans="1:18" x14ac:dyDescent="0.25">
      <c r="A2158">
        <v>367</v>
      </c>
      <c r="B2158" s="1">
        <v>40559</v>
      </c>
      <c r="C2158">
        <v>1</v>
      </c>
      <c r="D2158">
        <v>0</v>
      </c>
      <c r="E2158">
        <v>1</v>
      </c>
      <c r="F2158">
        <v>18</v>
      </c>
      <c r="G2158" t="b">
        <v>0</v>
      </c>
      <c r="H2158">
        <v>0</v>
      </c>
      <c r="I2158">
        <v>1</v>
      </c>
      <c r="J2158">
        <v>0.2</v>
      </c>
      <c r="K2158">
        <v>0.21210000000000001</v>
      </c>
      <c r="L2158">
        <v>0.4</v>
      </c>
      <c r="M2158">
        <v>0.16420000000000001</v>
      </c>
      <c r="N2158">
        <v>11</v>
      </c>
      <c r="O2158">
        <v>56</v>
      </c>
      <c r="P2158">
        <v>67</v>
      </c>
      <c r="Q2158">
        <v>366</v>
      </c>
      <c r="R2158">
        <v>367</v>
      </c>
    </row>
    <row r="2159" spans="1:18" x14ac:dyDescent="0.25">
      <c r="A2159">
        <v>368</v>
      </c>
      <c r="B2159" s="1">
        <v>40559</v>
      </c>
      <c r="C2159">
        <v>1</v>
      </c>
      <c r="D2159">
        <v>0</v>
      </c>
      <c r="E2159">
        <v>1</v>
      </c>
      <c r="F2159">
        <v>19</v>
      </c>
      <c r="G2159" t="b">
        <v>0</v>
      </c>
      <c r="H2159">
        <v>0</v>
      </c>
      <c r="I2159">
        <v>1</v>
      </c>
      <c r="J2159">
        <v>0.18</v>
      </c>
      <c r="K2159">
        <v>0.19700000000000001</v>
      </c>
      <c r="L2159">
        <v>0.47</v>
      </c>
      <c r="M2159">
        <v>0.1343</v>
      </c>
      <c r="N2159">
        <v>14</v>
      </c>
      <c r="O2159">
        <v>47</v>
      </c>
      <c r="P2159">
        <v>61</v>
      </c>
      <c r="Q2159">
        <v>367</v>
      </c>
      <c r="R2159">
        <v>368</v>
      </c>
    </row>
    <row r="2160" spans="1:18" x14ac:dyDescent="0.25">
      <c r="A2160">
        <v>369</v>
      </c>
      <c r="B2160" s="1">
        <v>40559</v>
      </c>
      <c r="C2160">
        <v>1</v>
      </c>
      <c r="D2160">
        <v>0</v>
      </c>
      <c r="E2160">
        <v>1</v>
      </c>
      <c r="F2160">
        <v>20</v>
      </c>
      <c r="G2160" t="b">
        <v>0</v>
      </c>
      <c r="H2160">
        <v>0</v>
      </c>
      <c r="I2160">
        <v>1</v>
      </c>
      <c r="J2160">
        <v>0.18</v>
      </c>
      <c r="K2160">
        <v>0.19700000000000001</v>
      </c>
      <c r="L2160">
        <v>0.47</v>
      </c>
      <c r="M2160">
        <v>0.16420000000000001</v>
      </c>
      <c r="N2160">
        <v>7</v>
      </c>
      <c r="O2160">
        <v>50</v>
      </c>
      <c r="P2160">
        <v>57</v>
      </c>
      <c r="Q2160">
        <v>368</v>
      </c>
      <c r="R2160">
        <v>369</v>
      </c>
    </row>
    <row r="2161" spans="1:18" x14ac:dyDescent="0.25">
      <c r="A2161">
        <v>370</v>
      </c>
      <c r="B2161" s="1">
        <v>40559</v>
      </c>
      <c r="C2161">
        <v>1</v>
      </c>
      <c r="D2161">
        <v>0</v>
      </c>
      <c r="E2161">
        <v>1</v>
      </c>
      <c r="F2161">
        <v>21</v>
      </c>
      <c r="G2161" t="b">
        <v>0</v>
      </c>
      <c r="H2161">
        <v>0</v>
      </c>
      <c r="I2161">
        <v>1</v>
      </c>
      <c r="J2161">
        <v>0.18</v>
      </c>
      <c r="K2161">
        <v>0.19700000000000001</v>
      </c>
      <c r="L2161">
        <v>0.51</v>
      </c>
      <c r="M2161">
        <v>0.16420000000000001</v>
      </c>
      <c r="N2161">
        <v>6</v>
      </c>
      <c r="O2161">
        <v>22</v>
      </c>
      <c r="P2161">
        <v>28</v>
      </c>
      <c r="Q2161">
        <v>369</v>
      </c>
      <c r="R2161">
        <v>370</v>
      </c>
    </row>
    <row r="2162" spans="1:18" x14ac:dyDescent="0.25">
      <c r="A2162">
        <v>371</v>
      </c>
      <c r="B2162" s="1">
        <v>40559</v>
      </c>
      <c r="C2162">
        <v>1</v>
      </c>
      <c r="D2162">
        <v>0</v>
      </c>
      <c r="E2162">
        <v>1</v>
      </c>
      <c r="F2162">
        <v>22</v>
      </c>
      <c r="G2162" t="b">
        <v>0</v>
      </c>
      <c r="H2162">
        <v>0</v>
      </c>
      <c r="I2162">
        <v>2</v>
      </c>
      <c r="J2162">
        <v>0.2</v>
      </c>
      <c r="K2162">
        <v>0.21210000000000001</v>
      </c>
      <c r="L2162">
        <v>0.49</v>
      </c>
      <c r="M2162">
        <v>0.1343</v>
      </c>
      <c r="N2162">
        <v>2</v>
      </c>
      <c r="O2162">
        <v>19</v>
      </c>
      <c r="P2162">
        <v>21</v>
      </c>
      <c r="Q2162">
        <v>370</v>
      </c>
      <c r="R2162">
        <v>371</v>
      </c>
    </row>
    <row r="2163" spans="1:18" x14ac:dyDescent="0.25">
      <c r="A2163">
        <v>372</v>
      </c>
      <c r="B2163" s="1">
        <v>40559</v>
      </c>
      <c r="C2163">
        <v>1</v>
      </c>
      <c r="D2163">
        <v>0</v>
      </c>
      <c r="E2163">
        <v>1</v>
      </c>
      <c r="F2163">
        <v>23</v>
      </c>
      <c r="G2163" t="b">
        <v>0</v>
      </c>
      <c r="H2163">
        <v>0</v>
      </c>
      <c r="I2163">
        <v>2</v>
      </c>
      <c r="J2163">
        <v>0.2</v>
      </c>
      <c r="K2163">
        <v>0.2273</v>
      </c>
      <c r="L2163">
        <v>0.4</v>
      </c>
      <c r="M2163">
        <v>0.1045</v>
      </c>
      <c r="N2163">
        <v>0</v>
      </c>
      <c r="O2163">
        <v>18</v>
      </c>
      <c r="P2163">
        <v>18</v>
      </c>
      <c r="Q2163">
        <v>371</v>
      </c>
      <c r="R2163">
        <v>372</v>
      </c>
    </row>
    <row r="2164" spans="1:18" x14ac:dyDescent="0.25">
      <c r="A2164">
        <v>373</v>
      </c>
      <c r="B2164" s="1">
        <v>40560</v>
      </c>
      <c r="C2164">
        <v>1</v>
      </c>
      <c r="D2164">
        <v>0</v>
      </c>
      <c r="E2164">
        <v>1</v>
      </c>
      <c r="F2164">
        <v>0</v>
      </c>
      <c r="G2164" t="b">
        <v>1</v>
      </c>
      <c r="H2164">
        <v>1</v>
      </c>
      <c r="I2164">
        <v>2</v>
      </c>
      <c r="J2164">
        <v>0.2</v>
      </c>
      <c r="K2164">
        <v>0.19700000000000001</v>
      </c>
      <c r="L2164">
        <v>0.47</v>
      </c>
      <c r="M2164">
        <v>0.22389999999999999</v>
      </c>
      <c r="N2164">
        <v>1</v>
      </c>
      <c r="O2164">
        <v>16</v>
      </c>
      <c r="P2164">
        <v>17</v>
      </c>
      <c r="Q2164">
        <v>372</v>
      </c>
      <c r="R2164">
        <v>373</v>
      </c>
    </row>
    <row r="2165" spans="1:18" x14ac:dyDescent="0.25">
      <c r="A2165">
        <v>374</v>
      </c>
      <c r="B2165" s="1">
        <v>40560</v>
      </c>
      <c r="C2165">
        <v>1</v>
      </c>
      <c r="D2165">
        <v>0</v>
      </c>
      <c r="E2165">
        <v>1</v>
      </c>
      <c r="F2165">
        <v>1</v>
      </c>
      <c r="G2165" t="b">
        <v>1</v>
      </c>
      <c r="H2165">
        <v>1</v>
      </c>
      <c r="I2165">
        <v>2</v>
      </c>
      <c r="J2165">
        <v>0.2</v>
      </c>
      <c r="K2165">
        <v>0.19700000000000001</v>
      </c>
      <c r="L2165">
        <v>0.44</v>
      </c>
      <c r="M2165">
        <v>0.19400000000000001</v>
      </c>
      <c r="N2165">
        <v>1</v>
      </c>
      <c r="O2165">
        <v>15</v>
      </c>
      <c r="P2165">
        <v>16</v>
      </c>
      <c r="Q2165">
        <v>373</v>
      </c>
      <c r="R2165">
        <v>374</v>
      </c>
    </row>
    <row r="2166" spans="1:18" x14ac:dyDescent="0.25">
      <c r="A2166">
        <v>375</v>
      </c>
      <c r="B2166" s="1">
        <v>40560</v>
      </c>
      <c r="C2166">
        <v>1</v>
      </c>
      <c r="D2166">
        <v>0</v>
      </c>
      <c r="E2166">
        <v>1</v>
      </c>
      <c r="F2166">
        <v>2</v>
      </c>
      <c r="G2166" t="b">
        <v>1</v>
      </c>
      <c r="H2166">
        <v>1</v>
      </c>
      <c r="I2166">
        <v>2</v>
      </c>
      <c r="J2166">
        <v>0.18</v>
      </c>
      <c r="K2166">
        <v>0.16669999999999999</v>
      </c>
      <c r="L2166">
        <v>0.43</v>
      </c>
      <c r="M2166">
        <v>0.25369999999999998</v>
      </c>
      <c r="N2166">
        <v>0</v>
      </c>
      <c r="O2166">
        <v>8</v>
      </c>
      <c r="P2166">
        <v>8</v>
      </c>
      <c r="Q2166">
        <v>374</v>
      </c>
      <c r="R2166">
        <v>375</v>
      </c>
    </row>
    <row r="2167" spans="1:18" x14ac:dyDescent="0.25">
      <c r="A2167">
        <v>376</v>
      </c>
      <c r="B2167" s="1">
        <v>40560</v>
      </c>
      <c r="C2167">
        <v>1</v>
      </c>
      <c r="D2167">
        <v>0</v>
      </c>
      <c r="E2167">
        <v>1</v>
      </c>
      <c r="F2167">
        <v>3</v>
      </c>
      <c r="G2167" t="b">
        <v>1</v>
      </c>
      <c r="H2167">
        <v>1</v>
      </c>
      <c r="I2167">
        <v>2</v>
      </c>
      <c r="J2167">
        <v>0.18</v>
      </c>
      <c r="K2167">
        <v>0.18179999999999999</v>
      </c>
      <c r="L2167">
        <v>0.43</v>
      </c>
      <c r="M2167">
        <v>0.19400000000000001</v>
      </c>
      <c r="N2167">
        <v>0</v>
      </c>
      <c r="O2167">
        <v>2</v>
      </c>
      <c r="P2167">
        <v>2</v>
      </c>
      <c r="Q2167">
        <v>375</v>
      </c>
      <c r="R2167">
        <v>376</v>
      </c>
    </row>
    <row r="2168" spans="1:18" x14ac:dyDescent="0.25">
      <c r="A2168">
        <v>377</v>
      </c>
      <c r="B2168" s="1">
        <v>40560</v>
      </c>
      <c r="C2168">
        <v>1</v>
      </c>
      <c r="D2168">
        <v>0</v>
      </c>
      <c r="E2168">
        <v>1</v>
      </c>
      <c r="F2168">
        <v>4</v>
      </c>
      <c r="G2168" t="b">
        <v>1</v>
      </c>
      <c r="H2168">
        <v>1</v>
      </c>
      <c r="I2168">
        <v>2</v>
      </c>
      <c r="J2168">
        <v>0.18</v>
      </c>
      <c r="K2168">
        <v>0.19700000000000001</v>
      </c>
      <c r="L2168">
        <v>0.43</v>
      </c>
      <c r="M2168">
        <v>0.1343</v>
      </c>
      <c r="N2168">
        <v>1</v>
      </c>
      <c r="O2168">
        <v>2</v>
      </c>
      <c r="P2168">
        <v>3</v>
      </c>
      <c r="Q2168">
        <v>376</v>
      </c>
      <c r="R2168">
        <v>377</v>
      </c>
    </row>
    <row r="2169" spans="1:18" x14ac:dyDescent="0.25">
      <c r="A2169">
        <v>378</v>
      </c>
      <c r="B2169" s="1">
        <v>40560</v>
      </c>
      <c r="C2169">
        <v>1</v>
      </c>
      <c r="D2169">
        <v>0</v>
      </c>
      <c r="E2169">
        <v>1</v>
      </c>
      <c r="F2169">
        <v>5</v>
      </c>
      <c r="G2169" t="b">
        <v>1</v>
      </c>
      <c r="H2169">
        <v>1</v>
      </c>
      <c r="I2169">
        <v>2</v>
      </c>
      <c r="J2169">
        <v>0.18</v>
      </c>
      <c r="K2169">
        <v>0.19700000000000001</v>
      </c>
      <c r="L2169">
        <v>0.43</v>
      </c>
      <c r="M2169">
        <v>0.16420000000000001</v>
      </c>
      <c r="N2169">
        <v>0</v>
      </c>
      <c r="O2169">
        <v>1</v>
      </c>
      <c r="P2169">
        <v>1</v>
      </c>
      <c r="Q2169">
        <v>377</v>
      </c>
      <c r="R2169">
        <v>378</v>
      </c>
    </row>
    <row r="2170" spans="1:18" x14ac:dyDescent="0.25">
      <c r="A2170">
        <v>379</v>
      </c>
      <c r="B2170" s="1">
        <v>40560</v>
      </c>
      <c r="C2170">
        <v>1</v>
      </c>
      <c r="D2170">
        <v>0</v>
      </c>
      <c r="E2170">
        <v>1</v>
      </c>
      <c r="F2170">
        <v>6</v>
      </c>
      <c r="G2170" t="b">
        <v>1</v>
      </c>
      <c r="H2170">
        <v>1</v>
      </c>
      <c r="I2170">
        <v>2</v>
      </c>
      <c r="J2170">
        <v>0.18</v>
      </c>
      <c r="K2170">
        <v>0.18179999999999999</v>
      </c>
      <c r="L2170">
        <v>0.43</v>
      </c>
      <c r="M2170">
        <v>0.19400000000000001</v>
      </c>
      <c r="N2170">
        <v>0</v>
      </c>
      <c r="O2170">
        <v>5</v>
      </c>
      <c r="P2170">
        <v>5</v>
      </c>
      <c r="Q2170">
        <v>378</v>
      </c>
      <c r="R2170">
        <v>379</v>
      </c>
    </row>
    <row r="2171" spans="1:18" x14ac:dyDescent="0.25">
      <c r="A2171">
        <v>380</v>
      </c>
      <c r="B2171" s="1">
        <v>40560</v>
      </c>
      <c r="C2171">
        <v>1</v>
      </c>
      <c r="D2171">
        <v>0</v>
      </c>
      <c r="E2171">
        <v>1</v>
      </c>
      <c r="F2171">
        <v>7</v>
      </c>
      <c r="G2171" t="b">
        <v>1</v>
      </c>
      <c r="H2171">
        <v>1</v>
      </c>
      <c r="I2171">
        <v>2</v>
      </c>
      <c r="J2171">
        <v>0.16</v>
      </c>
      <c r="K2171">
        <v>0.18179999999999999</v>
      </c>
      <c r="L2171">
        <v>0.5</v>
      </c>
      <c r="M2171">
        <v>0.1343</v>
      </c>
      <c r="N2171">
        <v>4</v>
      </c>
      <c r="O2171">
        <v>9</v>
      </c>
      <c r="P2171">
        <v>13</v>
      </c>
      <c r="Q2171">
        <v>379</v>
      </c>
      <c r="R2171">
        <v>380</v>
      </c>
    </row>
    <row r="2172" spans="1:18" x14ac:dyDescent="0.25">
      <c r="A2172">
        <v>381</v>
      </c>
      <c r="B2172" s="1">
        <v>40560</v>
      </c>
      <c r="C2172">
        <v>1</v>
      </c>
      <c r="D2172">
        <v>0</v>
      </c>
      <c r="E2172">
        <v>1</v>
      </c>
      <c r="F2172">
        <v>8</v>
      </c>
      <c r="G2172" t="b">
        <v>1</v>
      </c>
      <c r="H2172">
        <v>1</v>
      </c>
      <c r="I2172">
        <v>2</v>
      </c>
      <c r="J2172">
        <v>0.16</v>
      </c>
      <c r="K2172">
        <v>0.1515</v>
      </c>
      <c r="L2172">
        <v>0.47</v>
      </c>
      <c r="M2172">
        <v>0.22389999999999999</v>
      </c>
      <c r="N2172">
        <v>3</v>
      </c>
      <c r="O2172">
        <v>30</v>
      </c>
      <c r="P2172">
        <v>33</v>
      </c>
      <c r="Q2172">
        <v>380</v>
      </c>
      <c r="R2172">
        <v>381</v>
      </c>
    </row>
    <row r="2173" spans="1:18" x14ac:dyDescent="0.25">
      <c r="A2173">
        <v>382</v>
      </c>
      <c r="B2173" s="1">
        <v>40560</v>
      </c>
      <c r="C2173">
        <v>1</v>
      </c>
      <c r="D2173">
        <v>0</v>
      </c>
      <c r="E2173">
        <v>1</v>
      </c>
      <c r="F2173">
        <v>9</v>
      </c>
      <c r="G2173" t="b">
        <v>1</v>
      </c>
      <c r="H2173">
        <v>1</v>
      </c>
      <c r="I2173">
        <v>2</v>
      </c>
      <c r="J2173">
        <v>0.16</v>
      </c>
      <c r="K2173">
        <v>0.1515</v>
      </c>
      <c r="L2173">
        <v>0.47</v>
      </c>
      <c r="M2173">
        <v>0.22389999999999999</v>
      </c>
      <c r="N2173">
        <v>8</v>
      </c>
      <c r="O2173">
        <v>39</v>
      </c>
      <c r="P2173">
        <v>47</v>
      </c>
      <c r="Q2173">
        <v>381</v>
      </c>
      <c r="R2173">
        <v>382</v>
      </c>
    </row>
    <row r="2174" spans="1:18" x14ac:dyDescent="0.25">
      <c r="A2174">
        <v>383</v>
      </c>
      <c r="B2174" s="1">
        <v>40560</v>
      </c>
      <c r="C2174">
        <v>1</v>
      </c>
      <c r="D2174">
        <v>0</v>
      </c>
      <c r="E2174">
        <v>1</v>
      </c>
      <c r="F2174">
        <v>10</v>
      </c>
      <c r="G2174" t="b">
        <v>1</v>
      </c>
      <c r="H2174">
        <v>1</v>
      </c>
      <c r="I2174">
        <v>2</v>
      </c>
      <c r="J2174">
        <v>0.16</v>
      </c>
      <c r="K2174">
        <v>0.1515</v>
      </c>
      <c r="L2174">
        <v>0.5</v>
      </c>
      <c r="M2174">
        <v>0.25369999999999998</v>
      </c>
      <c r="N2174">
        <v>7</v>
      </c>
      <c r="O2174">
        <v>50</v>
      </c>
      <c r="P2174">
        <v>57</v>
      </c>
      <c r="Q2174">
        <v>382</v>
      </c>
      <c r="R2174">
        <v>383</v>
      </c>
    </row>
    <row r="2175" spans="1:18" x14ac:dyDescent="0.25">
      <c r="A2175">
        <v>384</v>
      </c>
      <c r="B2175" s="1">
        <v>40560</v>
      </c>
      <c r="C2175">
        <v>1</v>
      </c>
      <c r="D2175">
        <v>0</v>
      </c>
      <c r="E2175">
        <v>1</v>
      </c>
      <c r="F2175">
        <v>11</v>
      </c>
      <c r="G2175" t="b">
        <v>1</v>
      </c>
      <c r="H2175">
        <v>1</v>
      </c>
      <c r="I2175">
        <v>2</v>
      </c>
      <c r="J2175">
        <v>0.16</v>
      </c>
      <c r="K2175">
        <v>0.1515</v>
      </c>
      <c r="L2175">
        <v>0.55000000000000004</v>
      </c>
      <c r="M2175">
        <v>0.19400000000000001</v>
      </c>
      <c r="N2175">
        <v>9</v>
      </c>
      <c r="O2175">
        <v>55</v>
      </c>
      <c r="P2175">
        <v>64</v>
      </c>
      <c r="Q2175">
        <v>383</v>
      </c>
      <c r="R2175">
        <v>384</v>
      </c>
    </row>
    <row r="2176" spans="1:18" x14ac:dyDescent="0.25">
      <c r="A2176">
        <v>385</v>
      </c>
      <c r="B2176" s="1">
        <v>40560</v>
      </c>
      <c r="C2176">
        <v>1</v>
      </c>
      <c r="D2176">
        <v>0</v>
      </c>
      <c r="E2176">
        <v>1</v>
      </c>
      <c r="F2176">
        <v>12</v>
      </c>
      <c r="G2176" t="b">
        <v>1</v>
      </c>
      <c r="H2176">
        <v>1</v>
      </c>
      <c r="I2176">
        <v>2</v>
      </c>
      <c r="J2176">
        <v>0.18</v>
      </c>
      <c r="K2176">
        <v>0.19700000000000001</v>
      </c>
      <c r="L2176">
        <v>0.47</v>
      </c>
      <c r="M2176">
        <v>0.1343</v>
      </c>
      <c r="N2176">
        <v>10</v>
      </c>
      <c r="O2176">
        <v>70</v>
      </c>
      <c r="P2176">
        <v>80</v>
      </c>
      <c r="Q2176">
        <v>384</v>
      </c>
      <c r="R2176">
        <v>385</v>
      </c>
    </row>
    <row r="2177" spans="1:18" x14ac:dyDescent="0.25">
      <c r="A2177">
        <v>386</v>
      </c>
      <c r="B2177" s="1">
        <v>40560</v>
      </c>
      <c r="C2177">
        <v>1</v>
      </c>
      <c r="D2177">
        <v>0</v>
      </c>
      <c r="E2177">
        <v>1</v>
      </c>
      <c r="F2177">
        <v>13</v>
      </c>
      <c r="G2177" t="b">
        <v>1</v>
      </c>
      <c r="H2177">
        <v>1</v>
      </c>
      <c r="I2177">
        <v>2</v>
      </c>
      <c r="J2177">
        <v>0.18</v>
      </c>
      <c r="K2177">
        <v>0.19700000000000001</v>
      </c>
      <c r="L2177">
        <v>0.47</v>
      </c>
      <c r="M2177">
        <v>0.1343</v>
      </c>
      <c r="N2177">
        <v>13</v>
      </c>
      <c r="O2177">
        <v>80</v>
      </c>
      <c r="P2177">
        <v>93</v>
      </c>
      <c r="Q2177">
        <v>385</v>
      </c>
      <c r="R2177">
        <v>386</v>
      </c>
    </row>
    <row r="2178" spans="1:18" x14ac:dyDescent="0.25">
      <c r="A2178">
        <v>387</v>
      </c>
      <c r="B2178" s="1">
        <v>40560</v>
      </c>
      <c r="C2178">
        <v>1</v>
      </c>
      <c r="D2178">
        <v>0</v>
      </c>
      <c r="E2178">
        <v>1</v>
      </c>
      <c r="F2178">
        <v>14</v>
      </c>
      <c r="G2178" t="b">
        <v>1</v>
      </c>
      <c r="H2178">
        <v>1</v>
      </c>
      <c r="I2178">
        <v>2</v>
      </c>
      <c r="J2178">
        <v>0.18</v>
      </c>
      <c r="K2178">
        <v>0.21210000000000001</v>
      </c>
      <c r="L2178">
        <v>0.43</v>
      </c>
      <c r="M2178">
        <v>0.1045</v>
      </c>
      <c r="N2178">
        <v>12</v>
      </c>
      <c r="O2178">
        <v>74</v>
      </c>
      <c r="P2178">
        <v>86</v>
      </c>
      <c r="Q2178">
        <v>386</v>
      </c>
      <c r="R2178">
        <v>387</v>
      </c>
    </row>
    <row r="2179" spans="1:18" x14ac:dyDescent="0.25">
      <c r="A2179">
        <v>388</v>
      </c>
      <c r="B2179" s="1">
        <v>40560</v>
      </c>
      <c r="C2179">
        <v>1</v>
      </c>
      <c r="D2179">
        <v>0</v>
      </c>
      <c r="E2179">
        <v>1</v>
      </c>
      <c r="F2179">
        <v>15</v>
      </c>
      <c r="G2179" t="b">
        <v>1</v>
      </c>
      <c r="H2179">
        <v>1</v>
      </c>
      <c r="I2179">
        <v>2</v>
      </c>
      <c r="J2179">
        <v>0.2</v>
      </c>
      <c r="K2179">
        <v>0.21210000000000001</v>
      </c>
      <c r="L2179">
        <v>0.47</v>
      </c>
      <c r="M2179">
        <v>0.16420000000000001</v>
      </c>
      <c r="N2179">
        <v>21</v>
      </c>
      <c r="O2179">
        <v>72</v>
      </c>
      <c r="P2179">
        <v>93</v>
      </c>
      <c r="Q2179">
        <v>387</v>
      </c>
      <c r="R2179">
        <v>388</v>
      </c>
    </row>
    <row r="2180" spans="1:18" x14ac:dyDescent="0.25">
      <c r="A2180">
        <v>389</v>
      </c>
      <c r="B2180" s="1">
        <v>40560</v>
      </c>
      <c r="C2180">
        <v>1</v>
      </c>
      <c r="D2180">
        <v>0</v>
      </c>
      <c r="E2180">
        <v>1</v>
      </c>
      <c r="F2180">
        <v>16</v>
      </c>
      <c r="G2180" t="b">
        <v>1</v>
      </c>
      <c r="H2180">
        <v>1</v>
      </c>
      <c r="I2180">
        <v>2</v>
      </c>
      <c r="J2180">
        <v>0.2</v>
      </c>
      <c r="K2180">
        <v>0.21210000000000001</v>
      </c>
      <c r="L2180">
        <v>0.47</v>
      </c>
      <c r="M2180">
        <v>0.16420000000000001</v>
      </c>
      <c r="N2180">
        <v>6</v>
      </c>
      <c r="O2180">
        <v>76</v>
      </c>
      <c r="P2180">
        <v>82</v>
      </c>
      <c r="Q2180">
        <v>388</v>
      </c>
      <c r="R2180">
        <v>389</v>
      </c>
    </row>
    <row r="2181" spans="1:18" x14ac:dyDescent="0.25">
      <c r="A2181">
        <v>390</v>
      </c>
      <c r="B2181" s="1">
        <v>40560</v>
      </c>
      <c r="C2181">
        <v>1</v>
      </c>
      <c r="D2181">
        <v>0</v>
      </c>
      <c r="E2181">
        <v>1</v>
      </c>
      <c r="F2181">
        <v>17</v>
      </c>
      <c r="G2181" t="b">
        <v>1</v>
      </c>
      <c r="H2181">
        <v>1</v>
      </c>
      <c r="I2181">
        <v>1</v>
      </c>
      <c r="J2181">
        <v>0.2</v>
      </c>
      <c r="K2181">
        <v>0.19700000000000001</v>
      </c>
      <c r="L2181">
        <v>0.51</v>
      </c>
      <c r="M2181">
        <v>0.19400000000000001</v>
      </c>
      <c r="N2181">
        <v>4</v>
      </c>
      <c r="O2181">
        <v>67</v>
      </c>
      <c r="P2181">
        <v>71</v>
      </c>
      <c r="Q2181">
        <v>389</v>
      </c>
      <c r="R2181">
        <v>390</v>
      </c>
    </row>
    <row r="2182" spans="1:18" x14ac:dyDescent="0.25">
      <c r="A2182">
        <v>391</v>
      </c>
      <c r="B2182" s="1">
        <v>40560</v>
      </c>
      <c r="C2182">
        <v>1</v>
      </c>
      <c r="D2182">
        <v>0</v>
      </c>
      <c r="E2182">
        <v>1</v>
      </c>
      <c r="F2182">
        <v>18</v>
      </c>
      <c r="G2182" t="b">
        <v>1</v>
      </c>
      <c r="H2182">
        <v>1</v>
      </c>
      <c r="I2182">
        <v>2</v>
      </c>
      <c r="J2182">
        <v>0.18</v>
      </c>
      <c r="K2182">
        <v>0.16669999999999999</v>
      </c>
      <c r="L2182">
        <v>0.55000000000000004</v>
      </c>
      <c r="M2182">
        <v>0.25369999999999998</v>
      </c>
      <c r="N2182">
        <v>7</v>
      </c>
      <c r="O2182">
        <v>85</v>
      </c>
      <c r="P2182">
        <v>92</v>
      </c>
      <c r="Q2182">
        <v>390</v>
      </c>
      <c r="R2182">
        <v>391</v>
      </c>
    </row>
    <row r="2183" spans="1:18" x14ac:dyDescent="0.25">
      <c r="A2183">
        <v>392</v>
      </c>
      <c r="B2183" s="1">
        <v>40560</v>
      </c>
      <c r="C2183">
        <v>1</v>
      </c>
      <c r="D2183">
        <v>0</v>
      </c>
      <c r="E2183">
        <v>1</v>
      </c>
      <c r="F2183">
        <v>19</v>
      </c>
      <c r="G2183" t="b">
        <v>1</v>
      </c>
      <c r="H2183">
        <v>1</v>
      </c>
      <c r="I2183">
        <v>3</v>
      </c>
      <c r="J2183">
        <v>0.18</v>
      </c>
      <c r="K2183">
        <v>0.18179999999999999</v>
      </c>
      <c r="L2183">
        <v>0.59</v>
      </c>
      <c r="M2183">
        <v>0.19400000000000001</v>
      </c>
      <c r="N2183">
        <v>2</v>
      </c>
      <c r="O2183">
        <v>58</v>
      </c>
      <c r="P2183">
        <v>60</v>
      </c>
      <c r="Q2183">
        <v>391</v>
      </c>
      <c r="R2183">
        <v>392</v>
      </c>
    </row>
    <row r="2184" spans="1:18" x14ac:dyDescent="0.25">
      <c r="A2184">
        <v>393</v>
      </c>
      <c r="B2184" s="1">
        <v>40560</v>
      </c>
      <c r="C2184">
        <v>1</v>
      </c>
      <c r="D2184">
        <v>0</v>
      </c>
      <c r="E2184">
        <v>1</v>
      </c>
      <c r="F2184">
        <v>20</v>
      </c>
      <c r="G2184" t="b">
        <v>1</v>
      </c>
      <c r="H2184">
        <v>1</v>
      </c>
      <c r="I2184">
        <v>3</v>
      </c>
      <c r="J2184">
        <v>0.16</v>
      </c>
      <c r="K2184">
        <v>0.1515</v>
      </c>
      <c r="L2184">
        <v>0.8</v>
      </c>
      <c r="M2184">
        <v>0.19400000000000001</v>
      </c>
      <c r="N2184">
        <v>4</v>
      </c>
      <c r="O2184">
        <v>29</v>
      </c>
      <c r="P2184">
        <v>33</v>
      </c>
      <c r="Q2184">
        <v>392</v>
      </c>
      <c r="R2184">
        <v>393</v>
      </c>
    </row>
    <row r="2185" spans="1:18" x14ac:dyDescent="0.25">
      <c r="A2185">
        <v>394</v>
      </c>
      <c r="B2185" s="1">
        <v>40560</v>
      </c>
      <c r="C2185">
        <v>1</v>
      </c>
      <c r="D2185">
        <v>0</v>
      </c>
      <c r="E2185">
        <v>1</v>
      </c>
      <c r="F2185">
        <v>21</v>
      </c>
      <c r="G2185" t="b">
        <v>1</v>
      </c>
      <c r="H2185">
        <v>1</v>
      </c>
      <c r="I2185">
        <v>3</v>
      </c>
      <c r="J2185">
        <v>0.16</v>
      </c>
      <c r="K2185">
        <v>0.1515</v>
      </c>
      <c r="L2185">
        <v>0.8</v>
      </c>
      <c r="M2185">
        <v>0.19400000000000001</v>
      </c>
      <c r="N2185">
        <v>3</v>
      </c>
      <c r="O2185">
        <v>24</v>
      </c>
      <c r="P2185">
        <v>27</v>
      </c>
      <c r="Q2185">
        <v>393</v>
      </c>
      <c r="R2185">
        <v>394</v>
      </c>
    </row>
    <row r="2186" spans="1:18" x14ac:dyDescent="0.25">
      <c r="A2186">
        <v>395</v>
      </c>
      <c r="B2186" s="1">
        <v>40560</v>
      </c>
      <c r="C2186">
        <v>1</v>
      </c>
      <c r="D2186">
        <v>0</v>
      </c>
      <c r="E2186">
        <v>1</v>
      </c>
      <c r="F2186">
        <v>22</v>
      </c>
      <c r="G2186" t="b">
        <v>1</v>
      </c>
      <c r="H2186">
        <v>1</v>
      </c>
      <c r="I2186">
        <v>3</v>
      </c>
      <c r="J2186">
        <v>0.14000000000000001</v>
      </c>
      <c r="K2186">
        <v>0.1212</v>
      </c>
      <c r="L2186">
        <v>0.93</v>
      </c>
      <c r="M2186">
        <v>0.25369999999999998</v>
      </c>
      <c r="N2186">
        <v>0</v>
      </c>
      <c r="O2186">
        <v>13</v>
      </c>
      <c r="P2186">
        <v>13</v>
      </c>
      <c r="Q2186">
        <v>394</v>
      </c>
      <c r="R2186">
        <v>395</v>
      </c>
    </row>
    <row r="2187" spans="1:18" x14ac:dyDescent="0.25">
      <c r="A2187">
        <v>396</v>
      </c>
      <c r="B2187" s="1">
        <v>40560</v>
      </c>
      <c r="C2187">
        <v>1</v>
      </c>
      <c r="D2187">
        <v>0</v>
      </c>
      <c r="E2187">
        <v>1</v>
      </c>
      <c r="F2187">
        <v>23</v>
      </c>
      <c r="G2187" t="b">
        <v>1</v>
      </c>
      <c r="H2187">
        <v>1</v>
      </c>
      <c r="I2187">
        <v>3</v>
      </c>
      <c r="J2187">
        <v>0.16</v>
      </c>
      <c r="K2187">
        <v>0.13639999999999999</v>
      </c>
      <c r="L2187">
        <v>0.86</v>
      </c>
      <c r="M2187">
        <v>0.28360000000000002</v>
      </c>
      <c r="N2187">
        <v>1</v>
      </c>
      <c r="O2187">
        <v>3</v>
      </c>
      <c r="P2187">
        <v>4</v>
      </c>
      <c r="Q2187">
        <v>395</v>
      </c>
      <c r="R2187">
        <v>396</v>
      </c>
    </row>
    <row r="2188" spans="1:18" x14ac:dyDescent="0.25">
      <c r="A2188">
        <v>397</v>
      </c>
      <c r="B2188" s="1">
        <v>40561</v>
      </c>
      <c r="C2188">
        <v>1</v>
      </c>
      <c r="D2188">
        <v>0</v>
      </c>
      <c r="E2188">
        <v>1</v>
      </c>
      <c r="F2188">
        <v>12</v>
      </c>
      <c r="G2188" t="b">
        <v>0</v>
      </c>
      <c r="H2188">
        <v>2</v>
      </c>
      <c r="I2188">
        <v>2</v>
      </c>
      <c r="J2188">
        <v>0.2</v>
      </c>
      <c r="K2188">
        <v>0.18179999999999999</v>
      </c>
      <c r="L2188">
        <v>0.86</v>
      </c>
      <c r="M2188">
        <v>0.32840000000000003</v>
      </c>
      <c r="N2188">
        <v>0</v>
      </c>
      <c r="O2188">
        <v>3</v>
      </c>
      <c r="P2188">
        <v>3</v>
      </c>
      <c r="Q2188">
        <v>396</v>
      </c>
      <c r="R2188">
        <v>397</v>
      </c>
    </row>
    <row r="2189" spans="1:18" x14ac:dyDescent="0.25">
      <c r="A2189">
        <v>398</v>
      </c>
      <c r="B2189" s="1">
        <v>40561</v>
      </c>
      <c r="C2189">
        <v>1</v>
      </c>
      <c r="D2189">
        <v>0</v>
      </c>
      <c r="E2189">
        <v>1</v>
      </c>
      <c r="F2189">
        <v>13</v>
      </c>
      <c r="G2189" t="b">
        <v>0</v>
      </c>
      <c r="H2189">
        <v>2</v>
      </c>
      <c r="I2189">
        <v>2</v>
      </c>
      <c r="J2189">
        <v>0.2</v>
      </c>
      <c r="K2189">
        <v>0.19700000000000001</v>
      </c>
      <c r="L2189">
        <v>0.86</v>
      </c>
      <c r="M2189">
        <v>0.22389999999999999</v>
      </c>
      <c r="N2189">
        <v>0</v>
      </c>
      <c r="O2189">
        <v>22</v>
      </c>
      <c r="P2189">
        <v>22</v>
      </c>
      <c r="Q2189">
        <v>397</v>
      </c>
      <c r="R2189">
        <v>398</v>
      </c>
    </row>
    <row r="2190" spans="1:18" x14ac:dyDescent="0.25">
      <c r="A2190">
        <v>399</v>
      </c>
      <c r="B2190" s="1">
        <v>40561</v>
      </c>
      <c r="C2190">
        <v>1</v>
      </c>
      <c r="D2190">
        <v>0</v>
      </c>
      <c r="E2190">
        <v>1</v>
      </c>
      <c r="F2190">
        <v>14</v>
      </c>
      <c r="G2190" t="b">
        <v>0</v>
      </c>
      <c r="H2190">
        <v>2</v>
      </c>
      <c r="I2190">
        <v>2</v>
      </c>
      <c r="J2190">
        <v>0.22</v>
      </c>
      <c r="K2190">
        <v>0.2273</v>
      </c>
      <c r="L2190">
        <v>0.8</v>
      </c>
      <c r="M2190">
        <v>0.16420000000000001</v>
      </c>
      <c r="N2190">
        <v>2</v>
      </c>
      <c r="O2190">
        <v>26</v>
      </c>
      <c r="P2190">
        <v>28</v>
      </c>
      <c r="Q2190">
        <v>398</v>
      </c>
      <c r="R2190">
        <v>399</v>
      </c>
    </row>
    <row r="2191" spans="1:18" x14ac:dyDescent="0.25">
      <c r="A2191">
        <v>400</v>
      </c>
      <c r="B2191" s="1">
        <v>40561</v>
      </c>
      <c r="C2191">
        <v>1</v>
      </c>
      <c r="D2191">
        <v>0</v>
      </c>
      <c r="E2191">
        <v>1</v>
      </c>
      <c r="F2191">
        <v>15</v>
      </c>
      <c r="G2191" t="b">
        <v>0</v>
      </c>
      <c r="H2191">
        <v>2</v>
      </c>
      <c r="I2191">
        <v>2</v>
      </c>
      <c r="J2191">
        <v>0.22</v>
      </c>
      <c r="K2191">
        <v>0.2273</v>
      </c>
      <c r="L2191">
        <v>0.87</v>
      </c>
      <c r="M2191">
        <v>0.16420000000000001</v>
      </c>
      <c r="N2191">
        <v>3</v>
      </c>
      <c r="O2191">
        <v>32</v>
      </c>
      <c r="P2191">
        <v>35</v>
      </c>
      <c r="Q2191">
        <v>399</v>
      </c>
      <c r="R2191">
        <v>400</v>
      </c>
    </row>
    <row r="2192" spans="1:18" x14ac:dyDescent="0.25">
      <c r="A2192">
        <v>401</v>
      </c>
      <c r="B2192" s="1">
        <v>40561</v>
      </c>
      <c r="C2192">
        <v>1</v>
      </c>
      <c r="D2192">
        <v>0</v>
      </c>
      <c r="E2192">
        <v>1</v>
      </c>
      <c r="F2192">
        <v>16</v>
      </c>
      <c r="G2192" t="b">
        <v>0</v>
      </c>
      <c r="H2192">
        <v>2</v>
      </c>
      <c r="I2192">
        <v>2</v>
      </c>
      <c r="J2192">
        <v>0.22</v>
      </c>
      <c r="K2192">
        <v>0.2273</v>
      </c>
      <c r="L2192">
        <v>0.87</v>
      </c>
      <c r="M2192">
        <v>0.19400000000000001</v>
      </c>
      <c r="N2192">
        <v>0</v>
      </c>
      <c r="O2192">
        <v>61</v>
      </c>
      <c r="P2192">
        <v>61</v>
      </c>
      <c r="Q2192">
        <v>400</v>
      </c>
      <c r="R2192">
        <v>401</v>
      </c>
    </row>
    <row r="2193" spans="1:18" x14ac:dyDescent="0.25">
      <c r="A2193">
        <v>402</v>
      </c>
      <c r="B2193" s="1">
        <v>40561</v>
      </c>
      <c r="C2193">
        <v>1</v>
      </c>
      <c r="D2193">
        <v>0</v>
      </c>
      <c r="E2193">
        <v>1</v>
      </c>
      <c r="F2193">
        <v>17</v>
      </c>
      <c r="G2193" t="b">
        <v>0</v>
      </c>
      <c r="H2193">
        <v>2</v>
      </c>
      <c r="I2193">
        <v>2</v>
      </c>
      <c r="J2193">
        <v>0.22</v>
      </c>
      <c r="K2193">
        <v>0.2273</v>
      </c>
      <c r="L2193">
        <v>0.82</v>
      </c>
      <c r="M2193">
        <v>0.19400000000000001</v>
      </c>
      <c r="N2193">
        <v>1</v>
      </c>
      <c r="O2193">
        <v>124</v>
      </c>
      <c r="P2193">
        <v>125</v>
      </c>
      <c r="Q2193">
        <v>401</v>
      </c>
      <c r="R2193">
        <v>402</v>
      </c>
    </row>
    <row r="2194" spans="1:18" x14ac:dyDescent="0.25">
      <c r="A2194">
        <v>403</v>
      </c>
      <c r="B2194" s="1">
        <v>40561</v>
      </c>
      <c r="C2194">
        <v>1</v>
      </c>
      <c r="D2194">
        <v>0</v>
      </c>
      <c r="E2194">
        <v>1</v>
      </c>
      <c r="F2194">
        <v>18</v>
      </c>
      <c r="G2194" t="b">
        <v>0</v>
      </c>
      <c r="H2194">
        <v>2</v>
      </c>
      <c r="I2194">
        <v>2</v>
      </c>
      <c r="J2194">
        <v>0.22</v>
      </c>
      <c r="K2194">
        <v>0.2273</v>
      </c>
      <c r="L2194">
        <v>0.8</v>
      </c>
      <c r="M2194">
        <v>0.16420000000000001</v>
      </c>
      <c r="N2194">
        <v>1</v>
      </c>
      <c r="O2194">
        <v>132</v>
      </c>
      <c r="P2194">
        <v>133</v>
      </c>
      <c r="Q2194">
        <v>402</v>
      </c>
      <c r="R2194">
        <v>403</v>
      </c>
    </row>
    <row r="2195" spans="1:18" x14ac:dyDescent="0.25">
      <c r="A2195">
        <v>404</v>
      </c>
      <c r="B2195" s="1">
        <v>40561</v>
      </c>
      <c r="C2195">
        <v>1</v>
      </c>
      <c r="D2195">
        <v>0</v>
      </c>
      <c r="E2195">
        <v>1</v>
      </c>
      <c r="F2195">
        <v>19</v>
      </c>
      <c r="G2195" t="b">
        <v>0</v>
      </c>
      <c r="H2195">
        <v>2</v>
      </c>
      <c r="I2195">
        <v>2</v>
      </c>
      <c r="J2195">
        <v>0.22</v>
      </c>
      <c r="K2195">
        <v>0.2273</v>
      </c>
      <c r="L2195">
        <v>0.8</v>
      </c>
      <c r="M2195">
        <v>0.1343</v>
      </c>
      <c r="N2195">
        <v>1</v>
      </c>
      <c r="O2195">
        <v>98</v>
      </c>
      <c r="P2195">
        <v>99</v>
      </c>
      <c r="Q2195">
        <v>403</v>
      </c>
      <c r="R2195">
        <v>404</v>
      </c>
    </row>
    <row r="2196" spans="1:18" x14ac:dyDescent="0.25">
      <c r="A2196">
        <v>405</v>
      </c>
      <c r="B2196" s="1">
        <v>40561</v>
      </c>
      <c r="C2196">
        <v>1</v>
      </c>
      <c r="D2196">
        <v>0</v>
      </c>
      <c r="E2196">
        <v>1</v>
      </c>
      <c r="F2196">
        <v>20</v>
      </c>
      <c r="G2196" t="b">
        <v>0</v>
      </c>
      <c r="H2196">
        <v>2</v>
      </c>
      <c r="I2196">
        <v>2</v>
      </c>
      <c r="J2196">
        <v>0.22</v>
      </c>
      <c r="K2196">
        <v>0.2727</v>
      </c>
      <c r="L2196">
        <v>0.87</v>
      </c>
      <c r="M2196">
        <v>0</v>
      </c>
      <c r="N2196">
        <v>0</v>
      </c>
      <c r="O2196">
        <v>83</v>
      </c>
      <c r="P2196">
        <v>83</v>
      </c>
      <c r="Q2196">
        <v>404</v>
      </c>
      <c r="R2196">
        <v>405</v>
      </c>
    </row>
    <row r="2197" spans="1:18" x14ac:dyDescent="0.25">
      <c r="A2197">
        <v>406</v>
      </c>
      <c r="B2197" s="1">
        <v>40561</v>
      </c>
      <c r="C2197">
        <v>1</v>
      </c>
      <c r="D2197">
        <v>0</v>
      </c>
      <c r="E2197">
        <v>1</v>
      </c>
      <c r="F2197">
        <v>21</v>
      </c>
      <c r="G2197" t="b">
        <v>0</v>
      </c>
      <c r="H2197">
        <v>2</v>
      </c>
      <c r="I2197">
        <v>2</v>
      </c>
      <c r="J2197">
        <v>0.22</v>
      </c>
      <c r="K2197">
        <v>0.2424</v>
      </c>
      <c r="L2197">
        <v>0.93</v>
      </c>
      <c r="M2197">
        <v>0.1045</v>
      </c>
      <c r="N2197">
        <v>0</v>
      </c>
      <c r="O2197">
        <v>41</v>
      </c>
      <c r="P2197">
        <v>41</v>
      </c>
      <c r="Q2197">
        <v>405</v>
      </c>
      <c r="R2197">
        <v>406</v>
      </c>
    </row>
    <row r="2198" spans="1:18" x14ac:dyDescent="0.25">
      <c r="A2198">
        <v>407</v>
      </c>
      <c r="B2198" s="1">
        <v>40561</v>
      </c>
      <c r="C2198">
        <v>1</v>
      </c>
      <c r="D2198">
        <v>0</v>
      </c>
      <c r="E2198">
        <v>1</v>
      </c>
      <c r="F2198">
        <v>22</v>
      </c>
      <c r="G2198" t="b">
        <v>0</v>
      </c>
      <c r="H2198">
        <v>2</v>
      </c>
      <c r="I2198">
        <v>2</v>
      </c>
      <c r="J2198">
        <v>0.22</v>
      </c>
      <c r="K2198">
        <v>0.2576</v>
      </c>
      <c r="L2198">
        <v>0.93</v>
      </c>
      <c r="M2198">
        <v>8.9599999999999999E-2</v>
      </c>
      <c r="N2198">
        <v>0</v>
      </c>
      <c r="O2198">
        <v>33</v>
      </c>
      <c r="P2198">
        <v>33</v>
      </c>
      <c r="Q2198">
        <v>406</v>
      </c>
      <c r="R2198">
        <v>407</v>
      </c>
    </row>
    <row r="2199" spans="1:18" x14ac:dyDescent="0.25">
      <c r="A2199">
        <v>408</v>
      </c>
      <c r="B2199" s="1">
        <v>40561</v>
      </c>
      <c r="C2199">
        <v>1</v>
      </c>
      <c r="D2199">
        <v>0</v>
      </c>
      <c r="E2199">
        <v>1</v>
      </c>
      <c r="F2199">
        <v>23</v>
      </c>
      <c r="G2199" t="b">
        <v>0</v>
      </c>
      <c r="H2199">
        <v>2</v>
      </c>
      <c r="I2199">
        <v>2</v>
      </c>
      <c r="J2199">
        <v>0.22</v>
      </c>
      <c r="K2199">
        <v>0.2727</v>
      </c>
      <c r="L2199">
        <v>0.93</v>
      </c>
      <c r="M2199">
        <v>0</v>
      </c>
      <c r="N2199">
        <v>1</v>
      </c>
      <c r="O2199">
        <v>19</v>
      </c>
      <c r="P2199">
        <v>20</v>
      </c>
      <c r="Q2199">
        <v>407</v>
      </c>
      <c r="R2199">
        <v>408</v>
      </c>
    </row>
    <row r="2200" spans="1:18" x14ac:dyDescent="0.25">
      <c r="A2200">
        <v>409</v>
      </c>
      <c r="B2200" s="1">
        <v>40562</v>
      </c>
      <c r="C2200">
        <v>1</v>
      </c>
      <c r="D2200">
        <v>0</v>
      </c>
      <c r="E2200">
        <v>1</v>
      </c>
      <c r="F2200">
        <v>0</v>
      </c>
      <c r="G2200" t="b">
        <v>0</v>
      </c>
      <c r="H2200">
        <v>3</v>
      </c>
      <c r="I2200">
        <v>2</v>
      </c>
      <c r="J2200">
        <v>0.22</v>
      </c>
      <c r="K2200">
        <v>0.2727</v>
      </c>
      <c r="L2200">
        <v>0.93</v>
      </c>
      <c r="M2200">
        <v>0</v>
      </c>
      <c r="N2200">
        <v>0</v>
      </c>
      <c r="O2200">
        <v>3</v>
      </c>
      <c r="P2200">
        <v>3</v>
      </c>
      <c r="Q2200">
        <v>408</v>
      </c>
      <c r="R2200">
        <v>409</v>
      </c>
    </row>
    <row r="2201" spans="1:18" x14ac:dyDescent="0.25">
      <c r="A2201">
        <v>410</v>
      </c>
      <c r="B2201" s="1">
        <v>40562</v>
      </c>
      <c r="C2201">
        <v>1</v>
      </c>
      <c r="D2201">
        <v>0</v>
      </c>
      <c r="E2201">
        <v>1</v>
      </c>
      <c r="F2201">
        <v>1</v>
      </c>
      <c r="G2201" t="b">
        <v>0</v>
      </c>
      <c r="H2201">
        <v>3</v>
      </c>
      <c r="I2201">
        <v>3</v>
      </c>
      <c r="J2201">
        <v>0.22</v>
      </c>
      <c r="K2201">
        <v>0.2273</v>
      </c>
      <c r="L2201">
        <v>0.93</v>
      </c>
      <c r="M2201">
        <v>0.1343</v>
      </c>
      <c r="N2201">
        <v>1</v>
      </c>
      <c r="O2201">
        <v>6</v>
      </c>
      <c r="P2201">
        <v>7</v>
      </c>
      <c r="Q2201">
        <v>409</v>
      </c>
      <c r="R2201">
        <v>410</v>
      </c>
    </row>
    <row r="2202" spans="1:18" x14ac:dyDescent="0.25">
      <c r="A2202">
        <v>411</v>
      </c>
      <c r="B2202" s="1">
        <v>40562</v>
      </c>
      <c r="C2202">
        <v>1</v>
      </c>
      <c r="D2202">
        <v>0</v>
      </c>
      <c r="E2202">
        <v>1</v>
      </c>
      <c r="F2202">
        <v>2</v>
      </c>
      <c r="G2202" t="b">
        <v>0</v>
      </c>
      <c r="H2202">
        <v>3</v>
      </c>
      <c r="I2202">
        <v>3</v>
      </c>
      <c r="J2202">
        <v>0.22</v>
      </c>
      <c r="K2202">
        <v>0.2273</v>
      </c>
      <c r="L2202">
        <v>0.93</v>
      </c>
      <c r="M2202">
        <v>0.1343</v>
      </c>
      <c r="N2202">
        <v>0</v>
      </c>
      <c r="O2202">
        <v>3</v>
      </c>
      <c r="P2202">
        <v>3</v>
      </c>
      <c r="Q2202">
        <v>410</v>
      </c>
      <c r="R2202">
        <v>411</v>
      </c>
    </row>
    <row r="2203" spans="1:18" x14ac:dyDescent="0.25">
      <c r="A2203">
        <v>412</v>
      </c>
      <c r="B2203" s="1">
        <v>40562</v>
      </c>
      <c r="C2203">
        <v>1</v>
      </c>
      <c r="D2203">
        <v>0</v>
      </c>
      <c r="E2203">
        <v>1</v>
      </c>
      <c r="F2203">
        <v>4</v>
      </c>
      <c r="G2203" t="b">
        <v>0</v>
      </c>
      <c r="H2203">
        <v>3</v>
      </c>
      <c r="I2203">
        <v>3</v>
      </c>
      <c r="J2203">
        <v>0.22</v>
      </c>
      <c r="K2203">
        <v>0.2273</v>
      </c>
      <c r="L2203">
        <v>0.93</v>
      </c>
      <c r="M2203">
        <v>0.1343</v>
      </c>
      <c r="N2203">
        <v>1</v>
      </c>
      <c r="O2203">
        <v>1</v>
      </c>
      <c r="P2203">
        <v>2</v>
      </c>
      <c r="Q2203">
        <v>411</v>
      </c>
      <c r="R2203">
        <v>412</v>
      </c>
    </row>
    <row r="2204" spans="1:18" x14ac:dyDescent="0.25">
      <c r="A2204">
        <v>413</v>
      </c>
      <c r="B2204" s="1">
        <v>40562</v>
      </c>
      <c r="C2204">
        <v>1</v>
      </c>
      <c r="D2204">
        <v>0</v>
      </c>
      <c r="E2204">
        <v>1</v>
      </c>
      <c r="F2204">
        <v>5</v>
      </c>
      <c r="G2204" t="b">
        <v>0</v>
      </c>
      <c r="H2204">
        <v>3</v>
      </c>
      <c r="I2204">
        <v>2</v>
      </c>
      <c r="J2204">
        <v>0.22</v>
      </c>
      <c r="K2204">
        <v>0.2576</v>
      </c>
      <c r="L2204">
        <v>0.93</v>
      </c>
      <c r="M2204">
        <v>8.9599999999999999E-2</v>
      </c>
      <c r="N2204">
        <v>0</v>
      </c>
      <c r="O2204">
        <v>7</v>
      </c>
      <c r="P2204">
        <v>7</v>
      </c>
      <c r="Q2204">
        <v>412</v>
      </c>
      <c r="R2204">
        <v>413</v>
      </c>
    </row>
    <row r="2205" spans="1:18" x14ac:dyDescent="0.25">
      <c r="A2205">
        <v>414</v>
      </c>
      <c r="B2205" s="1">
        <v>40562</v>
      </c>
      <c r="C2205">
        <v>1</v>
      </c>
      <c r="D2205">
        <v>0</v>
      </c>
      <c r="E2205">
        <v>1</v>
      </c>
      <c r="F2205">
        <v>6</v>
      </c>
      <c r="G2205" t="b">
        <v>0</v>
      </c>
      <c r="H2205">
        <v>3</v>
      </c>
      <c r="I2205">
        <v>2</v>
      </c>
      <c r="J2205">
        <v>0.22</v>
      </c>
      <c r="K2205">
        <v>0.2576</v>
      </c>
      <c r="L2205">
        <v>0.93</v>
      </c>
      <c r="M2205">
        <v>8.9599999999999999E-2</v>
      </c>
      <c r="N2205">
        <v>0</v>
      </c>
      <c r="O2205">
        <v>32</v>
      </c>
      <c r="P2205">
        <v>32</v>
      </c>
      <c r="Q2205">
        <v>413</v>
      </c>
      <c r="R2205">
        <v>414</v>
      </c>
    </row>
    <row r="2206" spans="1:18" x14ac:dyDescent="0.25">
      <c r="A2206">
        <v>415</v>
      </c>
      <c r="B2206" s="1">
        <v>40562</v>
      </c>
      <c r="C2206">
        <v>1</v>
      </c>
      <c r="D2206">
        <v>0</v>
      </c>
      <c r="E2206">
        <v>1</v>
      </c>
      <c r="F2206">
        <v>7</v>
      </c>
      <c r="G2206" t="b">
        <v>0</v>
      </c>
      <c r="H2206">
        <v>3</v>
      </c>
      <c r="I2206">
        <v>2</v>
      </c>
      <c r="J2206">
        <v>0.24</v>
      </c>
      <c r="K2206">
        <v>0.2576</v>
      </c>
      <c r="L2206">
        <v>0.92</v>
      </c>
      <c r="M2206">
        <v>0.1045</v>
      </c>
      <c r="N2206">
        <v>1</v>
      </c>
      <c r="O2206">
        <v>89</v>
      </c>
      <c r="P2206">
        <v>90</v>
      </c>
      <c r="Q2206">
        <v>414</v>
      </c>
      <c r="R2206">
        <v>415</v>
      </c>
    </row>
    <row r="2207" spans="1:18" x14ac:dyDescent="0.25">
      <c r="A2207">
        <v>416</v>
      </c>
      <c r="B2207" s="1">
        <v>40562</v>
      </c>
      <c r="C2207">
        <v>1</v>
      </c>
      <c r="D2207">
        <v>0</v>
      </c>
      <c r="E2207">
        <v>1</v>
      </c>
      <c r="F2207">
        <v>8</v>
      </c>
      <c r="G2207" t="b">
        <v>0</v>
      </c>
      <c r="H2207">
        <v>3</v>
      </c>
      <c r="I2207">
        <v>2</v>
      </c>
      <c r="J2207">
        <v>0.24</v>
      </c>
      <c r="K2207">
        <v>0.2576</v>
      </c>
      <c r="L2207">
        <v>0.93</v>
      </c>
      <c r="M2207">
        <v>0.1045</v>
      </c>
      <c r="N2207">
        <v>1</v>
      </c>
      <c r="O2207">
        <v>196</v>
      </c>
      <c r="P2207">
        <v>197</v>
      </c>
      <c r="Q2207">
        <v>415</v>
      </c>
      <c r="R2207">
        <v>416</v>
      </c>
    </row>
    <row r="2208" spans="1:18" x14ac:dyDescent="0.25">
      <c r="A2208">
        <v>417</v>
      </c>
      <c r="B2208" s="1">
        <v>40562</v>
      </c>
      <c r="C2208">
        <v>1</v>
      </c>
      <c r="D2208">
        <v>0</v>
      </c>
      <c r="E2208">
        <v>1</v>
      </c>
      <c r="F2208">
        <v>9</v>
      </c>
      <c r="G2208" t="b">
        <v>0</v>
      </c>
      <c r="H2208">
        <v>3</v>
      </c>
      <c r="I2208">
        <v>2</v>
      </c>
      <c r="J2208">
        <v>0.24</v>
      </c>
      <c r="K2208">
        <v>0.2576</v>
      </c>
      <c r="L2208">
        <v>0.93</v>
      </c>
      <c r="M2208">
        <v>0.1045</v>
      </c>
      <c r="N2208">
        <v>2</v>
      </c>
      <c r="O2208">
        <v>107</v>
      </c>
      <c r="P2208">
        <v>109</v>
      </c>
      <c r="Q2208">
        <v>416</v>
      </c>
      <c r="R2208">
        <v>417</v>
      </c>
    </row>
    <row r="2209" spans="1:18" x14ac:dyDescent="0.25">
      <c r="A2209">
        <v>418</v>
      </c>
      <c r="B2209" s="1">
        <v>40562</v>
      </c>
      <c r="C2209">
        <v>1</v>
      </c>
      <c r="D2209">
        <v>0</v>
      </c>
      <c r="E2209">
        <v>1</v>
      </c>
      <c r="F2209">
        <v>10</v>
      </c>
      <c r="G2209" t="b">
        <v>0</v>
      </c>
      <c r="H2209">
        <v>3</v>
      </c>
      <c r="I2209">
        <v>2</v>
      </c>
      <c r="J2209">
        <v>0.26</v>
      </c>
      <c r="K2209">
        <v>0.2727</v>
      </c>
      <c r="L2209">
        <v>0.93</v>
      </c>
      <c r="M2209">
        <v>0.1343</v>
      </c>
      <c r="N2209">
        <v>1</v>
      </c>
      <c r="O2209">
        <v>46</v>
      </c>
      <c r="P2209">
        <v>47</v>
      </c>
      <c r="Q2209">
        <v>417</v>
      </c>
      <c r="R2209">
        <v>418</v>
      </c>
    </row>
    <row r="2210" spans="1:18" x14ac:dyDescent="0.25">
      <c r="A2210">
        <v>419</v>
      </c>
      <c r="B2210" s="1">
        <v>40562</v>
      </c>
      <c r="C2210">
        <v>1</v>
      </c>
      <c r="D2210">
        <v>0</v>
      </c>
      <c r="E2210">
        <v>1</v>
      </c>
      <c r="F2210">
        <v>11</v>
      </c>
      <c r="G2210" t="b">
        <v>0</v>
      </c>
      <c r="H2210">
        <v>3</v>
      </c>
      <c r="I2210">
        <v>2</v>
      </c>
      <c r="J2210">
        <v>0.28000000000000003</v>
      </c>
      <c r="K2210">
        <v>0.30299999999999999</v>
      </c>
      <c r="L2210">
        <v>0.87</v>
      </c>
      <c r="M2210">
        <v>8.9599999999999999E-2</v>
      </c>
      <c r="N2210">
        <v>5</v>
      </c>
      <c r="O2210">
        <v>47</v>
      </c>
      <c r="P2210">
        <v>52</v>
      </c>
      <c r="Q2210">
        <v>418</v>
      </c>
      <c r="R2210">
        <v>419</v>
      </c>
    </row>
    <row r="2211" spans="1:18" x14ac:dyDescent="0.25">
      <c r="A2211">
        <v>420</v>
      </c>
      <c r="B2211" s="1">
        <v>40562</v>
      </c>
      <c r="C2211">
        <v>1</v>
      </c>
      <c r="D2211">
        <v>0</v>
      </c>
      <c r="E2211">
        <v>1</v>
      </c>
      <c r="F2211">
        <v>12</v>
      </c>
      <c r="G2211" t="b">
        <v>0</v>
      </c>
      <c r="H2211">
        <v>3</v>
      </c>
      <c r="I2211">
        <v>2</v>
      </c>
      <c r="J2211">
        <v>0.3</v>
      </c>
      <c r="K2211">
        <v>0.31819999999999998</v>
      </c>
      <c r="L2211">
        <v>0.81</v>
      </c>
      <c r="M2211">
        <v>8.9599999999999999E-2</v>
      </c>
      <c r="N2211">
        <v>5</v>
      </c>
      <c r="O2211">
        <v>65</v>
      </c>
      <c r="P2211">
        <v>70</v>
      </c>
      <c r="Q2211">
        <v>419</v>
      </c>
      <c r="R2211">
        <v>420</v>
      </c>
    </row>
    <row r="2212" spans="1:18" x14ac:dyDescent="0.25">
      <c r="A2212">
        <v>421</v>
      </c>
      <c r="B2212" s="1">
        <v>40562</v>
      </c>
      <c r="C2212">
        <v>1</v>
      </c>
      <c r="D2212">
        <v>0</v>
      </c>
      <c r="E2212">
        <v>1</v>
      </c>
      <c r="F2212">
        <v>13</v>
      </c>
      <c r="G2212" t="b">
        <v>0</v>
      </c>
      <c r="H2212">
        <v>3</v>
      </c>
      <c r="I2212">
        <v>1</v>
      </c>
      <c r="J2212">
        <v>0.4</v>
      </c>
      <c r="K2212">
        <v>0.40910000000000002</v>
      </c>
      <c r="L2212">
        <v>0.62</v>
      </c>
      <c r="M2212">
        <v>0.28360000000000002</v>
      </c>
      <c r="N2212">
        <v>11</v>
      </c>
      <c r="O2212">
        <v>67</v>
      </c>
      <c r="P2212">
        <v>78</v>
      </c>
      <c r="Q2212">
        <v>420</v>
      </c>
      <c r="R2212">
        <v>421</v>
      </c>
    </row>
    <row r="2213" spans="1:18" x14ac:dyDescent="0.25">
      <c r="A2213">
        <v>422</v>
      </c>
      <c r="B2213" s="1">
        <v>40562</v>
      </c>
      <c r="C2213">
        <v>1</v>
      </c>
      <c r="D2213">
        <v>0</v>
      </c>
      <c r="E2213">
        <v>1</v>
      </c>
      <c r="F2213">
        <v>14</v>
      </c>
      <c r="G2213" t="b">
        <v>0</v>
      </c>
      <c r="H2213">
        <v>3</v>
      </c>
      <c r="I2213">
        <v>1</v>
      </c>
      <c r="J2213">
        <v>0.4</v>
      </c>
      <c r="K2213">
        <v>0.40910000000000002</v>
      </c>
      <c r="L2213">
        <v>0.57999999999999996</v>
      </c>
      <c r="M2213">
        <v>0.25369999999999998</v>
      </c>
      <c r="N2213">
        <v>7</v>
      </c>
      <c r="O2213">
        <v>68</v>
      </c>
      <c r="P2213">
        <v>75</v>
      </c>
      <c r="Q2213">
        <v>421</v>
      </c>
      <c r="R2213">
        <v>422</v>
      </c>
    </row>
    <row r="2214" spans="1:18" x14ac:dyDescent="0.25">
      <c r="A2214">
        <v>423</v>
      </c>
      <c r="B2214" s="1">
        <v>40562</v>
      </c>
      <c r="C2214">
        <v>1</v>
      </c>
      <c r="D2214">
        <v>0</v>
      </c>
      <c r="E2214">
        <v>1</v>
      </c>
      <c r="F2214">
        <v>15</v>
      </c>
      <c r="G2214" t="b">
        <v>0</v>
      </c>
      <c r="H2214">
        <v>3</v>
      </c>
      <c r="I2214">
        <v>1</v>
      </c>
      <c r="J2214">
        <v>0.4</v>
      </c>
      <c r="K2214">
        <v>0.40910000000000002</v>
      </c>
      <c r="L2214">
        <v>0.54</v>
      </c>
      <c r="M2214">
        <v>0.28360000000000002</v>
      </c>
      <c r="N2214">
        <v>4</v>
      </c>
      <c r="O2214">
        <v>78</v>
      </c>
      <c r="P2214">
        <v>82</v>
      </c>
      <c r="Q2214">
        <v>422</v>
      </c>
      <c r="R2214">
        <v>423</v>
      </c>
    </row>
    <row r="2215" spans="1:18" x14ac:dyDescent="0.25">
      <c r="A2215">
        <v>424</v>
      </c>
      <c r="B2215" s="1">
        <v>40562</v>
      </c>
      <c r="C2215">
        <v>1</v>
      </c>
      <c r="D2215">
        <v>0</v>
      </c>
      <c r="E2215">
        <v>1</v>
      </c>
      <c r="F2215">
        <v>16</v>
      </c>
      <c r="G2215" t="b">
        <v>0</v>
      </c>
      <c r="H2215">
        <v>3</v>
      </c>
      <c r="I2215">
        <v>1</v>
      </c>
      <c r="J2215">
        <v>0.38</v>
      </c>
      <c r="K2215">
        <v>0.39389999999999997</v>
      </c>
      <c r="L2215">
        <v>0.57999999999999996</v>
      </c>
      <c r="M2215">
        <v>0.3881</v>
      </c>
      <c r="N2215">
        <v>10</v>
      </c>
      <c r="O2215">
        <v>94</v>
      </c>
      <c r="P2215">
        <v>104</v>
      </c>
      <c r="Q2215">
        <v>423</v>
      </c>
      <c r="R2215">
        <v>424</v>
      </c>
    </row>
    <row r="2216" spans="1:18" x14ac:dyDescent="0.25">
      <c r="A2216">
        <v>425</v>
      </c>
      <c r="B2216" s="1">
        <v>40562</v>
      </c>
      <c r="C2216">
        <v>1</v>
      </c>
      <c r="D2216">
        <v>0</v>
      </c>
      <c r="E2216">
        <v>1</v>
      </c>
      <c r="F2216">
        <v>17</v>
      </c>
      <c r="G2216" t="b">
        <v>0</v>
      </c>
      <c r="H2216">
        <v>3</v>
      </c>
      <c r="I2216">
        <v>1</v>
      </c>
      <c r="J2216">
        <v>0.36</v>
      </c>
      <c r="K2216">
        <v>0.33329999999999999</v>
      </c>
      <c r="L2216">
        <v>0.56999999999999995</v>
      </c>
      <c r="M2216">
        <v>0.32840000000000003</v>
      </c>
      <c r="N2216">
        <v>7</v>
      </c>
      <c r="O2216">
        <v>190</v>
      </c>
      <c r="P2216">
        <v>197</v>
      </c>
      <c r="Q2216">
        <v>424</v>
      </c>
      <c r="R2216">
        <v>425</v>
      </c>
    </row>
    <row r="2217" spans="1:18" x14ac:dyDescent="0.25">
      <c r="A2217">
        <v>426</v>
      </c>
      <c r="B2217" s="1">
        <v>40562</v>
      </c>
      <c r="C2217">
        <v>1</v>
      </c>
      <c r="D2217">
        <v>0</v>
      </c>
      <c r="E2217">
        <v>1</v>
      </c>
      <c r="F2217">
        <v>18</v>
      </c>
      <c r="G2217" t="b">
        <v>0</v>
      </c>
      <c r="H2217">
        <v>3</v>
      </c>
      <c r="I2217">
        <v>1</v>
      </c>
      <c r="J2217">
        <v>0.34</v>
      </c>
      <c r="K2217">
        <v>0.31819999999999998</v>
      </c>
      <c r="L2217">
        <v>0.61</v>
      </c>
      <c r="M2217">
        <v>0.28360000000000002</v>
      </c>
      <c r="N2217">
        <v>5</v>
      </c>
      <c r="O2217">
        <v>156</v>
      </c>
      <c r="P2217">
        <v>161</v>
      </c>
      <c r="Q2217">
        <v>425</v>
      </c>
      <c r="R2217">
        <v>426</v>
      </c>
    </row>
    <row r="2218" spans="1:18" x14ac:dyDescent="0.25">
      <c r="A2218">
        <v>427</v>
      </c>
      <c r="B2218" s="1">
        <v>40562</v>
      </c>
      <c r="C2218">
        <v>1</v>
      </c>
      <c r="D2218">
        <v>0</v>
      </c>
      <c r="E2218">
        <v>1</v>
      </c>
      <c r="F2218">
        <v>19</v>
      </c>
      <c r="G2218" t="b">
        <v>0</v>
      </c>
      <c r="H2218">
        <v>3</v>
      </c>
      <c r="I2218">
        <v>1</v>
      </c>
      <c r="J2218">
        <v>0.32</v>
      </c>
      <c r="K2218">
        <v>0.28789999999999999</v>
      </c>
      <c r="L2218">
        <v>0.56999999999999995</v>
      </c>
      <c r="M2218">
        <v>0.41789999999999999</v>
      </c>
      <c r="N2218">
        <v>4</v>
      </c>
      <c r="O2218">
        <v>108</v>
      </c>
      <c r="P2218">
        <v>112</v>
      </c>
      <c r="Q2218">
        <v>426</v>
      </c>
      <c r="R2218">
        <v>427</v>
      </c>
    </row>
    <row r="2219" spans="1:18" x14ac:dyDescent="0.25">
      <c r="A2219">
        <v>428</v>
      </c>
      <c r="B2219" s="1">
        <v>40562</v>
      </c>
      <c r="C2219">
        <v>1</v>
      </c>
      <c r="D2219">
        <v>0</v>
      </c>
      <c r="E2219">
        <v>1</v>
      </c>
      <c r="F2219">
        <v>20</v>
      </c>
      <c r="G2219" t="b">
        <v>0</v>
      </c>
      <c r="H2219">
        <v>3</v>
      </c>
      <c r="I2219">
        <v>1</v>
      </c>
      <c r="J2219">
        <v>0.32</v>
      </c>
      <c r="K2219">
        <v>0.30299999999999999</v>
      </c>
      <c r="L2219">
        <v>0.49</v>
      </c>
      <c r="M2219">
        <v>0.29849999999999999</v>
      </c>
      <c r="N2219">
        <v>2</v>
      </c>
      <c r="O2219">
        <v>74</v>
      </c>
      <c r="P2219">
        <v>76</v>
      </c>
      <c r="Q2219">
        <v>427</v>
      </c>
      <c r="R2219">
        <v>428</v>
      </c>
    </row>
    <row r="2220" spans="1:18" x14ac:dyDescent="0.25">
      <c r="A2220">
        <v>429</v>
      </c>
      <c r="B2220" s="1">
        <v>40562</v>
      </c>
      <c r="C2220">
        <v>1</v>
      </c>
      <c r="D2220">
        <v>0</v>
      </c>
      <c r="E2220">
        <v>1</v>
      </c>
      <c r="F2220">
        <v>21</v>
      </c>
      <c r="G2220" t="b">
        <v>0</v>
      </c>
      <c r="H2220">
        <v>3</v>
      </c>
      <c r="I2220">
        <v>1</v>
      </c>
      <c r="J2220">
        <v>0.32</v>
      </c>
      <c r="K2220">
        <v>0.28789999999999999</v>
      </c>
      <c r="L2220">
        <v>0.49</v>
      </c>
      <c r="M2220">
        <v>0.41789999999999999</v>
      </c>
      <c r="N2220">
        <v>4</v>
      </c>
      <c r="O2220">
        <v>55</v>
      </c>
      <c r="P2220">
        <v>59</v>
      </c>
      <c r="Q2220">
        <v>428</v>
      </c>
      <c r="R2220">
        <v>429</v>
      </c>
    </row>
    <row r="2221" spans="1:18" x14ac:dyDescent="0.25">
      <c r="A2221">
        <v>430</v>
      </c>
      <c r="B2221" s="1">
        <v>40562</v>
      </c>
      <c r="C2221">
        <v>1</v>
      </c>
      <c r="D2221">
        <v>0</v>
      </c>
      <c r="E2221">
        <v>1</v>
      </c>
      <c r="F2221">
        <v>22</v>
      </c>
      <c r="G2221" t="b">
        <v>0</v>
      </c>
      <c r="H2221">
        <v>3</v>
      </c>
      <c r="I2221">
        <v>1</v>
      </c>
      <c r="J2221">
        <v>0.3</v>
      </c>
      <c r="K2221">
        <v>0.30299999999999999</v>
      </c>
      <c r="L2221">
        <v>0.52</v>
      </c>
      <c r="M2221">
        <v>0.16420000000000001</v>
      </c>
      <c r="N2221">
        <v>6</v>
      </c>
      <c r="O2221">
        <v>53</v>
      </c>
      <c r="P2221">
        <v>59</v>
      </c>
      <c r="Q2221">
        <v>429</v>
      </c>
      <c r="R2221">
        <v>430</v>
      </c>
    </row>
    <row r="2222" spans="1:18" x14ac:dyDescent="0.25">
      <c r="A2222">
        <v>431</v>
      </c>
      <c r="B2222" s="1">
        <v>40562</v>
      </c>
      <c r="C2222">
        <v>1</v>
      </c>
      <c r="D2222">
        <v>0</v>
      </c>
      <c r="E2222">
        <v>1</v>
      </c>
      <c r="F2222">
        <v>23</v>
      </c>
      <c r="G2222" t="b">
        <v>0</v>
      </c>
      <c r="H2222">
        <v>3</v>
      </c>
      <c r="I2222">
        <v>1</v>
      </c>
      <c r="J2222">
        <v>0.3</v>
      </c>
      <c r="K2222">
        <v>0.2727</v>
      </c>
      <c r="L2222">
        <v>0.52</v>
      </c>
      <c r="M2222">
        <v>0.4627</v>
      </c>
      <c r="N2222">
        <v>1</v>
      </c>
      <c r="O2222">
        <v>27</v>
      </c>
      <c r="P2222">
        <v>28</v>
      </c>
      <c r="Q2222">
        <v>430</v>
      </c>
      <c r="R2222">
        <v>431</v>
      </c>
    </row>
    <row r="2223" spans="1:18" x14ac:dyDescent="0.25">
      <c r="A2223">
        <v>432</v>
      </c>
      <c r="B2223" s="1">
        <v>40563</v>
      </c>
      <c r="C2223">
        <v>1</v>
      </c>
      <c r="D2223">
        <v>0</v>
      </c>
      <c r="E2223">
        <v>1</v>
      </c>
      <c r="F2223">
        <v>0</v>
      </c>
      <c r="G2223" t="b">
        <v>0</v>
      </c>
      <c r="H2223">
        <v>4</v>
      </c>
      <c r="I2223">
        <v>1</v>
      </c>
      <c r="J2223">
        <v>0.26</v>
      </c>
      <c r="K2223">
        <v>0.2273</v>
      </c>
      <c r="L2223">
        <v>0.56000000000000005</v>
      </c>
      <c r="M2223">
        <v>0.3881</v>
      </c>
      <c r="N2223">
        <v>5</v>
      </c>
      <c r="O2223">
        <v>8</v>
      </c>
      <c r="P2223">
        <v>13</v>
      </c>
      <c r="Q2223">
        <v>431</v>
      </c>
      <c r="R2223">
        <v>432</v>
      </c>
    </row>
    <row r="2224" spans="1:18" x14ac:dyDescent="0.25">
      <c r="A2224">
        <v>433</v>
      </c>
      <c r="B2224" s="1">
        <v>40563</v>
      </c>
      <c r="C2224">
        <v>1</v>
      </c>
      <c r="D2224">
        <v>0</v>
      </c>
      <c r="E2224">
        <v>1</v>
      </c>
      <c r="F2224">
        <v>1</v>
      </c>
      <c r="G2224" t="b">
        <v>0</v>
      </c>
      <c r="H2224">
        <v>4</v>
      </c>
      <c r="I2224">
        <v>1</v>
      </c>
      <c r="J2224">
        <v>0.26</v>
      </c>
      <c r="K2224">
        <v>0.2727</v>
      </c>
      <c r="L2224">
        <v>0.56000000000000005</v>
      </c>
      <c r="M2224">
        <v>0</v>
      </c>
      <c r="N2224">
        <v>2</v>
      </c>
      <c r="O2224">
        <v>3</v>
      </c>
      <c r="P2224">
        <v>5</v>
      </c>
      <c r="Q2224">
        <v>432</v>
      </c>
      <c r="R2224">
        <v>433</v>
      </c>
    </row>
    <row r="2225" spans="1:18" x14ac:dyDescent="0.25">
      <c r="A2225">
        <v>434</v>
      </c>
      <c r="B2225" s="1">
        <v>40563</v>
      </c>
      <c r="C2225">
        <v>1</v>
      </c>
      <c r="D2225">
        <v>0</v>
      </c>
      <c r="E2225">
        <v>1</v>
      </c>
      <c r="F2225">
        <v>2</v>
      </c>
      <c r="G2225" t="b">
        <v>0</v>
      </c>
      <c r="H2225">
        <v>4</v>
      </c>
      <c r="I2225">
        <v>1</v>
      </c>
      <c r="J2225">
        <v>0.26</v>
      </c>
      <c r="K2225">
        <v>0.2727</v>
      </c>
      <c r="L2225">
        <v>0.56000000000000005</v>
      </c>
      <c r="M2225">
        <v>0</v>
      </c>
      <c r="N2225">
        <v>0</v>
      </c>
      <c r="O2225">
        <v>2</v>
      </c>
      <c r="P2225">
        <v>2</v>
      </c>
      <c r="Q2225">
        <v>433</v>
      </c>
      <c r="R2225">
        <v>434</v>
      </c>
    </row>
    <row r="2226" spans="1:18" x14ac:dyDescent="0.25">
      <c r="A2226">
        <v>435</v>
      </c>
      <c r="B2226" s="1">
        <v>40563</v>
      </c>
      <c r="C2226">
        <v>1</v>
      </c>
      <c r="D2226">
        <v>0</v>
      </c>
      <c r="E2226">
        <v>1</v>
      </c>
      <c r="F2226">
        <v>3</v>
      </c>
      <c r="G2226" t="b">
        <v>0</v>
      </c>
      <c r="H2226">
        <v>4</v>
      </c>
      <c r="I2226">
        <v>1</v>
      </c>
      <c r="J2226">
        <v>0.26</v>
      </c>
      <c r="K2226">
        <v>0.2576</v>
      </c>
      <c r="L2226">
        <v>0.56000000000000005</v>
      </c>
      <c r="M2226">
        <v>0.16420000000000001</v>
      </c>
      <c r="N2226">
        <v>0</v>
      </c>
      <c r="O2226">
        <v>1</v>
      </c>
      <c r="P2226">
        <v>1</v>
      </c>
      <c r="Q2226">
        <v>434</v>
      </c>
      <c r="R2226">
        <v>435</v>
      </c>
    </row>
    <row r="2227" spans="1:18" x14ac:dyDescent="0.25">
      <c r="A2227">
        <v>436</v>
      </c>
      <c r="B2227" s="1">
        <v>40563</v>
      </c>
      <c r="C2227">
        <v>1</v>
      </c>
      <c r="D2227">
        <v>0</v>
      </c>
      <c r="E2227">
        <v>1</v>
      </c>
      <c r="F2227">
        <v>4</v>
      </c>
      <c r="G2227" t="b">
        <v>0</v>
      </c>
      <c r="H2227">
        <v>4</v>
      </c>
      <c r="I2227">
        <v>1</v>
      </c>
      <c r="J2227">
        <v>0.26</v>
      </c>
      <c r="K2227">
        <v>0.2576</v>
      </c>
      <c r="L2227">
        <v>0.56000000000000005</v>
      </c>
      <c r="M2227">
        <v>0.16420000000000001</v>
      </c>
      <c r="N2227">
        <v>0</v>
      </c>
      <c r="O2227">
        <v>1</v>
      </c>
      <c r="P2227">
        <v>1</v>
      </c>
      <c r="Q2227">
        <v>435</v>
      </c>
      <c r="R2227">
        <v>436</v>
      </c>
    </row>
    <row r="2228" spans="1:18" x14ac:dyDescent="0.25">
      <c r="A2228">
        <v>437</v>
      </c>
      <c r="B2228" s="1">
        <v>40563</v>
      </c>
      <c r="C2228">
        <v>1</v>
      </c>
      <c r="D2228">
        <v>0</v>
      </c>
      <c r="E2228">
        <v>1</v>
      </c>
      <c r="F2228">
        <v>5</v>
      </c>
      <c r="G2228" t="b">
        <v>0</v>
      </c>
      <c r="H2228">
        <v>4</v>
      </c>
      <c r="I2228">
        <v>1</v>
      </c>
      <c r="J2228">
        <v>0.24</v>
      </c>
      <c r="K2228">
        <v>0.2273</v>
      </c>
      <c r="L2228">
        <v>0.6</v>
      </c>
      <c r="M2228">
        <v>0.22389999999999999</v>
      </c>
      <c r="N2228">
        <v>0</v>
      </c>
      <c r="O2228">
        <v>6</v>
      </c>
      <c r="P2228">
        <v>6</v>
      </c>
      <c r="Q2228">
        <v>436</v>
      </c>
      <c r="R2228">
        <v>437</v>
      </c>
    </row>
    <row r="2229" spans="1:18" x14ac:dyDescent="0.25">
      <c r="A2229">
        <v>438</v>
      </c>
      <c r="B2229" s="1">
        <v>40563</v>
      </c>
      <c r="C2229">
        <v>1</v>
      </c>
      <c r="D2229">
        <v>0</v>
      </c>
      <c r="E2229">
        <v>1</v>
      </c>
      <c r="F2229">
        <v>6</v>
      </c>
      <c r="G2229" t="b">
        <v>0</v>
      </c>
      <c r="H2229">
        <v>4</v>
      </c>
      <c r="I2229">
        <v>1</v>
      </c>
      <c r="J2229">
        <v>0.22</v>
      </c>
      <c r="K2229">
        <v>0.21210000000000001</v>
      </c>
      <c r="L2229">
        <v>0.6</v>
      </c>
      <c r="M2229">
        <v>0.22389999999999999</v>
      </c>
      <c r="N2229">
        <v>0</v>
      </c>
      <c r="O2229">
        <v>35</v>
      </c>
      <c r="P2229">
        <v>35</v>
      </c>
      <c r="Q2229">
        <v>437</v>
      </c>
      <c r="R2229">
        <v>438</v>
      </c>
    </row>
    <row r="2230" spans="1:18" x14ac:dyDescent="0.25">
      <c r="A2230">
        <v>439</v>
      </c>
      <c r="B2230" s="1">
        <v>40563</v>
      </c>
      <c r="C2230">
        <v>1</v>
      </c>
      <c r="D2230">
        <v>0</v>
      </c>
      <c r="E2230">
        <v>1</v>
      </c>
      <c r="F2230">
        <v>7</v>
      </c>
      <c r="G2230" t="b">
        <v>0</v>
      </c>
      <c r="H2230">
        <v>4</v>
      </c>
      <c r="I2230">
        <v>1</v>
      </c>
      <c r="J2230">
        <v>0.22</v>
      </c>
      <c r="K2230">
        <v>0.21210000000000001</v>
      </c>
      <c r="L2230">
        <v>0.55000000000000004</v>
      </c>
      <c r="M2230">
        <v>0.22389999999999999</v>
      </c>
      <c r="N2230">
        <v>1</v>
      </c>
      <c r="O2230">
        <v>100</v>
      </c>
      <c r="P2230">
        <v>101</v>
      </c>
      <c r="Q2230">
        <v>438</v>
      </c>
      <c r="R2230">
        <v>439</v>
      </c>
    </row>
    <row r="2231" spans="1:18" x14ac:dyDescent="0.25">
      <c r="A2231">
        <v>440</v>
      </c>
      <c r="B2231" s="1">
        <v>40563</v>
      </c>
      <c r="C2231">
        <v>1</v>
      </c>
      <c r="D2231">
        <v>0</v>
      </c>
      <c r="E2231">
        <v>1</v>
      </c>
      <c r="F2231">
        <v>8</v>
      </c>
      <c r="G2231" t="b">
        <v>0</v>
      </c>
      <c r="H2231">
        <v>4</v>
      </c>
      <c r="I2231">
        <v>1</v>
      </c>
      <c r="J2231">
        <v>0.22</v>
      </c>
      <c r="K2231">
        <v>0.21210000000000001</v>
      </c>
      <c r="L2231">
        <v>0.55000000000000004</v>
      </c>
      <c r="M2231">
        <v>0.28360000000000002</v>
      </c>
      <c r="N2231">
        <v>2</v>
      </c>
      <c r="O2231">
        <v>247</v>
      </c>
      <c r="P2231">
        <v>249</v>
      </c>
      <c r="Q2231">
        <v>439</v>
      </c>
      <c r="R2231">
        <v>440</v>
      </c>
    </row>
    <row r="2232" spans="1:18" x14ac:dyDescent="0.25">
      <c r="A2232">
        <v>441</v>
      </c>
      <c r="B2232" s="1">
        <v>40563</v>
      </c>
      <c r="C2232">
        <v>1</v>
      </c>
      <c r="D2232">
        <v>0</v>
      </c>
      <c r="E2232">
        <v>1</v>
      </c>
      <c r="F2232">
        <v>9</v>
      </c>
      <c r="G2232" t="b">
        <v>0</v>
      </c>
      <c r="H2232">
        <v>4</v>
      </c>
      <c r="I2232">
        <v>2</v>
      </c>
      <c r="J2232">
        <v>0.24</v>
      </c>
      <c r="K2232">
        <v>0.2273</v>
      </c>
      <c r="L2232">
        <v>0.52</v>
      </c>
      <c r="M2232">
        <v>0.22389999999999999</v>
      </c>
      <c r="N2232">
        <v>3</v>
      </c>
      <c r="O2232">
        <v>140</v>
      </c>
      <c r="P2232">
        <v>143</v>
      </c>
      <c r="Q2232">
        <v>440</v>
      </c>
      <c r="R2232">
        <v>441</v>
      </c>
    </row>
    <row r="2233" spans="1:18" x14ac:dyDescent="0.25">
      <c r="A2233">
        <v>442</v>
      </c>
      <c r="B2233" s="1">
        <v>40563</v>
      </c>
      <c r="C2233">
        <v>1</v>
      </c>
      <c r="D2233">
        <v>0</v>
      </c>
      <c r="E2233">
        <v>1</v>
      </c>
      <c r="F2233">
        <v>10</v>
      </c>
      <c r="G2233" t="b">
        <v>0</v>
      </c>
      <c r="H2233">
        <v>4</v>
      </c>
      <c r="I2233">
        <v>1</v>
      </c>
      <c r="J2233">
        <v>0.26</v>
      </c>
      <c r="K2233">
        <v>0.2273</v>
      </c>
      <c r="L2233">
        <v>0.48</v>
      </c>
      <c r="M2233">
        <v>0.29849999999999999</v>
      </c>
      <c r="N2233">
        <v>1</v>
      </c>
      <c r="O2233">
        <v>56</v>
      </c>
      <c r="P2233">
        <v>57</v>
      </c>
      <c r="Q2233">
        <v>441</v>
      </c>
      <c r="R2233">
        <v>442</v>
      </c>
    </row>
    <row r="2234" spans="1:18" x14ac:dyDescent="0.25">
      <c r="A2234">
        <v>443</v>
      </c>
      <c r="B2234" s="1">
        <v>40563</v>
      </c>
      <c r="C2234">
        <v>1</v>
      </c>
      <c r="D2234">
        <v>0</v>
      </c>
      <c r="E2234">
        <v>1</v>
      </c>
      <c r="F2234">
        <v>11</v>
      </c>
      <c r="G2234" t="b">
        <v>0</v>
      </c>
      <c r="H2234">
        <v>4</v>
      </c>
      <c r="I2234">
        <v>2</v>
      </c>
      <c r="J2234">
        <v>0.28000000000000003</v>
      </c>
      <c r="K2234">
        <v>0.2727</v>
      </c>
      <c r="L2234">
        <v>0.45</v>
      </c>
      <c r="M2234">
        <v>0.16420000000000001</v>
      </c>
      <c r="N2234">
        <v>5</v>
      </c>
      <c r="O2234">
        <v>63</v>
      </c>
      <c r="P2234">
        <v>68</v>
      </c>
      <c r="Q2234">
        <v>442</v>
      </c>
      <c r="R2234">
        <v>443</v>
      </c>
    </row>
    <row r="2235" spans="1:18" x14ac:dyDescent="0.25">
      <c r="A2235">
        <v>444</v>
      </c>
      <c r="B2235" s="1">
        <v>40563</v>
      </c>
      <c r="C2235">
        <v>1</v>
      </c>
      <c r="D2235">
        <v>0</v>
      </c>
      <c r="E2235">
        <v>1</v>
      </c>
      <c r="F2235">
        <v>12</v>
      </c>
      <c r="G2235" t="b">
        <v>0</v>
      </c>
      <c r="H2235">
        <v>4</v>
      </c>
      <c r="I2235">
        <v>2</v>
      </c>
      <c r="J2235">
        <v>0.3</v>
      </c>
      <c r="K2235">
        <v>0.33329999999999999</v>
      </c>
      <c r="L2235">
        <v>0.42</v>
      </c>
      <c r="M2235">
        <v>0</v>
      </c>
      <c r="N2235">
        <v>7</v>
      </c>
      <c r="O2235">
        <v>77</v>
      </c>
      <c r="P2235">
        <v>84</v>
      </c>
      <c r="Q2235">
        <v>443</v>
      </c>
      <c r="R2235">
        <v>444</v>
      </c>
    </row>
    <row r="2236" spans="1:18" x14ac:dyDescent="0.25">
      <c r="A2236">
        <v>445</v>
      </c>
      <c r="B2236" s="1">
        <v>40563</v>
      </c>
      <c r="C2236">
        <v>1</v>
      </c>
      <c r="D2236">
        <v>0</v>
      </c>
      <c r="E2236">
        <v>1</v>
      </c>
      <c r="F2236">
        <v>13</v>
      </c>
      <c r="G2236" t="b">
        <v>0</v>
      </c>
      <c r="H2236">
        <v>4</v>
      </c>
      <c r="I2236">
        <v>2</v>
      </c>
      <c r="J2236">
        <v>0.28000000000000003</v>
      </c>
      <c r="K2236">
        <v>0.28789999999999999</v>
      </c>
      <c r="L2236">
        <v>0.45</v>
      </c>
      <c r="M2236">
        <v>0.1045</v>
      </c>
      <c r="N2236">
        <v>12</v>
      </c>
      <c r="O2236">
        <v>86</v>
      </c>
      <c r="P2236">
        <v>98</v>
      </c>
      <c r="Q2236">
        <v>444</v>
      </c>
      <c r="R2236">
        <v>445</v>
      </c>
    </row>
    <row r="2237" spans="1:18" x14ac:dyDescent="0.25">
      <c r="A2237">
        <v>446</v>
      </c>
      <c r="B2237" s="1">
        <v>40563</v>
      </c>
      <c r="C2237">
        <v>1</v>
      </c>
      <c r="D2237">
        <v>0</v>
      </c>
      <c r="E2237">
        <v>1</v>
      </c>
      <c r="F2237">
        <v>14</v>
      </c>
      <c r="G2237" t="b">
        <v>0</v>
      </c>
      <c r="H2237">
        <v>4</v>
      </c>
      <c r="I2237">
        <v>2</v>
      </c>
      <c r="J2237">
        <v>0.3</v>
      </c>
      <c r="K2237">
        <v>0.30299999999999999</v>
      </c>
      <c r="L2237">
        <v>0.45</v>
      </c>
      <c r="M2237">
        <v>0.1343</v>
      </c>
      <c r="N2237">
        <v>6</v>
      </c>
      <c r="O2237">
        <v>75</v>
      </c>
      <c r="P2237">
        <v>81</v>
      </c>
      <c r="Q2237">
        <v>445</v>
      </c>
      <c r="R2237">
        <v>446</v>
      </c>
    </row>
    <row r="2238" spans="1:18" x14ac:dyDescent="0.25">
      <c r="A2238">
        <v>447</v>
      </c>
      <c r="B2238" s="1">
        <v>40563</v>
      </c>
      <c r="C2238">
        <v>1</v>
      </c>
      <c r="D2238">
        <v>0</v>
      </c>
      <c r="E2238">
        <v>1</v>
      </c>
      <c r="F2238">
        <v>15</v>
      </c>
      <c r="G2238" t="b">
        <v>0</v>
      </c>
      <c r="H2238">
        <v>4</v>
      </c>
      <c r="I2238">
        <v>2</v>
      </c>
      <c r="J2238">
        <v>0.32</v>
      </c>
      <c r="K2238">
        <v>0.31819999999999998</v>
      </c>
      <c r="L2238">
        <v>0.45</v>
      </c>
      <c r="M2238">
        <v>0.19400000000000001</v>
      </c>
      <c r="N2238">
        <v>8</v>
      </c>
      <c r="O2238">
        <v>62</v>
      </c>
      <c r="P2238">
        <v>70</v>
      </c>
      <c r="Q2238">
        <v>446</v>
      </c>
      <c r="R2238">
        <v>447</v>
      </c>
    </row>
    <row r="2239" spans="1:18" x14ac:dyDescent="0.25">
      <c r="A2239">
        <v>448</v>
      </c>
      <c r="B2239" s="1">
        <v>40563</v>
      </c>
      <c r="C2239">
        <v>1</v>
      </c>
      <c r="D2239">
        <v>0</v>
      </c>
      <c r="E2239">
        <v>1</v>
      </c>
      <c r="F2239">
        <v>16</v>
      </c>
      <c r="G2239" t="b">
        <v>0</v>
      </c>
      <c r="H2239">
        <v>4</v>
      </c>
      <c r="I2239">
        <v>2</v>
      </c>
      <c r="J2239">
        <v>0.3</v>
      </c>
      <c r="K2239">
        <v>0.30299999999999999</v>
      </c>
      <c r="L2239">
        <v>0.49</v>
      </c>
      <c r="M2239">
        <v>0.1343</v>
      </c>
      <c r="N2239">
        <v>8</v>
      </c>
      <c r="O2239">
        <v>83</v>
      </c>
      <c r="P2239">
        <v>91</v>
      </c>
      <c r="Q2239">
        <v>447</v>
      </c>
      <c r="R2239">
        <v>448</v>
      </c>
    </row>
    <row r="2240" spans="1:18" x14ac:dyDescent="0.25">
      <c r="A2240">
        <v>449</v>
      </c>
      <c r="B2240" s="1">
        <v>40563</v>
      </c>
      <c r="C2240">
        <v>1</v>
      </c>
      <c r="D2240">
        <v>0</v>
      </c>
      <c r="E2240">
        <v>1</v>
      </c>
      <c r="F2240">
        <v>17</v>
      </c>
      <c r="G2240" t="b">
        <v>0</v>
      </c>
      <c r="H2240">
        <v>4</v>
      </c>
      <c r="I2240">
        <v>2</v>
      </c>
      <c r="J2240">
        <v>0.3</v>
      </c>
      <c r="K2240">
        <v>0.31819999999999998</v>
      </c>
      <c r="L2240">
        <v>0.49</v>
      </c>
      <c r="M2240">
        <v>0.1045</v>
      </c>
      <c r="N2240">
        <v>8</v>
      </c>
      <c r="O2240">
        <v>207</v>
      </c>
      <c r="P2240">
        <v>215</v>
      </c>
      <c r="Q2240">
        <v>448</v>
      </c>
      <c r="R2240">
        <v>449</v>
      </c>
    </row>
    <row r="2241" spans="1:18" x14ac:dyDescent="0.25">
      <c r="A2241">
        <v>450</v>
      </c>
      <c r="B2241" s="1">
        <v>40563</v>
      </c>
      <c r="C2241">
        <v>1</v>
      </c>
      <c r="D2241">
        <v>0</v>
      </c>
      <c r="E2241">
        <v>1</v>
      </c>
      <c r="F2241">
        <v>18</v>
      </c>
      <c r="G2241" t="b">
        <v>0</v>
      </c>
      <c r="H2241">
        <v>4</v>
      </c>
      <c r="I2241">
        <v>2</v>
      </c>
      <c r="J2241">
        <v>0.26</v>
      </c>
      <c r="K2241">
        <v>0.2576</v>
      </c>
      <c r="L2241">
        <v>0.56000000000000005</v>
      </c>
      <c r="M2241">
        <v>0.19400000000000001</v>
      </c>
      <c r="N2241">
        <v>1</v>
      </c>
      <c r="O2241">
        <v>184</v>
      </c>
      <c r="P2241">
        <v>185</v>
      </c>
      <c r="Q2241">
        <v>449</v>
      </c>
      <c r="R2241">
        <v>450</v>
      </c>
    </row>
    <row r="2242" spans="1:18" x14ac:dyDescent="0.25">
      <c r="A2242">
        <v>451</v>
      </c>
      <c r="B2242" s="1">
        <v>40563</v>
      </c>
      <c r="C2242">
        <v>1</v>
      </c>
      <c r="D2242">
        <v>0</v>
      </c>
      <c r="E2242">
        <v>1</v>
      </c>
      <c r="F2242">
        <v>19</v>
      </c>
      <c r="G2242" t="b">
        <v>0</v>
      </c>
      <c r="H2242">
        <v>4</v>
      </c>
      <c r="I2242">
        <v>1</v>
      </c>
      <c r="J2242">
        <v>0.26</v>
      </c>
      <c r="K2242">
        <v>0.2273</v>
      </c>
      <c r="L2242">
        <v>0.56000000000000005</v>
      </c>
      <c r="M2242">
        <v>0.32840000000000003</v>
      </c>
      <c r="N2242">
        <v>6</v>
      </c>
      <c r="O2242">
        <v>146</v>
      </c>
      <c r="P2242">
        <v>152</v>
      </c>
      <c r="Q2242">
        <v>450</v>
      </c>
      <c r="R2242">
        <v>451</v>
      </c>
    </row>
    <row r="2243" spans="1:18" x14ac:dyDescent="0.25">
      <c r="A2243">
        <v>452</v>
      </c>
      <c r="B2243" s="1">
        <v>40563</v>
      </c>
      <c r="C2243">
        <v>1</v>
      </c>
      <c r="D2243">
        <v>0</v>
      </c>
      <c r="E2243">
        <v>1</v>
      </c>
      <c r="F2243">
        <v>20</v>
      </c>
      <c r="G2243" t="b">
        <v>0</v>
      </c>
      <c r="H2243">
        <v>4</v>
      </c>
      <c r="I2243">
        <v>2</v>
      </c>
      <c r="J2243">
        <v>0.26</v>
      </c>
      <c r="K2243">
        <v>0.2424</v>
      </c>
      <c r="L2243">
        <v>0.6</v>
      </c>
      <c r="M2243">
        <v>0.28360000000000002</v>
      </c>
      <c r="N2243">
        <v>2</v>
      </c>
      <c r="O2243">
        <v>124</v>
      </c>
      <c r="P2243">
        <v>126</v>
      </c>
      <c r="Q2243">
        <v>451</v>
      </c>
      <c r="R2243">
        <v>452</v>
      </c>
    </row>
    <row r="2244" spans="1:18" x14ac:dyDescent="0.25">
      <c r="A2244">
        <v>453</v>
      </c>
      <c r="B2244" s="1">
        <v>40563</v>
      </c>
      <c r="C2244">
        <v>1</v>
      </c>
      <c r="D2244">
        <v>0</v>
      </c>
      <c r="E2244">
        <v>1</v>
      </c>
      <c r="F2244">
        <v>21</v>
      </c>
      <c r="G2244" t="b">
        <v>0</v>
      </c>
      <c r="H2244">
        <v>4</v>
      </c>
      <c r="I2244">
        <v>2</v>
      </c>
      <c r="J2244">
        <v>0.24</v>
      </c>
      <c r="K2244">
        <v>0.2273</v>
      </c>
      <c r="L2244">
        <v>0.6</v>
      </c>
      <c r="M2244">
        <v>0.25369999999999998</v>
      </c>
      <c r="N2244">
        <v>3</v>
      </c>
      <c r="O2244">
        <v>54</v>
      </c>
      <c r="P2244">
        <v>57</v>
      </c>
      <c r="Q2244">
        <v>452</v>
      </c>
      <c r="R2244">
        <v>453</v>
      </c>
    </row>
    <row r="2245" spans="1:18" x14ac:dyDescent="0.25">
      <c r="A2245">
        <v>454</v>
      </c>
      <c r="B2245" s="1">
        <v>40563</v>
      </c>
      <c r="C2245">
        <v>1</v>
      </c>
      <c r="D2245">
        <v>0</v>
      </c>
      <c r="E2245">
        <v>1</v>
      </c>
      <c r="F2245">
        <v>22</v>
      </c>
      <c r="G2245" t="b">
        <v>0</v>
      </c>
      <c r="H2245">
        <v>4</v>
      </c>
      <c r="I2245">
        <v>2</v>
      </c>
      <c r="J2245">
        <v>0.24</v>
      </c>
      <c r="K2245">
        <v>0.21210000000000001</v>
      </c>
      <c r="L2245">
        <v>0.65</v>
      </c>
      <c r="M2245">
        <v>0.28360000000000002</v>
      </c>
      <c r="N2245">
        <v>0</v>
      </c>
      <c r="O2245">
        <v>56</v>
      </c>
      <c r="P2245">
        <v>56</v>
      </c>
      <c r="Q2245">
        <v>453</v>
      </c>
      <c r="R2245">
        <v>454</v>
      </c>
    </row>
    <row r="2246" spans="1:18" x14ac:dyDescent="0.25">
      <c r="A2246">
        <v>455</v>
      </c>
      <c r="B2246" s="1">
        <v>40563</v>
      </c>
      <c r="C2246">
        <v>1</v>
      </c>
      <c r="D2246">
        <v>0</v>
      </c>
      <c r="E2246">
        <v>1</v>
      </c>
      <c r="F2246">
        <v>23</v>
      </c>
      <c r="G2246" t="b">
        <v>0</v>
      </c>
      <c r="H2246">
        <v>4</v>
      </c>
      <c r="I2246">
        <v>2</v>
      </c>
      <c r="J2246">
        <v>0.24</v>
      </c>
      <c r="K2246">
        <v>0.21210000000000001</v>
      </c>
      <c r="L2246">
        <v>0.65</v>
      </c>
      <c r="M2246">
        <v>0.32840000000000003</v>
      </c>
      <c r="N2246">
        <v>3</v>
      </c>
      <c r="O2246">
        <v>28</v>
      </c>
      <c r="P2246">
        <v>31</v>
      </c>
      <c r="Q2246">
        <v>454</v>
      </c>
      <c r="R2246">
        <v>455</v>
      </c>
    </row>
    <row r="2247" spans="1:18" x14ac:dyDescent="0.25">
      <c r="A2247">
        <v>456</v>
      </c>
      <c r="B2247" s="1">
        <v>40564</v>
      </c>
      <c r="C2247">
        <v>1</v>
      </c>
      <c r="D2247">
        <v>0</v>
      </c>
      <c r="E2247">
        <v>1</v>
      </c>
      <c r="F2247">
        <v>0</v>
      </c>
      <c r="G2247" t="b">
        <v>0</v>
      </c>
      <c r="H2247">
        <v>5</v>
      </c>
      <c r="I2247">
        <v>2</v>
      </c>
      <c r="J2247">
        <v>0.24</v>
      </c>
      <c r="K2247">
        <v>0.2273</v>
      </c>
      <c r="L2247">
        <v>0.7</v>
      </c>
      <c r="M2247">
        <v>0.25369999999999998</v>
      </c>
      <c r="N2247">
        <v>1</v>
      </c>
      <c r="O2247">
        <v>20</v>
      </c>
      <c r="P2247">
        <v>21</v>
      </c>
      <c r="Q2247">
        <v>455</v>
      </c>
      <c r="R2247">
        <v>456</v>
      </c>
    </row>
    <row r="2248" spans="1:18" x14ac:dyDescent="0.25">
      <c r="A2248">
        <v>457</v>
      </c>
      <c r="B2248" s="1">
        <v>40564</v>
      </c>
      <c r="C2248">
        <v>1</v>
      </c>
      <c r="D2248">
        <v>0</v>
      </c>
      <c r="E2248">
        <v>1</v>
      </c>
      <c r="F2248">
        <v>1</v>
      </c>
      <c r="G2248" t="b">
        <v>0</v>
      </c>
      <c r="H2248">
        <v>5</v>
      </c>
      <c r="I2248">
        <v>2</v>
      </c>
      <c r="J2248">
        <v>0.24</v>
      </c>
      <c r="K2248">
        <v>0.2273</v>
      </c>
      <c r="L2248">
        <v>0.7</v>
      </c>
      <c r="M2248">
        <v>0.25369999999999998</v>
      </c>
      <c r="N2248">
        <v>0</v>
      </c>
      <c r="O2248">
        <v>6</v>
      </c>
      <c r="P2248">
        <v>6</v>
      </c>
      <c r="Q2248">
        <v>456</v>
      </c>
      <c r="R2248">
        <v>457</v>
      </c>
    </row>
    <row r="2249" spans="1:18" x14ac:dyDescent="0.25">
      <c r="A2249">
        <v>458</v>
      </c>
      <c r="B2249" s="1">
        <v>40564</v>
      </c>
      <c r="C2249">
        <v>1</v>
      </c>
      <c r="D2249">
        <v>0</v>
      </c>
      <c r="E2249">
        <v>1</v>
      </c>
      <c r="F2249">
        <v>2</v>
      </c>
      <c r="G2249" t="b">
        <v>0</v>
      </c>
      <c r="H2249">
        <v>5</v>
      </c>
      <c r="I2249">
        <v>3</v>
      </c>
      <c r="J2249">
        <v>0.24</v>
      </c>
      <c r="K2249">
        <v>0.2424</v>
      </c>
      <c r="L2249">
        <v>0.75</v>
      </c>
      <c r="M2249">
        <v>0.16420000000000001</v>
      </c>
      <c r="N2249">
        <v>0</v>
      </c>
      <c r="O2249">
        <v>2</v>
      </c>
      <c r="P2249">
        <v>2</v>
      </c>
      <c r="Q2249">
        <v>457</v>
      </c>
      <c r="R2249">
        <v>458</v>
      </c>
    </row>
    <row r="2250" spans="1:18" x14ac:dyDescent="0.25">
      <c r="A2250">
        <v>459</v>
      </c>
      <c r="B2250" s="1">
        <v>40564</v>
      </c>
      <c r="C2250">
        <v>1</v>
      </c>
      <c r="D2250">
        <v>0</v>
      </c>
      <c r="E2250">
        <v>1</v>
      </c>
      <c r="F2250">
        <v>3</v>
      </c>
      <c r="G2250" t="b">
        <v>0</v>
      </c>
      <c r="H2250">
        <v>5</v>
      </c>
      <c r="I2250">
        <v>3</v>
      </c>
      <c r="J2250">
        <v>0.22</v>
      </c>
      <c r="K2250">
        <v>0.21210000000000001</v>
      </c>
      <c r="L2250">
        <v>0.8</v>
      </c>
      <c r="M2250">
        <v>0.29849999999999999</v>
      </c>
      <c r="N2250">
        <v>0</v>
      </c>
      <c r="O2250">
        <v>1</v>
      </c>
      <c r="P2250">
        <v>1</v>
      </c>
      <c r="Q2250">
        <v>458</v>
      </c>
      <c r="R2250">
        <v>459</v>
      </c>
    </row>
    <row r="2251" spans="1:18" x14ac:dyDescent="0.25">
      <c r="A2251">
        <v>460</v>
      </c>
      <c r="B2251" s="1">
        <v>40564</v>
      </c>
      <c r="C2251">
        <v>1</v>
      </c>
      <c r="D2251">
        <v>0</v>
      </c>
      <c r="E2251">
        <v>1</v>
      </c>
      <c r="F2251">
        <v>4</v>
      </c>
      <c r="G2251" t="b">
        <v>0</v>
      </c>
      <c r="H2251">
        <v>5</v>
      </c>
      <c r="I2251">
        <v>2</v>
      </c>
      <c r="J2251">
        <v>0.22</v>
      </c>
      <c r="K2251">
        <v>0.2576</v>
      </c>
      <c r="L2251">
        <v>0.87</v>
      </c>
      <c r="M2251">
        <v>8.9599999999999999E-2</v>
      </c>
      <c r="N2251">
        <v>0</v>
      </c>
      <c r="O2251">
        <v>1</v>
      </c>
      <c r="P2251">
        <v>1</v>
      </c>
      <c r="Q2251">
        <v>459</v>
      </c>
      <c r="R2251">
        <v>460</v>
      </c>
    </row>
    <row r="2252" spans="1:18" x14ac:dyDescent="0.25">
      <c r="A2252">
        <v>461</v>
      </c>
      <c r="B2252" s="1">
        <v>40564</v>
      </c>
      <c r="C2252">
        <v>1</v>
      </c>
      <c r="D2252">
        <v>0</v>
      </c>
      <c r="E2252">
        <v>1</v>
      </c>
      <c r="F2252">
        <v>5</v>
      </c>
      <c r="G2252" t="b">
        <v>0</v>
      </c>
      <c r="H2252">
        <v>5</v>
      </c>
      <c r="I2252">
        <v>1</v>
      </c>
      <c r="J2252">
        <v>0.24</v>
      </c>
      <c r="K2252">
        <v>0.19700000000000001</v>
      </c>
      <c r="L2252">
        <v>0.6</v>
      </c>
      <c r="M2252">
        <v>0.41789999999999999</v>
      </c>
      <c r="N2252">
        <v>1</v>
      </c>
      <c r="O2252">
        <v>4</v>
      </c>
      <c r="P2252">
        <v>5</v>
      </c>
      <c r="Q2252">
        <v>460</v>
      </c>
      <c r="R2252">
        <v>461</v>
      </c>
    </row>
    <row r="2253" spans="1:18" x14ac:dyDescent="0.25">
      <c r="A2253">
        <v>462</v>
      </c>
      <c r="B2253" s="1">
        <v>40564</v>
      </c>
      <c r="C2253">
        <v>1</v>
      </c>
      <c r="D2253">
        <v>0</v>
      </c>
      <c r="E2253">
        <v>1</v>
      </c>
      <c r="F2253">
        <v>6</v>
      </c>
      <c r="G2253" t="b">
        <v>0</v>
      </c>
      <c r="H2253">
        <v>5</v>
      </c>
      <c r="I2253">
        <v>1</v>
      </c>
      <c r="J2253">
        <v>0.22</v>
      </c>
      <c r="K2253">
        <v>0.21210000000000001</v>
      </c>
      <c r="L2253">
        <v>0.55000000000000004</v>
      </c>
      <c r="M2253">
        <v>0.25369999999999998</v>
      </c>
      <c r="N2253">
        <v>0</v>
      </c>
      <c r="O2253">
        <v>27</v>
      </c>
      <c r="P2253">
        <v>27</v>
      </c>
      <c r="Q2253">
        <v>461</v>
      </c>
      <c r="R2253">
        <v>462</v>
      </c>
    </row>
    <row r="2254" spans="1:18" x14ac:dyDescent="0.25">
      <c r="A2254">
        <v>463</v>
      </c>
      <c r="B2254" s="1">
        <v>40564</v>
      </c>
      <c r="C2254">
        <v>1</v>
      </c>
      <c r="D2254">
        <v>0</v>
      </c>
      <c r="E2254">
        <v>1</v>
      </c>
      <c r="F2254">
        <v>7</v>
      </c>
      <c r="G2254" t="b">
        <v>0</v>
      </c>
      <c r="H2254">
        <v>5</v>
      </c>
      <c r="I2254">
        <v>1</v>
      </c>
      <c r="J2254">
        <v>0.2</v>
      </c>
      <c r="K2254">
        <v>0.18179999999999999</v>
      </c>
      <c r="L2254">
        <v>0.51</v>
      </c>
      <c r="M2254">
        <v>0.28360000000000002</v>
      </c>
      <c r="N2254">
        <v>2</v>
      </c>
      <c r="O2254">
        <v>66</v>
      </c>
      <c r="P2254">
        <v>68</v>
      </c>
      <c r="Q2254">
        <v>462</v>
      </c>
      <c r="R2254">
        <v>463</v>
      </c>
    </row>
    <row r="2255" spans="1:18" x14ac:dyDescent="0.25">
      <c r="A2255">
        <v>464</v>
      </c>
      <c r="B2255" s="1">
        <v>40564</v>
      </c>
      <c r="C2255">
        <v>1</v>
      </c>
      <c r="D2255">
        <v>0</v>
      </c>
      <c r="E2255">
        <v>1</v>
      </c>
      <c r="F2255">
        <v>8</v>
      </c>
      <c r="G2255" t="b">
        <v>0</v>
      </c>
      <c r="H2255">
        <v>5</v>
      </c>
      <c r="I2255">
        <v>1</v>
      </c>
      <c r="J2255">
        <v>0.2</v>
      </c>
      <c r="K2255">
        <v>0.18179999999999999</v>
      </c>
      <c r="L2255">
        <v>0.47</v>
      </c>
      <c r="M2255">
        <v>0.32840000000000003</v>
      </c>
      <c r="N2255">
        <v>7</v>
      </c>
      <c r="O2255">
        <v>210</v>
      </c>
      <c r="P2255">
        <v>217</v>
      </c>
      <c r="Q2255">
        <v>463</v>
      </c>
      <c r="R2255">
        <v>464</v>
      </c>
    </row>
    <row r="2256" spans="1:18" x14ac:dyDescent="0.25">
      <c r="A2256">
        <v>465</v>
      </c>
      <c r="B2256" s="1">
        <v>40564</v>
      </c>
      <c r="C2256">
        <v>1</v>
      </c>
      <c r="D2256">
        <v>0</v>
      </c>
      <c r="E2256">
        <v>1</v>
      </c>
      <c r="F2256">
        <v>9</v>
      </c>
      <c r="G2256" t="b">
        <v>0</v>
      </c>
      <c r="H2256">
        <v>5</v>
      </c>
      <c r="I2256">
        <v>1</v>
      </c>
      <c r="J2256">
        <v>0.2</v>
      </c>
      <c r="K2256">
        <v>0.18179999999999999</v>
      </c>
      <c r="L2256">
        <v>0.51</v>
      </c>
      <c r="M2256">
        <v>0.35820000000000002</v>
      </c>
      <c r="N2256">
        <v>7</v>
      </c>
      <c r="O2256">
        <v>159</v>
      </c>
      <c r="P2256">
        <v>166</v>
      </c>
      <c r="Q2256">
        <v>464</v>
      </c>
      <c r="R2256">
        <v>465</v>
      </c>
    </row>
    <row r="2257" spans="1:18" x14ac:dyDescent="0.25">
      <c r="A2257">
        <v>466</v>
      </c>
      <c r="B2257" s="1">
        <v>40564</v>
      </c>
      <c r="C2257">
        <v>1</v>
      </c>
      <c r="D2257">
        <v>0</v>
      </c>
      <c r="E2257">
        <v>1</v>
      </c>
      <c r="F2257">
        <v>10</v>
      </c>
      <c r="G2257" t="b">
        <v>0</v>
      </c>
      <c r="H2257">
        <v>5</v>
      </c>
      <c r="I2257">
        <v>1</v>
      </c>
      <c r="J2257">
        <v>0.2</v>
      </c>
      <c r="K2257">
        <v>0.16669999999999999</v>
      </c>
      <c r="L2257">
        <v>0.47</v>
      </c>
      <c r="M2257">
        <v>0.4627</v>
      </c>
      <c r="N2257">
        <v>6</v>
      </c>
      <c r="O2257">
        <v>57</v>
      </c>
      <c r="P2257">
        <v>63</v>
      </c>
      <c r="Q2257">
        <v>465</v>
      </c>
      <c r="R2257">
        <v>466</v>
      </c>
    </row>
    <row r="2258" spans="1:18" x14ac:dyDescent="0.25">
      <c r="A2258">
        <v>467</v>
      </c>
      <c r="B2258" s="1">
        <v>40564</v>
      </c>
      <c r="C2258">
        <v>1</v>
      </c>
      <c r="D2258">
        <v>0</v>
      </c>
      <c r="E2258">
        <v>1</v>
      </c>
      <c r="F2258">
        <v>11</v>
      </c>
      <c r="G2258" t="b">
        <v>0</v>
      </c>
      <c r="H2258">
        <v>5</v>
      </c>
      <c r="I2258">
        <v>1</v>
      </c>
      <c r="J2258">
        <v>0.22</v>
      </c>
      <c r="K2258">
        <v>0.18179999999999999</v>
      </c>
      <c r="L2258">
        <v>0.41</v>
      </c>
      <c r="M2258">
        <v>0.4627</v>
      </c>
      <c r="N2258">
        <v>6</v>
      </c>
      <c r="O2258">
        <v>53</v>
      </c>
      <c r="P2258">
        <v>59</v>
      </c>
      <c r="Q2258">
        <v>466</v>
      </c>
      <c r="R2258">
        <v>467</v>
      </c>
    </row>
    <row r="2259" spans="1:18" x14ac:dyDescent="0.25">
      <c r="A2259">
        <v>468</v>
      </c>
      <c r="B2259" s="1">
        <v>40564</v>
      </c>
      <c r="C2259">
        <v>1</v>
      </c>
      <c r="D2259">
        <v>0</v>
      </c>
      <c r="E2259">
        <v>1</v>
      </c>
      <c r="F2259">
        <v>12</v>
      </c>
      <c r="G2259" t="b">
        <v>0</v>
      </c>
      <c r="H2259">
        <v>5</v>
      </c>
      <c r="I2259">
        <v>1</v>
      </c>
      <c r="J2259">
        <v>0.22</v>
      </c>
      <c r="K2259">
        <v>0.18179999999999999</v>
      </c>
      <c r="L2259">
        <v>0.27</v>
      </c>
      <c r="M2259">
        <v>0.58209999999999995</v>
      </c>
      <c r="N2259">
        <v>11</v>
      </c>
      <c r="O2259">
        <v>67</v>
      </c>
      <c r="P2259">
        <v>78</v>
      </c>
      <c r="Q2259">
        <v>467</v>
      </c>
      <c r="R2259">
        <v>468</v>
      </c>
    </row>
    <row r="2260" spans="1:18" x14ac:dyDescent="0.25">
      <c r="A2260">
        <v>469</v>
      </c>
      <c r="B2260" s="1">
        <v>40564</v>
      </c>
      <c r="C2260">
        <v>1</v>
      </c>
      <c r="D2260">
        <v>0</v>
      </c>
      <c r="E2260">
        <v>1</v>
      </c>
      <c r="F2260">
        <v>13</v>
      </c>
      <c r="G2260" t="b">
        <v>0</v>
      </c>
      <c r="H2260">
        <v>5</v>
      </c>
      <c r="I2260">
        <v>1</v>
      </c>
      <c r="J2260">
        <v>0.2</v>
      </c>
      <c r="K2260">
        <v>0.1515</v>
      </c>
      <c r="L2260">
        <v>0.21</v>
      </c>
      <c r="M2260">
        <v>0.58209999999999995</v>
      </c>
      <c r="N2260">
        <v>8</v>
      </c>
      <c r="O2260">
        <v>65</v>
      </c>
      <c r="P2260">
        <v>73</v>
      </c>
      <c r="Q2260">
        <v>468</v>
      </c>
      <c r="R2260">
        <v>469</v>
      </c>
    </row>
    <row r="2261" spans="1:18" x14ac:dyDescent="0.25">
      <c r="A2261">
        <v>470</v>
      </c>
      <c r="B2261" s="1">
        <v>40564</v>
      </c>
      <c r="C2261">
        <v>1</v>
      </c>
      <c r="D2261">
        <v>0</v>
      </c>
      <c r="E2261">
        <v>1</v>
      </c>
      <c r="F2261">
        <v>14</v>
      </c>
      <c r="G2261" t="b">
        <v>0</v>
      </c>
      <c r="H2261">
        <v>5</v>
      </c>
      <c r="I2261">
        <v>1</v>
      </c>
      <c r="J2261">
        <v>0.2</v>
      </c>
      <c r="K2261">
        <v>0.1515</v>
      </c>
      <c r="L2261">
        <v>0.25</v>
      </c>
      <c r="M2261">
        <v>0.52239999999999998</v>
      </c>
      <c r="N2261">
        <v>6</v>
      </c>
      <c r="O2261">
        <v>56</v>
      </c>
      <c r="P2261">
        <v>62</v>
      </c>
      <c r="Q2261">
        <v>469</v>
      </c>
      <c r="R2261">
        <v>470</v>
      </c>
    </row>
    <row r="2262" spans="1:18" x14ac:dyDescent="0.25">
      <c r="A2262">
        <v>471</v>
      </c>
      <c r="B2262" s="1">
        <v>40564</v>
      </c>
      <c r="C2262">
        <v>1</v>
      </c>
      <c r="D2262">
        <v>0</v>
      </c>
      <c r="E2262">
        <v>1</v>
      </c>
      <c r="F2262">
        <v>15</v>
      </c>
      <c r="G2262" t="b">
        <v>0</v>
      </c>
      <c r="H2262">
        <v>5</v>
      </c>
      <c r="I2262">
        <v>1</v>
      </c>
      <c r="J2262">
        <v>0.16</v>
      </c>
      <c r="K2262">
        <v>0.1212</v>
      </c>
      <c r="L2262">
        <v>0.26</v>
      </c>
      <c r="M2262">
        <v>0.44779999999999998</v>
      </c>
      <c r="N2262">
        <v>4</v>
      </c>
      <c r="O2262">
        <v>61</v>
      </c>
      <c r="P2262">
        <v>65</v>
      </c>
      <c r="Q2262">
        <v>470</v>
      </c>
      <c r="R2262">
        <v>471</v>
      </c>
    </row>
    <row r="2263" spans="1:18" x14ac:dyDescent="0.25">
      <c r="A2263">
        <v>472</v>
      </c>
      <c r="B2263" s="1">
        <v>40564</v>
      </c>
      <c r="C2263">
        <v>1</v>
      </c>
      <c r="D2263">
        <v>0</v>
      </c>
      <c r="E2263">
        <v>1</v>
      </c>
      <c r="F2263">
        <v>16</v>
      </c>
      <c r="G2263" t="b">
        <v>0</v>
      </c>
      <c r="H2263">
        <v>5</v>
      </c>
      <c r="I2263">
        <v>1</v>
      </c>
      <c r="J2263">
        <v>0.16</v>
      </c>
      <c r="K2263">
        <v>0.13639999999999999</v>
      </c>
      <c r="L2263">
        <v>0.26</v>
      </c>
      <c r="M2263">
        <v>0.35820000000000002</v>
      </c>
      <c r="N2263">
        <v>0</v>
      </c>
      <c r="O2263">
        <v>97</v>
      </c>
      <c r="P2263">
        <v>97</v>
      </c>
      <c r="Q2263">
        <v>471</v>
      </c>
      <c r="R2263">
        <v>472</v>
      </c>
    </row>
    <row r="2264" spans="1:18" x14ac:dyDescent="0.25">
      <c r="A2264">
        <v>473</v>
      </c>
      <c r="B2264" s="1">
        <v>40564</v>
      </c>
      <c r="C2264">
        <v>1</v>
      </c>
      <c r="D2264">
        <v>0</v>
      </c>
      <c r="E2264">
        <v>1</v>
      </c>
      <c r="F2264">
        <v>17</v>
      </c>
      <c r="G2264" t="b">
        <v>0</v>
      </c>
      <c r="H2264">
        <v>5</v>
      </c>
      <c r="I2264">
        <v>1</v>
      </c>
      <c r="J2264">
        <v>0.14000000000000001</v>
      </c>
      <c r="K2264">
        <v>0.1212</v>
      </c>
      <c r="L2264">
        <v>0.28000000000000003</v>
      </c>
      <c r="M2264">
        <v>0.35820000000000002</v>
      </c>
      <c r="N2264">
        <v>10</v>
      </c>
      <c r="O2264">
        <v>151</v>
      </c>
      <c r="P2264">
        <v>161</v>
      </c>
      <c r="Q2264">
        <v>472</v>
      </c>
      <c r="R2264">
        <v>473</v>
      </c>
    </row>
    <row r="2265" spans="1:18" x14ac:dyDescent="0.25">
      <c r="A2265">
        <v>474</v>
      </c>
      <c r="B2265" s="1">
        <v>40564</v>
      </c>
      <c r="C2265">
        <v>1</v>
      </c>
      <c r="D2265">
        <v>0</v>
      </c>
      <c r="E2265">
        <v>1</v>
      </c>
      <c r="F2265">
        <v>18</v>
      </c>
      <c r="G2265" t="b">
        <v>0</v>
      </c>
      <c r="H2265">
        <v>5</v>
      </c>
      <c r="I2265">
        <v>1</v>
      </c>
      <c r="J2265">
        <v>0.12</v>
      </c>
      <c r="K2265">
        <v>0.1212</v>
      </c>
      <c r="L2265">
        <v>0.3</v>
      </c>
      <c r="M2265">
        <v>0.25369999999999998</v>
      </c>
      <c r="N2265">
        <v>1</v>
      </c>
      <c r="O2265">
        <v>119</v>
      </c>
      <c r="P2265">
        <v>120</v>
      </c>
      <c r="Q2265">
        <v>473</v>
      </c>
      <c r="R2265">
        <v>474</v>
      </c>
    </row>
    <row r="2266" spans="1:18" x14ac:dyDescent="0.25">
      <c r="A2266">
        <v>475</v>
      </c>
      <c r="B2266" s="1">
        <v>40564</v>
      </c>
      <c r="C2266">
        <v>1</v>
      </c>
      <c r="D2266">
        <v>0</v>
      </c>
      <c r="E2266">
        <v>1</v>
      </c>
      <c r="F2266">
        <v>19</v>
      </c>
      <c r="G2266" t="b">
        <v>0</v>
      </c>
      <c r="H2266">
        <v>5</v>
      </c>
      <c r="I2266">
        <v>1</v>
      </c>
      <c r="J2266">
        <v>0.12</v>
      </c>
      <c r="K2266">
        <v>0.1061</v>
      </c>
      <c r="L2266">
        <v>0.3</v>
      </c>
      <c r="M2266">
        <v>0.32840000000000003</v>
      </c>
      <c r="N2266">
        <v>3</v>
      </c>
      <c r="O2266">
        <v>93</v>
      </c>
      <c r="P2266">
        <v>96</v>
      </c>
      <c r="Q2266">
        <v>474</v>
      </c>
      <c r="R2266">
        <v>475</v>
      </c>
    </row>
    <row r="2267" spans="1:18" x14ac:dyDescent="0.25">
      <c r="A2267">
        <v>476</v>
      </c>
      <c r="B2267" s="1">
        <v>40564</v>
      </c>
      <c r="C2267">
        <v>1</v>
      </c>
      <c r="D2267">
        <v>0</v>
      </c>
      <c r="E2267">
        <v>1</v>
      </c>
      <c r="F2267">
        <v>20</v>
      </c>
      <c r="G2267" t="b">
        <v>0</v>
      </c>
      <c r="H2267">
        <v>5</v>
      </c>
      <c r="I2267">
        <v>1</v>
      </c>
      <c r="J2267">
        <v>0.1</v>
      </c>
      <c r="K2267">
        <v>7.5800000000000006E-2</v>
      </c>
      <c r="L2267">
        <v>0.33</v>
      </c>
      <c r="M2267">
        <v>0.41789999999999999</v>
      </c>
      <c r="N2267">
        <v>1</v>
      </c>
      <c r="O2267">
        <v>52</v>
      </c>
      <c r="P2267">
        <v>53</v>
      </c>
      <c r="Q2267">
        <v>475</v>
      </c>
      <c r="R2267">
        <v>476</v>
      </c>
    </row>
    <row r="2268" spans="1:18" x14ac:dyDescent="0.25">
      <c r="A2268">
        <v>477</v>
      </c>
      <c r="B2268" s="1">
        <v>40564</v>
      </c>
      <c r="C2268">
        <v>1</v>
      </c>
      <c r="D2268">
        <v>0</v>
      </c>
      <c r="E2268">
        <v>1</v>
      </c>
      <c r="F2268">
        <v>21</v>
      </c>
      <c r="G2268" t="b">
        <v>0</v>
      </c>
      <c r="H2268">
        <v>5</v>
      </c>
      <c r="I2268">
        <v>1</v>
      </c>
      <c r="J2268">
        <v>0.08</v>
      </c>
      <c r="K2268">
        <v>7.5800000000000006E-2</v>
      </c>
      <c r="L2268">
        <v>0.38</v>
      </c>
      <c r="M2268">
        <v>0.28360000000000002</v>
      </c>
      <c r="N2268">
        <v>0</v>
      </c>
      <c r="O2268">
        <v>41</v>
      </c>
      <c r="P2268">
        <v>41</v>
      </c>
      <c r="Q2268">
        <v>476</v>
      </c>
      <c r="R2268">
        <v>477</v>
      </c>
    </row>
    <row r="2269" spans="1:18" x14ac:dyDescent="0.25">
      <c r="A2269">
        <v>478</v>
      </c>
      <c r="B2269" s="1">
        <v>40564</v>
      </c>
      <c r="C2269">
        <v>1</v>
      </c>
      <c r="D2269">
        <v>0</v>
      </c>
      <c r="E2269">
        <v>1</v>
      </c>
      <c r="F2269">
        <v>22</v>
      </c>
      <c r="G2269" t="b">
        <v>0</v>
      </c>
      <c r="H2269">
        <v>5</v>
      </c>
      <c r="I2269">
        <v>1</v>
      </c>
      <c r="J2269">
        <v>0.06</v>
      </c>
      <c r="K2269">
        <v>3.0300000000000001E-2</v>
      </c>
      <c r="L2269">
        <v>0.41</v>
      </c>
      <c r="M2269">
        <v>0.3881</v>
      </c>
      <c r="N2269">
        <v>1</v>
      </c>
      <c r="O2269">
        <v>33</v>
      </c>
      <c r="P2269">
        <v>34</v>
      </c>
      <c r="Q2269">
        <v>477</v>
      </c>
      <c r="R2269">
        <v>478</v>
      </c>
    </row>
    <row r="2270" spans="1:18" x14ac:dyDescent="0.25">
      <c r="A2270">
        <v>479</v>
      </c>
      <c r="B2270" s="1">
        <v>40564</v>
      </c>
      <c r="C2270">
        <v>1</v>
      </c>
      <c r="D2270">
        <v>0</v>
      </c>
      <c r="E2270">
        <v>1</v>
      </c>
      <c r="F2270">
        <v>23</v>
      </c>
      <c r="G2270" t="b">
        <v>0</v>
      </c>
      <c r="H2270">
        <v>5</v>
      </c>
      <c r="I2270">
        <v>1</v>
      </c>
      <c r="J2270">
        <v>0.06</v>
      </c>
      <c r="K2270">
        <v>4.5499999999999999E-2</v>
      </c>
      <c r="L2270">
        <v>0.38</v>
      </c>
      <c r="M2270">
        <v>0.32840000000000003</v>
      </c>
      <c r="N2270">
        <v>0</v>
      </c>
      <c r="O2270">
        <v>27</v>
      </c>
      <c r="P2270">
        <v>27</v>
      </c>
      <c r="Q2270">
        <v>478</v>
      </c>
      <c r="R2270">
        <v>479</v>
      </c>
    </row>
    <row r="2271" spans="1:18" x14ac:dyDescent="0.25">
      <c r="A2271">
        <v>480</v>
      </c>
      <c r="B2271" s="1">
        <v>40565</v>
      </c>
      <c r="C2271">
        <v>1</v>
      </c>
      <c r="D2271">
        <v>0</v>
      </c>
      <c r="E2271">
        <v>1</v>
      </c>
      <c r="F2271">
        <v>0</v>
      </c>
      <c r="G2271" t="b">
        <v>0</v>
      </c>
      <c r="H2271">
        <v>6</v>
      </c>
      <c r="I2271">
        <v>1</v>
      </c>
      <c r="J2271">
        <v>0.04</v>
      </c>
      <c r="K2271">
        <v>3.0300000000000001E-2</v>
      </c>
      <c r="L2271">
        <v>0.45</v>
      </c>
      <c r="M2271">
        <v>0.25369999999999998</v>
      </c>
      <c r="N2271">
        <v>0</v>
      </c>
      <c r="O2271">
        <v>13</v>
      </c>
      <c r="P2271">
        <v>13</v>
      </c>
      <c r="Q2271">
        <v>479</v>
      </c>
      <c r="R2271">
        <v>480</v>
      </c>
    </row>
    <row r="2272" spans="1:18" x14ac:dyDescent="0.25">
      <c r="A2272">
        <v>481</v>
      </c>
      <c r="B2272" s="1">
        <v>40565</v>
      </c>
      <c r="C2272">
        <v>1</v>
      </c>
      <c r="D2272">
        <v>0</v>
      </c>
      <c r="E2272">
        <v>1</v>
      </c>
      <c r="F2272">
        <v>1</v>
      </c>
      <c r="G2272" t="b">
        <v>0</v>
      </c>
      <c r="H2272">
        <v>6</v>
      </c>
      <c r="I2272">
        <v>2</v>
      </c>
      <c r="J2272">
        <v>0.04</v>
      </c>
      <c r="K2272">
        <v>0</v>
      </c>
      <c r="L2272">
        <v>0.41</v>
      </c>
      <c r="M2272">
        <v>0.3881</v>
      </c>
      <c r="N2272">
        <v>3</v>
      </c>
      <c r="O2272">
        <v>9</v>
      </c>
      <c r="P2272">
        <v>12</v>
      </c>
      <c r="Q2272">
        <v>480</v>
      </c>
      <c r="R2272">
        <v>481</v>
      </c>
    </row>
    <row r="2273" spans="1:18" x14ac:dyDescent="0.25">
      <c r="A2273">
        <v>482</v>
      </c>
      <c r="B2273" s="1">
        <v>40565</v>
      </c>
      <c r="C2273">
        <v>1</v>
      </c>
      <c r="D2273">
        <v>0</v>
      </c>
      <c r="E2273">
        <v>1</v>
      </c>
      <c r="F2273">
        <v>2</v>
      </c>
      <c r="G2273" t="b">
        <v>0</v>
      </c>
      <c r="H2273">
        <v>6</v>
      </c>
      <c r="I2273">
        <v>2</v>
      </c>
      <c r="J2273">
        <v>0.04</v>
      </c>
      <c r="K2273">
        <v>3.0300000000000001E-2</v>
      </c>
      <c r="L2273">
        <v>0.41</v>
      </c>
      <c r="M2273">
        <v>0.25369999999999998</v>
      </c>
      <c r="N2273">
        <v>0</v>
      </c>
      <c r="O2273">
        <v>11</v>
      </c>
      <c r="P2273">
        <v>11</v>
      </c>
      <c r="Q2273">
        <v>481</v>
      </c>
      <c r="R2273">
        <v>482</v>
      </c>
    </row>
    <row r="2274" spans="1:18" x14ac:dyDescent="0.25">
      <c r="A2274">
        <v>483</v>
      </c>
      <c r="B2274" s="1">
        <v>40565</v>
      </c>
      <c r="C2274">
        <v>1</v>
      </c>
      <c r="D2274">
        <v>0</v>
      </c>
      <c r="E2274">
        <v>1</v>
      </c>
      <c r="F2274">
        <v>3</v>
      </c>
      <c r="G2274" t="b">
        <v>0</v>
      </c>
      <c r="H2274">
        <v>6</v>
      </c>
      <c r="I2274">
        <v>2</v>
      </c>
      <c r="J2274">
        <v>0.04</v>
      </c>
      <c r="K2274">
        <v>3.0300000000000001E-2</v>
      </c>
      <c r="L2274">
        <v>0.41</v>
      </c>
      <c r="M2274">
        <v>0.28360000000000002</v>
      </c>
      <c r="N2274">
        <v>1</v>
      </c>
      <c r="O2274">
        <v>6</v>
      </c>
      <c r="P2274">
        <v>7</v>
      </c>
      <c r="Q2274">
        <v>482</v>
      </c>
      <c r="R2274">
        <v>483</v>
      </c>
    </row>
    <row r="2275" spans="1:18" x14ac:dyDescent="0.25">
      <c r="A2275">
        <v>484</v>
      </c>
      <c r="B2275" s="1">
        <v>40565</v>
      </c>
      <c r="C2275">
        <v>1</v>
      </c>
      <c r="D2275">
        <v>0</v>
      </c>
      <c r="E2275">
        <v>1</v>
      </c>
      <c r="F2275">
        <v>4</v>
      </c>
      <c r="G2275" t="b">
        <v>0</v>
      </c>
      <c r="H2275">
        <v>6</v>
      </c>
      <c r="I2275">
        <v>2</v>
      </c>
      <c r="J2275">
        <v>0.02</v>
      </c>
      <c r="K2275">
        <v>1.52E-2</v>
      </c>
      <c r="L2275">
        <v>0.48</v>
      </c>
      <c r="M2275">
        <v>0.29849999999999999</v>
      </c>
      <c r="N2275">
        <v>0</v>
      </c>
      <c r="O2275">
        <v>3</v>
      </c>
      <c r="P2275">
        <v>3</v>
      </c>
      <c r="Q2275">
        <v>483</v>
      </c>
      <c r="R2275">
        <v>484</v>
      </c>
    </row>
    <row r="2276" spans="1:18" x14ac:dyDescent="0.25">
      <c r="A2276">
        <v>485</v>
      </c>
      <c r="B2276" s="1">
        <v>40565</v>
      </c>
      <c r="C2276">
        <v>1</v>
      </c>
      <c r="D2276">
        <v>0</v>
      </c>
      <c r="E2276">
        <v>1</v>
      </c>
      <c r="F2276">
        <v>6</v>
      </c>
      <c r="G2276" t="b">
        <v>0</v>
      </c>
      <c r="H2276">
        <v>6</v>
      </c>
      <c r="I2276">
        <v>2</v>
      </c>
      <c r="J2276">
        <v>0.02</v>
      </c>
      <c r="K2276">
        <v>3.0300000000000001E-2</v>
      </c>
      <c r="L2276">
        <v>0.44</v>
      </c>
      <c r="M2276">
        <v>0.22389999999999999</v>
      </c>
      <c r="N2276">
        <v>0</v>
      </c>
      <c r="O2276">
        <v>2</v>
      </c>
      <c r="P2276">
        <v>2</v>
      </c>
      <c r="Q2276">
        <v>484</v>
      </c>
      <c r="R2276">
        <v>485</v>
      </c>
    </row>
    <row r="2277" spans="1:18" x14ac:dyDescent="0.25">
      <c r="A2277">
        <v>486</v>
      </c>
      <c r="B2277" s="1">
        <v>40565</v>
      </c>
      <c r="C2277">
        <v>1</v>
      </c>
      <c r="D2277">
        <v>0</v>
      </c>
      <c r="E2277">
        <v>1</v>
      </c>
      <c r="F2277">
        <v>7</v>
      </c>
      <c r="G2277" t="b">
        <v>0</v>
      </c>
      <c r="H2277">
        <v>6</v>
      </c>
      <c r="I2277">
        <v>1</v>
      </c>
      <c r="J2277">
        <v>0.02</v>
      </c>
      <c r="K2277">
        <v>1.52E-2</v>
      </c>
      <c r="L2277">
        <v>0.44</v>
      </c>
      <c r="M2277">
        <v>0.28360000000000002</v>
      </c>
      <c r="N2277">
        <v>0</v>
      </c>
      <c r="O2277">
        <v>8</v>
      </c>
      <c r="P2277">
        <v>8</v>
      </c>
      <c r="Q2277">
        <v>485</v>
      </c>
      <c r="R2277">
        <v>486</v>
      </c>
    </row>
    <row r="2278" spans="1:18" x14ac:dyDescent="0.25">
      <c r="A2278">
        <v>487</v>
      </c>
      <c r="B2278" s="1">
        <v>40565</v>
      </c>
      <c r="C2278">
        <v>1</v>
      </c>
      <c r="D2278">
        <v>0</v>
      </c>
      <c r="E2278">
        <v>1</v>
      </c>
      <c r="F2278">
        <v>8</v>
      </c>
      <c r="G2278" t="b">
        <v>0</v>
      </c>
      <c r="H2278">
        <v>6</v>
      </c>
      <c r="I2278">
        <v>1</v>
      </c>
      <c r="J2278">
        <v>0.02</v>
      </c>
      <c r="K2278">
        <v>0</v>
      </c>
      <c r="L2278">
        <v>0.44</v>
      </c>
      <c r="M2278">
        <v>0.32840000000000003</v>
      </c>
      <c r="N2278">
        <v>1</v>
      </c>
      <c r="O2278">
        <v>26</v>
      </c>
      <c r="P2278">
        <v>27</v>
      </c>
      <c r="Q2278">
        <v>486</v>
      </c>
      <c r="R2278">
        <v>487</v>
      </c>
    </row>
    <row r="2279" spans="1:18" x14ac:dyDescent="0.25">
      <c r="A2279">
        <v>488</v>
      </c>
      <c r="B2279" s="1">
        <v>40565</v>
      </c>
      <c r="C2279">
        <v>1</v>
      </c>
      <c r="D2279">
        <v>0</v>
      </c>
      <c r="E2279">
        <v>1</v>
      </c>
      <c r="F2279">
        <v>9</v>
      </c>
      <c r="G2279" t="b">
        <v>0</v>
      </c>
      <c r="H2279">
        <v>6</v>
      </c>
      <c r="I2279">
        <v>1</v>
      </c>
      <c r="J2279">
        <v>0.04</v>
      </c>
      <c r="K2279">
        <v>3.0300000000000001E-2</v>
      </c>
      <c r="L2279">
        <v>0.41</v>
      </c>
      <c r="M2279">
        <v>0.25369999999999998</v>
      </c>
      <c r="N2279">
        <v>3</v>
      </c>
      <c r="O2279">
        <v>37</v>
      </c>
      <c r="P2279">
        <v>40</v>
      </c>
      <c r="Q2279">
        <v>487</v>
      </c>
      <c r="R2279">
        <v>488</v>
      </c>
    </row>
    <row r="2280" spans="1:18" x14ac:dyDescent="0.25">
      <c r="A2280">
        <v>489</v>
      </c>
      <c r="B2280" s="1">
        <v>40565</v>
      </c>
      <c r="C2280">
        <v>1</v>
      </c>
      <c r="D2280">
        <v>0</v>
      </c>
      <c r="E2280">
        <v>1</v>
      </c>
      <c r="F2280">
        <v>10</v>
      </c>
      <c r="G2280" t="b">
        <v>0</v>
      </c>
      <c r="H2280">
        <v>6</v>
      </c>
      <c r="I2280">
        <v>2</v>
      </c>
      <c r="J2280">
        <v>0.04</v>
      </c>
      <c r="K2280">
        <v>6.0600000000000001E-2</v>
      </c>
      <c r="L2280">
        <v>0.41</v>
      </c>
      <c r="M2280">
        <v>0.16420000000000001</v>
      </c>
      <c r="N2280">
        <v>3</v>
      </c>
      <c r="O2280">
        <v>50</v>
      </c>
      <c r="P2280">
        <v>53</v>
      </c>
      <c r="Q2280">
        <v>488</v>
      </c>
      <c r="R2280">
        <v>489</v>
      </c>
    </row>
    <row r="2281" spans="1:18" x14ac:dyDescent="0.25">
      <c r="A2281">
        <v>490</v>
      </c>
      <c r="B2281" s="1">
        <v>40565</v>
      </c>
      <c r="C2281">
        <v>1</v>
      </c>
      <c r="D2281">
        <v>0</v>
      </c>
      <c r="E2281">
        <v>1</v>
      </c>
      <c r="F2281">
        <v>11</v>
      </c>
      <c r="G2281" t="b">
        <v>0</v>
      </c>
      <c r="H2281">
        <v>6</v>
      </c>
      <c r="I2281">
        <v>2</v>
      </c>
      <c r="J2281">
        <v>0.06</v>
      </c>
      <c r="K2281">
        <v>7.5800000000000006E-2</v>
      </c>
      <c r="L2281">
        <v>0.38</v>
      </c>
      <c r="M2281">
        <v>0.1343</v>
      </c>
      <c r="N2281">
        <v>4</v>
      </c>
      <c r="O2281">
        <v>59</v>
      </c>
      <c r="P2281">
        <v>63</v>
      </c>
      <c r="Q2281">
        <v>489</v>
      </c>
      <c r="R2281">
        <v>490</v>
      </c>
    </row>
    <row r="2282" spans="1:18" x14ac:dyDescent="0.25">
      <c r="A2282">
        <v>491</v>
      </c>
      <c r="B2282" s="1">
        <v>40565</v>
      </c>
      <c r="C2282">
        <v>1</v>
      </c>
      <c r="D2282">
        <v>0</v>
      </c>
      <c r="E2282">
        <v>1</v>
      </c>
      <c r="F2282">
        <v>12</v>
      </c>
      <c r="G2282" t="b">
        <v>0</v>
      </c>
      <c r="H2282">
        <v>6</v>
      </c>
      <c r="I2282">
        <v>2</v>
      </c>
      <c r="J2282">
        <v>0.06</v>
      </c>
      <c r="K2282">
        <v>0.1061</v>
      </c>
      <c r="L2282">
        <v>0.38</v>
      </c>
      <c r="M2282">
        <v>0.1045</v>
      </c>
      <c r="N2282">
        <v>10</v>
      </c>
      <c r="O2282">
        <v>60</v>
      </c>
      <c r="P2282">
        <v>70</v>
      </c>
      <c r="Q2282">
        <v>490</v>
      </c>
      <c r="R2282">
        <v>491</v>
      </c>
    </row>
    <row r="2283" spans="1:18" x14ac:dyDescent="0.25">
      <c r="A2283">
        <v>492</v>
      </c>
      <c r="B2283" s="1">
        <v>40565</v>
      </c>
      <c r="C2283">
        <v>1</v>
      </c>
      <c r="D2283">
        <v>0</v>
      </c>
      <c r="E2283">
        <v>1</v>
      </c>
      <c r="F2283">
        <v>13</v>
      </c>
      <c r="G2283" t="b">
        <v>0</v>
      </c>
      <c r="H2283">
        <v>6</v>
      </c>
      <c r="I2283">
        <v>1</v>
      </c>
      <c r="J2283">
        <v>0.08</v>
      </c>
      <c r="K2283">
        <v>0.16669999999999999</v>
      </c>
      <c r="L2283">
        <v>0.35</v>
      </c>
      <c r="M2283">
        <v>0</v>
      </c>
      <c r="N2283">
        <v>12</v>
      </c>
      <c r="O2283">
        <v>72</v>
      </c>
      <c r="P2283">
        <v>84</v>
      </c>
      <c r="Q2283">
        <v>491</v>
      </c>
      <c r="R2283">
        <v>492</v>
      </c>
    </row>
    <row r="2284" spans="1:18" x14ac:dyDescent="0.25">
      <c r="A2284">
        <v>493</v>
      </c>
      <c r="B2284" s="1">
        <v>40565</v>
      </c>
      <c r="C2284">
        <v>1</v>
      </c>
      <c r="D2284">
        <v>0</v>
      </c>
      <c r="E2284">
        <v>1</v>
      </c>
      <c r="F2284">
        <v>14</v>
      </c>
      <c r="G2284" t="b">
        <v>0</v>
      </c>
      <c r="H2284">
        <v>6</v>
      </c>
      <c r="I2284">
        <v>1</v>
      </c>
      <c r="J2284">
        <v>0.1</v>
      </c>
      <c r="K2284">
        <v>0.13639999999999999</v>
      </c>
      <c r="L2284">
        <v>0.33</v>
      </c>
      <c r="M2284">
        <v>0.1045</v>
      </c>
      <c r="N2284">
        <v>11</v>
      </c>
      <c r="O2284">
        <v>64</v>
      </c>
      <c r="P2284">
        <v>75</v>
      </c>
      <c r="Q2284">
        <v>492</v>
      </c>
      <c r="R2284">
        <v>493</v>
      </c>
    </row>
    <row r="2285" spans="1:18" x14ac:dyDescent="0.25">
      <c r="A2285">
        <v>494</v>
      </c>
      <c r="B2285" s="1">
        <v>40565</v>
      </c>
      <c r="C2285">
        <v>1</v>
      </c>
      <c r="D2285">
        <v>0</v>
      </c>
      <c r="E2285">
        <v>1</v>
      </c>
      <c r="F2285">
        <v>15</v>
      </c>
      <c r="G2285" t="b">
        <v>0</v>
      </c>
      <c r="H2285">
        <v>6</v>
      </c>
      <c r="I2285">
        <v>1</v>
      </c>
      <c r="J2285">
        <v>0.12</v>
      </c>
      <c r="K2285">
        <v>0.1515</v>
      </c>
      <c r="L2285">
        <v>0.28000000000000003</v>
      </c>
      <c r="M2285">
        <v>0</v>
      </c>
      <c r="N2285">
        <v>10</v>
      </c>
      <c r="O2285">
        <v>93</v>
      </c>
      <c r="P2285">
        <v>103</v>
      </c>
      <c r="Q2285">
        <v>493</v>
      </c>
      <c r="R2285">
        <v>494</v>
      </c>
    </row>
    <row r="2286" spans="1:18" x14ac:dyDescent="0.25">
      <c r="A2286">
        <v>495</v>
      </c>
      <c r="B2286" s="1">
        <v>40565</v>
      </c>
      <c r="C2286">
        <v>1</v>
      </c>
      <c r="D2286">
        <v>0</v>
      </c>
      <c r="E2286">
        <v>1</v>
      </c>
      <c r="F2286">
        <v>16</v>
      </c>
      <c r="G2286" t="b">
        <v>0</v>
      </c>
      <c r="H2286">
        <v>6</v>
      </c>
      <c r="I2286">
        <v>1</v>
      </c>
      <c r="J2286">
        <v>0.12</v>
      </c>
      <c r="K2286">
        <v>0.13639999999999999</v>
      </c>
      <c r="L2286">
        <v>0.28000000000000003</v>
      </c>
      <c r="M2286">
        <v>0.19400000000000001</v>
      </c>
      <c r="N2286">
        <v>11</v>
      </c>
      <c r="O2286">
        <v>72</v>
      </c>
      <c r="P2286">
        <v>83</v>
      </c>
      <c r="Q2286">
        <v>494</v>
      </c>
      <c r="R2286">
        <v>495</v>
      </c>
    </row>
    <row r="2287" spans="1:18" x14ac:dyDescent="0.25">
      <c r="A2287">
        <v>496</v>
      </c>
      <c r="B2287" s="1">
        <v>40565</v>
      </c>
      <c r="C2287">
        <v>1</v>
      </c>
      <c r="D2287">
        <v>0</v>
      </c>
      <c r="E2287">
        <v>1</v>
      </c>
      <c r="F2287">
        <v>17</v>
      </c>
      <c r="G2287" t="b">
        <v>0</v>
      </c>
      <c r="H2287">
        <v>6</v>
      </c>
      <c r="I2287">
        <v>1</v>
      </c>
      <c r="J2287">
        <v>0.12</v>
      </c>
      <c r="K2287">
        <v>0.19700000000000001</v>
      </c>
      <c r="L2287">
        <v>0.28000000000000003</v>
      </c>
      <c r="M2287">
        <v>0</v>
      </c>
      <c r="N2287">
        <v>8</v>
      </c>
      <c r="O2287">
        <v>59</v>
      </c>
      <c r="P2287">
        <v>67</v>
      </c>
      <c r="Q2287">
        <v>495</v>
      </c>
      <c r="R2287">
        <v>496</v>
      </c>
    </row>
    <row r="2288" spans="1:18" x14ac:dyDescent="0.25">
      <c r="A2288">
        <v>497</v>
      </c>
      <c r="B2288" s="1">
        <v>40565</v>
      </c>
      <c r="C2288">
        <v>1</v>
      </c>
      <c r="D2288">
        <v>0</v>
      </c>
      <c r="E2288">
        <v>1</v>
      </c>
      <c r="F2288">
        <v>18</v>
      </c>
      <c r="G2288" t="b">
        <v>0</v>
      </c>
      <c r="H2288">
        <v>6</v>
      </c>
      <c r="I2288">
        <v>1</v>
      </c>
      <c r="J2288">
        <v>0.08</v>
      </c>
      <c r="K2288">
        <v>9.0899999999999995E-2</v>
      </c>
      <c r="L2288">
        <v>0.35</v>
      </c>
      <c r="M2288">
        <v>0.19400000000000001</v>
      </c>
      <c r="N2288">
        <v>0</v>
      </c>
      <c r="O2288">
        <v>54</v>
      </c>
      <c r="P2288">
        <v>54</v>
      </c>
      <c r="Q2288">
        <v>496</v>
      </c>
      <c r="R2288">
        <v>497</v>
      </c>
    </row>
    <row r="2289" spans="1:18" x14ac:dyDescent="0.25">
      <c r="A2289">
        <v>498</v>
      </c>
      <c r="B2289" s="1">
        <v>40565</v>
      </c>
      <c r="C2289">
        <v>1</v>
      </c>
      <c r="D2289">
        <v>0</v>
      </c>
      <c r="E2289">
        <v>1</v>
      </c>
      <c r="F2289">
        <v>19</v>
      </c>
      <c r="G2289" t="b">
        <v>0</v>
      </c>
      <c r="H2289">
        <v>6</v>
      </c>
      <c r="I2289">
        <v>1</v>
      </c>
      <c r="J2289">
        <v>0.08</v>
      </c>
      <c r="K2289">
        <v>0.1061</v>
      </c>
      <c r="L2289">
        <v>0.35</v>
      </c>
      <c r="M2289">
        <v>0.1343</v>
      </c>
      <c r="N2289">
        <v>6</v>
      </c>
      <c r="O2289">
        <v>53</v>
      </c>
      <c r="P2289">
        <v>59</v>
      </c>
      <c r="Q2289">
        <v>497</v>
      </c>
      <c r="R2289">
        <v>498</v>
      </c>
    </row>
    <row r="2290" spans="1:18" x14ac:dyDescent="0.25">
      <c r="A2290">
        <v>499</v>
      </c>
      <c r="B2290" s="1">
        <v>40565</v>
      </c>
      <c r="C2290">
        <v>1</v>
      </c>
      <c r="D2290">
        <v>0</v>
      </c>
      <c r="E2290">
        <v>1</v>
      </c>
      <c r="F2290">
        <v>20</v>
      </c>
      <c r="G2290" t="b">
        <v>0</v>
      </c>
      <c r="H2290">
        <v>6</v>
      </c>
      <c r="I2290">
        <v>1</v>
      </c>
      <c r="J2290">
        <v>0.06</v>
      </c>
      <c r="K2290">
        <v>7.5800000000000006E-2</v>
      </c>
      <c r="L2290">
        <v>0.45</v>
      </c>
      <c r="M2290">
        <v>0.16420000000000001</v>
      </c>
      <c r="N2290">
        <v>1</v>
      </c>
      <c r="O2290">
        <v>44</v>
      </c>
      <c r="P2290">
        <v>45</v>
      </c>
      <c r="Q2290">
        <v>498</v>
      </c>
      <c r="R2290">
        <v>499</v>
      </c>
    </row>
    <row r="2291" spans="1:18" x14ac:dyDescent="0.25">
      <c r="A2291">
        <v>500</v>
      </c>
      <c r="B2291" s="1">
        <v>40565</v>
      </c>
      <c r="C2291">
        <v>1</v>
      </c>
      <c r="D2291">
        <v>0</v>
      </c>
      <c r="E2291">
        <v>1</v>
      </c>
      <c r="F2291">
        <v>21</v>
      </c>
      <c r="G2291" t="b">
        <v>0</v>
      </c>
      <c r="H2291">
        <v>6</v>
      </c>
      <c r="I2291">
        <v>1</v>
      </c>
      <c r="J2291">
        <v>0.06</v>
      </c>
      <c r="K2291">
        <v>0.1061</v>
      </c>
      <c r="L2291">
        <v>0.41</v>
      </c>
      <c r="M2291">
        <v>8.9599999999999999E-2</v>
      </c>
      <c r="N2291">
        <v>0</v>
      </c>
      <c r="O2291">
        <v>39</v>
      </c>
      <c r="P2291">
        <v>39</v>
      </c>
      <c r="Q2291">
        <v>499</v>
      </c>
      <c r="R2291">
        <v>500</v>
      </c>
    </row>
    <row r="2292" spans="1:18" x14ac:dyDescent="0.25">
      <c r="A2292">
        <v>501</v>
      </c>
      <c r="B2292" s="1">
        <v>40565</v>
      </c>
      <c r="C2292">
        <v>1</v>
      </c>
      <c r="D2292">
        <v>0</v>
      </c>
      <c r="E2292">
        <v>1</v>
      </c>
      <c r="F2292">
        <v>22</v>
      </c>
      <c r="G2292" t="b">
        <v>0</v>
      </c>
      <c r="H2292">
        <v>6</v>
      </c>
      <c r="I2292">
        <v>1</v>
      </c>
      <c r="J2292">
        <v>0.06</v>
      </c>
      <c r="K2292">
        <v>0.1515</v>
      </c>
      <c r="L2292">
        <v>0.49</v>
      </c>
      <c r="M2292">
        <v>0</v>
      </c>
      <c r="N2292">
        <v>7</v>
      </c>
      <c r="O2292">
        <v>23</v>
      </c>
      <c r="P2292">
        <v>30</v>
      </c>
      <c r="Q2292">
        <v>500</v>
      </c>
      <c r="R2292">
        <v>501</v>
      </c>
    </row>
    <row r="2293" spans="1:18" x14ac:dyDescent="0.25">
      <c r="A2293">
        <v>502</v>
      </c>
      <c r="B2293" s="1">
        <v>40565</v>
      </c>
      <c r="C2293">
        <v>1</v>
      </c>
      <c r="D2293">
        <v>0</v>
      </c>
      <c r="E2293">
        <v>1</v>
      </c>
      <c r="F2293">
        <v>23</v>
      </c>
      <c r="G2293" t="b">
        <v>0</v>
      </c>
      <c r="H2293">
        <v>6</v>
      </c>
      <c r="I2293">
        <v>1</v>
      </c>
      <c r="J2293">
        <v>0.04</v>
      </c>
      <c r="K2293">
        <v>7.5800000000000006E-2</v>
      </c>
      <c r="L2293">
        <v>0.56999999999999995</v>
      </c>
      <c r="M2293">
        <v>0.1045</v>
      </c>
      <c r="N2293">
        <v>2</v>
      </c>
      <c r="O2293">
        <v>31</v>
      </c>
      <c r="P2293">
        <v>33</v>
      </c>
      <c r="Q2293">
        <v>501</v>
      </c>
      <c r="R2293">
        <v>502</v>
      </c>
    </row>
    <row r="2294" spans="1:18" x14ac:dyDescent="0.25">
      <c r="A2294">
        <v>503</v>
      </c>
      <c r="B2294" s="1">
        <v>40566</v>
      </c>
      <c r="C2294">
        <v>1</v>
      </c>
      <c r="D2294">
        <v>0</v>
      </c>
      <c r="E2294">
        <v>1</v>
      </c>
      <c r="F2294">
        <v>0</v>
      </c>
      <c r="G2294" t="b">
        <v>0</v>
      </c>
      <c r="H2294">
        <v>0</v>
      </c>
      <c r="I2294">
        <v>1</v>
      </c>
      <c r="J2294">
        <v>0.04</v>
      </c>
      <c r="K2294">
        <v>7.5800000000000006E-2</v>
      </c>
      <c r="L2294">
        <v>0.56999999999999995</v>
      </c>
      <c r="M2294">
        <v>0.1045</v>
      </c>
      <c r="N2294">
        <v>2</v>
      </c>
      <c r="O2294">
        <v>20</v>
      </c>
      <c r="P2294">
        <v>22</v>
      </c>
      <c r="Q2294">
        <v>502</v>
      </c>
      <c r="R2294">
        <v>503</v>
      </c>
    </row>
    <row r="2295" spans="1:18" x14ac:dyDescent="0.25">
      <c r="A2295">
        <v>504</v>
      </c>
      <c r="B2295" s="1">
        <v>40566</v>
      </c>
      <c r="C2295">
        <v>1</v>
      </c>
      <c r="D2295">
        <v>0</v>
      </c>
      <c r="E2295">
        <v>1</v>
      </c>
      <c r="F2295">
        <v>1</v>
      </c>
      <c r="G2295" t="b">
        <v>0</v>
      </c>
      <c r="H2295">
        <v>0</v>
      </c>
      <c r="I2295">
        <v>1</v>
      </c>
      <c r="J2295">
        <v>0.04</v>
      </c>
      <c r="K2295">
        <v>7.5800000000000006E-2</v>
      </c>
      <c r="L2295">
        <v>0.56999999999999995</v>
      </c>
      <c r="M2295">
        <v>0.1045</v>
      </c>
      <c r="N2295">
        <v>1</v>
      </c>
      <c r="O2295">
        <v>12</v>
      </c>
      <c r="P2295">
        <v>13</v>
      </c>
      <c r="Q2295">
        <v>503</v>
      </c>
      <c r="R2295">
        <v>504</v>
      </c>
    </row>
    <row r="2296" spans="1:18" x14ac:dyDescent="0.25">
      <c r="A2296">
        <v>505</v>
      </c>
      <c r="B2296" s="1">
        <v>40566</v>
      </c>
      <c r="C2296">
        <v>1</v>
      </c>
      <c r="D2296">
        <v>0</v>
      </c>
      <c r="E2296">
        <v>1</v>
      </c>
      <c r="F2296">
        <v>2</v>
      </c>
      <c r="G2296" t="b">
        <v>0</v>
      </c>
      <c r="H2296">
        <v>0</v>
      </c>
      <c r="I2296">
        <v>1</v>
      </c>
      <c r="J2296">
        <v>0.02</v>
      </c>
      <c r="K2296">
        <v>6.0600000000000001E-2</v>
      </c>
      <c r="L2296">
        <v>0.62</v>
      </c>
      <c r="M2296">
        <v>0.1343</v>
      </c>
      <c r="N2296">
        <v>3</v>
      </c>
      <c r="O2296">
        <v>15</v>
      </c>
      <c r="P2296">
        <v>18</v>
      </c>
      <c r="Q2296">
        <v>504</v>
      </c>
      <c r="R2296">
        <v>505</v>
      </c>
    </row>
    <row r="2297" spans="1:18" x14ac:dyDescent="0.25">
      <c r="A2297">
        <v>506</v>
      </c>
      <c r="B2297" s="1">
        <v>40566</v>
      </c>
      <c r="C2297">
        <v>1</v>
      </c>
      <c r="D2297">
        <v>0</v>
      </c>
      <c r="E2297">
        <v>1</v>
      </c>
      <c r="F2297">
        <v>3</v>
      </c>
      <c r="G2297" t="b">
        <v>0</v>
      </c>
      <c r="H2297">
        <v>0</v>
      </c>
      <c r="I2297">
        <v>1</v>
      </c>
      <c r="J2297">
        <v>0.02</v>
      </c>
      <c r="K2297">
        <v>6.0600000000000001E-2</v>
      </c>
      <c r="L2297">
        <v>0.62</v>
      </c>
      <c r="M2297">
        <v>0.1343</v>
      </c>
      <c r="N2297">
        <v>1</v>
      </c>
      <c r="O2297">
        <v>4</v>
      </c>
      <c r="P2297">
        <v>5</v>
      </c>
      <c r="Q2297">
        <v>505</v>
      </c>
      <c r="R2297">
        <v>506</v>
      </c>
    </row>
    <row r="2298" spans="1:18" x14ac:dyDescent="0.25">
      <c r="A2298">
        <v>507</v>
      </c>
      <c r="B2298" s="1">
        <v>40566</v>
      </c>
      <c r="C2298">
        <v>1</v>
      </c>
      <c r="D2298">
        <v>0</v>
      </c>
      <c r="E2298">
        <v>1</v>
      </c>
      <c r="F2298">
        <v>5</v>
      </c>
      <c r="G2298" t="b">
        <v>0</v>
      </c>
      <c r="H2298">
        <v>0</v>
      </c>
      <c r="I2298">
        <v>2</v>
      </c>
      <c r="J2298">
        <v>0.04</v>
      </c>
      <c r="K2298">
        <v>7.5800000000000006E-2</v>
      </c>
      <c r="L2298">
        <v>0.56999999999999995</v>
      </c>
      <c r="M2298">
        <v>0.1045</v>
      </c>
      <c r="N2298">
        <v>0</v>
      </c>
      <c r="O2298">
        <v>3</v>
      </c>
      <c r="P2298">
        <v>3</v>
      </c>
      <c r="Q2298">
        <v>506</v>
      </c>
      <c r="R2298">
        <v>507</v>
      </c>
    </row>
    <row r="2299" spans="1:18" x14ac:dyDescent="0.25">
      <c r="A2299">
        <v>508</v>
      </c>
      <c r="B2299" s="1">
        <v>40566</v>
      </c>
      <c r="C2299">
        <v>1</v>
      </c>
      <c r="D2299">
        <v>0</v>
      </c>
      <c r="E2299">
        <v>1</v>
      </c>
      <c r="F2299">
        <v>6</v>
      </c>
      <c r="G2299" t="b">
        <v>0</v>
      </c>
      <c r="H2299">
        <v>0</v>
      </c>
      <c r="I2299">
        <v>2</v>
      </c>
      <c r="J2299">
        <v>0.04</v>
      </c>
      <c r="K2299">
        <v>7.5800000000000006E-2</v>
      </c>
      <c r="L2299">
        <v>0.56999999999999995</v>
      </c>
      <c r="M2299">
        <v>0.1045</v>
      </c>
      <c r="N2299">
        <v>0</v>
      </c>
      <c r="O2299">
        <v>1</v>
      </c>
      <c r="P2299">
        <v>1</v>
      </c>
      <c r="Q2299">
        <v>507</v>
      </c>
      <c r="R2299">
        <v>508</v>
      </c>
    </row>
    <row r="2300" spans="1:18" x14ac:dyDescent="0.25">
      <c r="A2300">
        <v>509</v>
      </c>
      <c r="B2300" s="1">
        <v>40566</v>
      </c>
      <c r="C2300">
        <v>1</v>
      </c>
      <c r="D2300">
        <v>0</v>
      </c>
      <c r="E2300">
        <v>1</v>
      </c>
      <c r="F2300">
        <v>7</v>
      </c>
      <c r="G2300" t="b">
        <v>0</v>
      </c>
      <c r="H2300">
        <v>0</v>
      </c>
      <c r="I2300">
        <v>1</v>
      </c>
      <c r="J2300">
        <v>0.08</v>
      </c>
      <c r="K2300">
        <v>0.1061</v>
      </c>
      <c r="L2300">
        <v>0.57999999999999996</v>
      </c>
      <c r="M2300">
        <v>0.16420000000000001</v>
      </c>
      <c r="N2300">
        <v>1</v>
      </c>
      <c r="O2300">
        <v>1</v>
      </c>
      <c r="P2300">
        <v>2</v>
      </c>
      <c r="Q2300">
        <v>508</v>
      </c>
      <c r="R2300">
        <v>509</v>
      </c>
    </row>
    <row r="2301" spans="1:18" x14ac:dyDescent="0.25">
      <c r="A2301">
        <v>510</v>
      </c>
      <c r="B2301" s="1">
        <v>40566</v>
      </c>
      <c r="C2301">
        <v>1</v>
      </c>
      <c r="D2301">
        <v>0</v>
      </c>
      <c r="E2301">
        <v>1</v>
      </c>
      <c r="F2301">
        <v>8</v>
      </c>
      <c r="G2301" t="b">
        <v>0</v>
      </c>
      <c r="H2301">
        <v>0</v>
      </c>
      <c r="I2301">
        <v>1</v>
      </c>
      <c r="J2301">
        <v>0.06</v>
      </c>
      <c r="K2301">
        <v>7.5800000000000006E-2</v>
      </c>
      <c r="L2301">
        <v>0.62</v>
      </c>
      <c r="M2301">
        <v>0.16420000000000001</v>
      </c>
      <c r="N2301">
        <v>2</v>
      </c>
      <c r="O2301">
        <v>17</v>
      </c>
      <c r="P2301">
        <v>19</v>
      </c>
      <c r="Q2301">
        <v>509</v>
      </c>
      <c r="R2301">
        <v>510</v>
      </c>
    </row>
    <row r="2302" spans="1:18" x14ac:dyDescent="0.25">
      <c r="A2302">
        <v>511</v>
      </c>
      <c r="B2302" s="1">
        <v>40566</v>
      </c>
      <c r="C2302">
        <v>1</v>
      </c>
      <c r="D2302">
        <v>0</v>
      </c>
      <c r="E2302">
        <v>1</v>
      </c>
      <c r="F2302">
        <v>9</v>
      </c>
      <c r="G2302" t="b">
        <v>0</v>
      </c>
      <c r="H2302">
        <v>0</v>
      </c>
      <c r="I2302">
        <v>1</v>
      </c>
      <c r="J2302">
        <v>0.1</v>
      </c>
      <c r="K2302">
        <v>7.5800000000000006E-2</v>
      </c>
      <c r="L2302">
        <v>0.54</v>
      </c>
      <c r="M2302">
        <v>0.35820000000000002</v>
      </c>
      <c r="N2302">
        <v>3</v>
      </c>
      <c r="O2302">
        <v>25</v>
      </c>
      <c r="P2302">
        <v>28</v>
      </c>
      <c r="Q2302">
        <v>510</v>
      </c>
      <c r="R2302">
        <v>511</v>
      </c>
    </row>
    <row r="2303" spans="1:18" x14ac:dyDescent="0.25">
      <c r="A2303">
        <v>512</v>
      </c>
      <c r="B2303" s="1">
        <v>40566</v>
      </c>
      <c r="C2303">
        <v>1</v>
      </c>
      <c r="D2303">
        <v>0</v>
      </c>
      <c r="E2303">
        <v>1</v>
      </c>
      <c r="F2303">
        <v>10</v>
      </c>
      <c r="G2303" t="b">
        <v>0</v>
      </c>
      <c r="H2303">
        <v>0</v>
      </c>
      <c r="I2303">
        <v>1</v>
      </c>
      <c r="J2303">
        <v>0.14000000000000001</v>
      </c>
      <c r="K2303">
        <v>0.1061</v>
      </c>
      <c r="L2303">
        <v>0.46</v>
      </c>
      <c r="M2303">
        <v>0.3881</v>
      </c>
      <c r="N2303">
        <v>7</v>
      </c>
      <c r="O2303">
        <v>51</v>
      </c>
      <c r="P2303">
        <v>58</v>
      </c>
      <c r="Q2303">
        <v>511</v>
      </c>
      <c r="R2303">
        <v>512</v>
      </c>
    </row>
    <row r="2304" spans="1:18" x14ac:dyDescent="0.25">
      <c r="A2304">
        <v>513</v>
      </c>
      <c r="B2304" s="1">
        <v>40566</v>
      </c>
      <c r="C2304">
        <v>1</v>
      </c>
      <c r="D2304">
        <v>0</v>
      </c>
      <c r="E2304">
        <v>1</v>
      </c>
      <c r="F2304">
        <v>11</v>
      </c>
      <c r="G2304" t="b">
        <v>0</v>
      </c>
      <c r="H2304">
        <v>0</v>
      </c>
      <c r="I2304">
        <v>1</v>
      </c>
      <c r="J2304">
        <v>0.14000000000000001</v>
      </c>
      <c r="K2304">
        <v>0.13639999999999999</v>
      </c>
      <c r="L2304">
        <v>0.43</v>
      </c>
      <c r="M2304">
        <v>0.22389999999999999</v>
      </c>
      <c r="N2304">
        <v>22</v>
      </c>
      <c r="O2304">
        <v>77</v>
      </c>
      <c r="P2304">
        <v>99</v>
      </c>
      <c r="Q2304">
        <v>512</v>
      </c>
      <c r="R2304">
        <v>513</v>
      </c>
    </row>
    <row r="2305" spans="1:18" x14ac:dyDescent="0.25">
      <c r="A2305">
        <v>514</v>
      </c>
      <c r="B2305" s="1">
        <v>40566</v>
      </c>
      <c r="C2305">
        <v>1</v>
      </c>
      <c r="D2305">
        <v>0</v>
      </c>
      <c r="E2305">
        <v>1</v>
      </c>
      <c r="F2305">
        <v>12</v>
      </c>
      <c r="G2305" t="b">
        <v>0</v>
      </c>
      <c r="H2305">
        <v>0</v>
      </c>
      <c r="I2305">
        <v>1</v>
      </c>
      <c r="J2305">
        <v>0.16</v>
      </c>
      <c r="K2305">
        <v>0.1212</v>
      </c>
      <c r="L2305">
        <v>0.37</v>
      </c>
      <c r="M2305">
        <v>0.4627</v>
      </c>
      <c r="N2305">
        <v>24</v>
      </c>
      <c r="O2305">
        <v>92</v>
      </c>
      <c r="P2305">
        <v>116</v>
      </c>
      <c r="Q2305">
        <v>513</v>
      </c>
      <c r="R2305">
        <v>514</v>
      </c>
    </row>
    <row r="2306" spans="1:18" x14ac:dyDescent="0.25">
      <c r="A2306">
        <v>515</v>
      </c>
      <c r="B2306" s="1">
        <v>40566</v>
      </c>
      <c r="C2306">
        <v>1</v>
      </c>
      <c r="D2306">
        <v>0</v>
      </c>
      <c r="E2306">
        <v>1</v>
      </c>
      <c r="F2306">
        <v>13</v>
      </c>
      <c r="G2306" t="b">
        <v>0</v>
      </c>
      <c r="H2306">
        <v>0</v>
      </c>
      <c r="I2306">
        <v>1</v>
      </c>
      <c r="J2306">
        <v>0.14000000000000001</v>
      </c>
      <c r="K2306">
        <v>0.1061</v>
      </c>
      <c r="L2306">
        <v>0.33</v>
      </c>
      <c r="M2306">
        <v>0.3881</v>
      </c>
      <c r="N2306">
        <v>12</v>
      </c>
      <c r="O2306">
        <v>75</v>
      </c>
      <c r="P2306">
        <v>87</v>
      </c>
      <c r="Q2306">
        <v>514</v>
      </c>
      <c r="R2306">
        <v>515</v>
      </c>
    </row>
    <row r="2307" spans="1:18" x14ac:dyDescent="0.25">
      <c r="A2307">
        <v>516</v>
      </c>
      <c r="B2307" s="1">
        <v>40566</v>
      </c>
      <c r="C2307">
        <v>1</v>
      </c>
      <c r="D2307">
        <v>0</v>
      </c>
      <c r="E2307">
        <v>1</v>
      </c>
      <c r="F2307">
        <v>14</v>
      </c>
      <c r="G2307" t="b">
        <v>0</v>
      </c>
      <c r="H2307">
        <v>0</v>
      </c>
      <c r="I2307">
        <v>1</v>
      </c>
      <c r="J2307">
        <v>0.16</v>
      </c>
      <c r="K2307">
        <v>0.13639999999999999</v>
      </c>
      <c r="L2307">
        <v>0.28000000000000003</v>
      </c>
      <c r="M2307">
        <v>0.35820000000000002</v>
      </c>
      <c r="N2307">
        <v>17</v>
      </c>
      <c r="O2307">
        <v>93</v>
      </c>
      <c r="P2307">
        <v>110</v>
      </c>
      <c r="Q2307">
        <v>515</v>
      </c>
      <c r="R2307">
        <v>516</v>
      </c>
    </row>
    <row r="2308" spans="1:18" x14ac:dyDescent="0.25">
      <c r="A2308">
        <v>517</v>
      </c>
      <c r="B2308" s="1">
        <v>40566</v>
      </c>
      <c r="C2308">
        <v>1</v>
      </c>
      <c r="D2308">
        <v>0</v>
      </c>
      <c r="E2308">
        <v>1</v>
      </c>
      <c r="F2308">
        <v>15</v>
      </c>
      <c r="G2308" t="b">
        <v>0</v>
      </c>
      <c r="H2308">
        <v>0</v>
      </c>
      <c r="I2308">
        <v>1</v>
      </c>
      <c r="J2308">
        <v>0.16</v>
      </c>
      <c r="K2308">
        <v>0.13639999999999999</v>
      </c>
      <c r="L2308">
        <v>0.28000000000000003</v>
      </c>
      <c r="M2308">
        <v>0.35820000000000002</v>
      </c>
      <c r="N2308">
        <v>13</v>
      </c>
      <c r="O2308">
        <v>64</v>
      </c>
      <c r="P2308">
        <v>77</v>
      </c>
      <c r="Q2308">
        <v>516</v>
      </c>
      <c r="R2308">
        <v>517</v>
      </c>
    </row>
    <row r="2309" spans="1:18" x14ac:dyDescent="0.25">
      <c r="A2309">
        <v>518</v>
      </c>
      <c r="B2309" s="1">
        <v>40566</v>
      </c>
      <c r="C2309">
        <v>1</v>
      </c>
      <c r="D2309">
        <v>0</v>
      </c>
      <c r="E2309">
        <v>1</v>
      </c>
      <c r="F2309">
        <v>16</v>
      </c>
      <c r="G2309" t="b">
        <v>0</v>
      </c>
      <c r="H2309">
        <v>0</v>
      </c>
      <c r="I2309">
        <v>1</v>
      </c>
      <c r="J2309">
        <v>0.16</v>
      </c>
      <c r="K2309">
        <v>0.13639999999999999</v>
      </c>
      <c r="L2309">
        <v>0.26</v>
      </c>
      <c r="M2309">
        <v>0.32840000000000003</v>
      </c>
      <c r="N2309">
        <v>9</v>
      </c>
      <c r="O2309">
        <v>56</v>
      </c>
      <c r="P2309">
        <v>65</v>
      </c>
      <c r="Q2309">
        <v>517</v>
      </c>
      <c r="R2309">
        <v>518</v>
      </c>
    </row>
    <row r="2310" spans="1:18" x14ac:dyDescent="0.25">
      <c r="A2310">
        <v>519</v>
      </c>
      <c r="B2310" s="1">
        <v>40566</v>
      </c>
      <c r="C2310">
        <v>1</v>
      </c>
      <c r="D2310">
        <v>0</v>
      </c>
      <c r="E2310">
        <v>1</v>
      </c>
      <c r="F2310">
        <v>17</v>
      </c>
      <c r="G2310" t="b">
        <v>0</v>
      </c>
      <c r="H2310">
        <v>0</v>
      </c>
      <c r="I2310">
        <v>1</v>
      </c>
      <c r="J2310">
        <v>0.14000000000000001</v>
      </c>
      <c r="K2310">
        <v>0.1061</v>
      </c>
      <c r="L2310">
        <v>0.26</v>
      </c>
      <c r="M2310">
        <v>0.3881</v>
      </c>
      <c r="N2310">
        <v>5</v>
      </c>
      <c r="O2310">
        <v>50</v>
      </c>
      <c r="P2310">
        <v>55</v>
      </c>
      <c r="Q2310">
        <v>518</v>
      </c>
      <c r="R2310">
        <v>519</v>
      </c>
    </row>
    <row r="2311" spans="1:18" x14ac:dyDescent="0.25">
      <c r="A2311">
        <v>520</v>
      </c>
      <c r="B2311" s="1">
        <v>40566</v>
      </c>
      <c r="C2311">
        <v>1</v>
      </c>
      <c r="D2311">
        <v>0</v>
      </c>
      <c r="E2311">
        <v>1</v>
      </c>
      <c r="F2311">
        <v>18</v>
      </c>
      <c r="G2311" t="b">
        <v>0</v>
      </c>
      <c r="H2311">
        <v>0</v>
      </c>
      <c r="I2311">
        <v>1</v>
      </c>
      <c r="J2311">
        <v>0.12</v>
      </c>
      <c r="K2311">
        <v>0.1212</v>
      </c>
      <c r="L2311">
        <v>0.3</v>
      </c>
      <c r="M2311">
        <v>0.25369999999999998</v>
      </c>
      <c r="N2311">
        <v>5</v>
      </c>
      <c r="O2311">
        <v>44</v>
      </c>
      <c r="P2311">
        <v>49</v>
      </c>
      <c r="Q2311">
        <v>519</v>
      </c>
      <c r="R2311">
        <v>520</v>
      </c>
    </row>
    <row r="2312" spans="1:18" x14ac:dyDescent="0.25">
      <c r="A2312">
        <v>521</v>
      </c>
      <c r="B2312" s="1">
        <v>40566</v>
      </c>
      <c r="C2312">
        <v>1</v>
      </c>
      <c r="D2312">
        <v>0</v>
      </c>
      <c r="E2312">
        <v>1</v>
      </c>
      <c r="F2312">
        <v>19</v>
      </c>
      <c r="G2312" t="b">
        <v>0</v>
      </c>
      <c r="H2312">
        <v>0</v>
      </c>
      <c r="I2312">
        <v>1</v>
      </c>
      <c r="J2312">
        <v>0.12</v>
      </c>
      <c r="K2312">
        <v>0.1212</v>
      </c>
      <c r="L2312">
        <v>0.3</v>
      </c>
      <c r="M2312">
        <v>0.28360000000000002</v>
      </c>
      <c r="N2312">
        <v>5</v>
      </c>
      <c r="O2312">
        <v>45</v>
      </c>
      <c r="P2312">
        <v>50</v>
      </c>
      <c r="Q2312">
        <v>520</v>
      </c>
      <c r="R2312">
        <v>521</v>
      </c>
    </row>
    <row r="2313" spans="1:18" x14ac:dyDescent="0.25">
      <c r="A2313">
        <v>522</v>
      </c>
      <c r="B2313" s="1">
        <v>40566</v>
      </c>
      <c r="C2313">
        <v>1</v>
      </c>
      <c r="D2313">
        <v>0</v>
      </c>
      <c r="E2313">
        <v>1</v>
      </c>
      <c r="F2313">
        <v>20</v>
      </c>
      <c r="G2313" t="b">
        <v>0</v>
      </c>
      <c r="H2313">
        <v>0</v>
      </c>
      <c r="I2313">
        <v>1</v>
      </c>
      <c r="J2313">
        <v>0.1</v>
      </c>
      <c r="K2313">
        <v>0.1061</v>
      </c>
      <c r="L2313">
        <v>0.36</v>
      </c>
      <c r="M2313">
        <v>0.25369999999999998</v>
      </c>
      <c r="N2313">
        <v>4</v>
      </c>
      <c r="O2313">
        <v>31</v>
      </c>
      <c r="P2313">
        <v>35</v>
      </c>
      <c r="Q2313">
        <v>521</v>
      </c>
      <c r="R2313">
        <v>522</v>
      </c>
    </row>
    <row r="2314" spans="1:18" x14ac:dyDescent="0.25">
      <c r="A2314">
        <v>523</v>
      </c>
      <c r="B2314" s="1">
        <v>40566</v>
      </c>
      <c r="C2314">
        <v>1</v>
      </c>
      <c r="D2314">
        <v>0</v>
      </c>
      <c r="E2314">
        <v>1</v>
      </c>
      <c r="F2314">
        <v>21</v>
      </c>
      <c r="G2314" t="b">
        <v>0</v>
      </c>
      <c r="H2314">
        <v>0</v>
      </c>
      <c r="I2314">
        <v>1</v>
      </c>
      <c r="J2314">
        <v>0.1</v>
      </c>
      <c r="K2314">
        <v>0.1061</v>
      </c>
      <c r="L2314">
        <v>0.36</v>
      </c>
      <c r="M2314">
        <v>0.19400000000000001</v>
      </c>
      <c r="N2314">
        <v>5</v>
      </c>
      <c r="O2314">
        <v>20</v>
      </c>
      <c r="P2314">
        <v>25</v>
      </c>
      <c r="Q2314">
        <v>522</v>
      </c>
      <c r="R2314">
        <v>523</v>
      </c>
    </row>
    <row r="2315" spans="1:18" x14ac:dyDescent="0.25">
      <c r="A2315">
        <v>524</v>
      </c>
      <c r="B2315" s="1">
        <v>40566</v>
      </c>
      <c r="C2315">
        <v>1</v>
      </c>
      <c r="D2315">
        <v>0</v>
      </c>
      <c r="E2315">
        <v>1</v>
      </c>
      <c r="F2315">
        <v>22</v>
      </c>
      <c r="G2315" t="b">
        <v>0</v>
      </c>
      <c r="H2315">
        <v>0</v>
      </c>
      <c r="I2315">
        <v>1</v>
      </c>
      <c r="J2315">
        <v>0.08</v>
      </c>
      <c r="K2315">
        <v>9.0899999999999995E-2</v>
      </c>
      <c r="L2315">
        <v>0.38</v>
      </c>
      <c r="M2315">
        <v>0.19400000000000001</v>
      </c>
      <c r="N2315">
        <v>5</v>
      </c>
      <c r="O2315">
        <v>23</v>
      </c>
      <c r="P2315">
        <v>28</v>
      </c>
      <c r="Q2315">
        <v>523</v>
      </c>
      <c r="R2315">
        <v>524</v>
      </c>
    </row>
    <row r="2316" spans="1:18" x14ac:dyDescent="0.25">
      <c r="A2316">
        <v>525</v>
      </c>
      <c r="B2316" s="1">
        <v>40566</v>
      </c>
      <c r="C2316">
        <v>1</v>
      </c>
      <c r="D2316">
        <v>0</v>
      </c>
      <c r="E2316">
        <v>1</v>
      </c>
      <c r="F2316">
        <v>23</v>
      </c>
      <c r="G2316" t="b">
        <v>0</v>
      </c>
      <c r="H2316">
        <v>0</v>
      </c>
      <c r="I2316">
        <v>1</v>
      </c>
      <c r="J2316">
        <v>0.06</v>
      </c>
      <c r="K2316">
        <v>6.0600000000000001E-2</v>
      </c>
      <c r="L2316">
        <v>0.41</v>
      </c>
      <c r="M2316">
        <v>0.22389999999999999</v>
      </c>
      <c r="N2316">
        <v>4</v>
      </c>
      <c r="O2316">
        <v>17</v>
      </c>
      <c r="P2316">
        <v>21</v>
      </c>
      <c r="Q2316">
        <v>524</v>
      </c>
      <c r="R2316">
        <v>525</v>
      </c>
    </row>
    <row r="2317" spans="1:18" x14ac:dyDescent="0.25">
      <c r="A2317">
        <v>526</v>
      </c>
      <c r="B2317" s="1">
        <v>40567</v>
      </c>
      <c r="C2317">
        <v>1</v>
      </c>
      <c r="D2317">
        <v>0</v>
      </c>
      <c r="E2317">
        <v>1</v>
      </c>
      <c r="F2317">
        <v>0</v>
      </c>
      <c r="G2317" t="b">
        <v>0</v>
      </c>
      <c r="H2317">
        <v>1</v>
      </c>
      <c r="I2317">
        <v>1</v>
      </c>
      <c r="J2317">
        <v>0.06</v>
      </c>
      <c r="K2317">
        <v>6.0600000000000001E-2</v>
      </c>
      <c r="L2317">
        <v>0.41</v>
      </c>
      <c r="M2317">
        <v>0.19400000000000001</v>
      </c>
      <c r="N2317">
        <v>0</v>
      </c>
      <c r="O2317">
        <v>7</v>
      </c>
      <c r="P2317">
        <v>7</v>
      </c>
      <c r="Q2317">
        <v>525</v>
      </c>
      <c r="R2317">
        <v>526</v>
      </c>
    </row>
    <row r="2318" spans="1:18" x14ac:dyDescent="0.25">
      <c r="A2318">
        <v>527</v>
      </c>
      <c r="B2318" s="1">
        <v>40567</v>
      </c>
      <c r="C2318">
        <v>1</v>
      </c>
      <c r="D2318">
        <v>0</v>
      </c>
      <c r="E2318">
        <v>1</v>
      </c>
      <c r="F2318">
        <v>1</v>
      </c>
      <c r="G2318" t="b">
        <v>0</v>
      </c>
      <c r="H2318">
        <v>1</v>
      </c>
      <c r="I2318">
        <v>1</v>
      </c>
      <c r="J2318">
        <v>0.04</v>
      </c>
      <c r="K2318">
        <v>4.5499999999999999E-2</v>
      </c>
      <c r="L2318">
        <v>0.45</v>
      </c>
      <c r="M2318">
        <v>0.19400000000000001</v>
      </c>
      <c r="N2318">
        <v>0</v>
      </c>
      <c r="O2318">
        <v>1</v>
      </c>
      <c r="P2318">
        <v>1</v>
      </c>
      <c r="Q2318">
        <v>526</v>
      </c>
      <c r="R2318">
        <v>527</v>
      </c>
    </row>
    <row r="2319" spans="1:18" x14ac:dyDescent="0.25">
      <c r="A2319">
        <v>528</v>
      </c>
      <c r="B2319" s="1">
        <v>40567</v>
      </c>
      <c r="C2319">
        <v>1</v>
      </c>
      <c r="D2319">
        <v>0</v>
      </c>
      <c r="E2319">
        <v>1</v>
      </c>
      <c r="F2319">
        <v>3</v>
      </c>
      <c r="G2319" t="b">
        <v>0</v>
      </c>
      <c r="H2319">
        <v>1</v>
      </c>
      <c r="I2319">
        <v>1</v>
      </c>
      <c r="J2319">
        <v>0.04</v>
      </c>
      <c r="K2319">
        <v>3.0300000000000001E-2</v>
      </c>
      <c r="L2319">
        <v>0.45</v>
      </c>
      <c r="M2319">
        <v>0.25369999999999998</v>
      </c>
      <c r="N2319">
        <v>0</v>
      </c>
      <c r="O2319">
        <v>1</v>
      </c>
      <c r="P2319">
        <v>1</v>
      </c>
      <c r="Q2319">
        <v>527</v>
      </c>
      <c r="R2319">
        <v>528</v>
      </c>
    </row>
    <row r="2320" spans="1:18" x14ac:dyDescent="0.25">
      <c r="A2320">
        <v>529</v>
      </c>
      <c r="B2320" s="1">
        <v>40567</v>
      </c>
      <c r="C2320">
        <v>1</v>
      </c>
      <c r="D2320">
        <v>0</v>
      </c>
      <c r="E2320">
        <v>1</v>
      </c>
      <c r="F2320">
        <v>4</v>
      </c>
      <c r="G2320" t="b">
        <v>0</v>
      </c>
      <c r="H2320">
        <v>1</v>
      </c>
      <c r="I2320">
        <v>1</v>
      </c>
      <c r="J2320">
        <v>0.02</v>
      </c>
      <c r="K2320">
        <v>6.0600000000000001E-2</v>
      </c>
      <c r="L2320">
        <v>0.48</v>
      </c>
      <c r="M2320">
        <v>0.1343</v>
      </c>
      <c r="N2320">
        <v>0</v>
      </c>
      <c r="O2320">
        <v>1</v>
      </c>
      <c r="P2320">
        <v>1</v>
      </c>
      <c r="Q2320">
        <v>528</v>
      </c>
      <c r="R2320">
        <v>529</v>
      </c>
    </row>
    <row r="2321" spans="1:18" x14ac:dyDescent="0.25">
      <c r="A2321">
        <v>530</v>
      </c>
      <c r="B2321" s="1">
        <v>40567</v>
      </c>
      <c r="C2321">
        <v>1</v>
      </c>
      <c r="D2321">
        <v>0</v>
      </c>
      <c r="E2321">
        <v>1</v>
      </c>
      <c r="F2321">
        <v>5</v>
      </c>
      <c r="G2321" t="b">
        <v>0</v>
      </c>
      <c r="H2321">
        <v>1</v>
      </c>
      <c r="I2321">
        <v>1</v>
      </c>
      <c r="J2321">
        <v>0.02</v>
      </c>
      <c r="K2321">
        <v>6.0600000000000001E-2</v>
      </c>
      <c r="L2321">
        <v>0.48</v>
      </c>
      <c r="M2321">
        <v>0.1343</v>
      </c>
      <c r="N2321">
        <v>0</v>
      </c>
      <c r="O2321">
        <v>5</v>
      </c>
      <c r="P2321">
        <v>5</v>
      </c>
      <c r="Q2321">
        <v>529</v>
      </c>
      <c r="R2321">
        <v>530</v>
      </c>
    </row>
    <row r="2322" spans="1:18" x14ac:dyDescent="0.25">
      <c r="A2322">
        <v>531</v>
      </c>
      <c r="B2322" s="1">
        <v>40567</v>
      </c>
      <c r="C2322">
        <v>1</v>
      </c>
      <c r="D2322">
        <v>0</v>
      </c>
      <c r="E2322">
        <v>1</v>
      </c>
      <c r="F2322">
        <v>6</v>
      </c>
      <c r="G2322" t="b">
        <v>0</v>
      </c>
      <c r="H2322">
        <v>1</v>
      </c>
      <c r="I2322">
        <v>1</v>
      </c>
      <c r="J2322">
        <v>0.02</v>
      </c>
      <c r="K2322">
        <v>7.5800000000000006E-2</v>
      </c>
      <c r="L2322">
        <v>0.48</v>
      </c>
      <c r="M2322">
        <v>8.9599999999999999E-2</v>
      </c>
      <c r="N2322">
        <v>0</v>
      </c>
      <c r="O2322">
        <v>15</v>
      </c>
      <c r="P2322">
        <v>15</v>
      </c>
      <c r="Q2322">
        <v>530</v>
      </c>
      <c r="R2322">
        <v>531</v>
      </c>
    </row>
    <row r="2323" spans="1:18" x14ac:dyDescent="0.25">
      <c r="A2323">
        <v>532</v>
      </c>
      <c r="B2323" s="1">
        <v>40567</v>
      </c>
      <c r="C2323">
        <v>1</v>
      </c>
      <c r="D2323">
        <v>0</v>
      </c>
      <c r="E2323">
        <v>1</v>
      </c>
      <c r="F2323">
        <v>7</v>
      </c>
      <c r="G2323" t="b">
        <v>0</v>
      </c>
      <c r="H2323">
        <v>1</v>
      </c>
      <c r="I2323">
        <v>1</v>
      </c>
      <c r="J2323">
        <v>0.02</v>
      </c>
      <c r="K2323">
        <v>0.1212</v>
      </c>
      <c r="L2323">
        <v>0.48</v>
      </c>
      <c r="M2323">
        <v>0</v>
      </c>
      <c r="N2323">
        <v>5</v>
      </c>
      <c r="O2323">
        <v>79</v>
      </c>
      <c r="P2323">
        <v>84</v>
      </c>
      <c r="Q2323">
        <v>531</v>
      </c>
      <c r="R2323">
        <v>532</v>
      </c>
    </row>
    <row r="2324" spans="1:18" x14ac:dyDescent="0.25">
      <c r="A2324">
        <v>533</v>
      </c>
      <c r="B2324" s="1">
        <v>40567</v>
      </c>
      <c r="C2324">
        <v>1</v>
      </c>
      <c r="D2324">
        <v>0</v>
      </c>
      <c r="E2324">
        <v>1</v>
      </c>
      <c r="F2324">
        <v>8</v>
      </c>
      <c r="G2324" t="b">
        <v>0</v>
      </c>
      <c r="H2324">
        <v>1</v>
      </c>
      <c r="I2324">
        <v>1</v>
      </c>
      <c r="J2324">
        <v>0.04</v>
      </c>
      <c r="K2324">
        <v>0.13639999999999999</v>
      </c>
      <c r="L2324">
        <v>0.49</v>
      </c>
      <c r="M2324">
        <v>0</v>
      </c>
      <c r="N2324">
        <v>6</v>
      </c>
      <c r="O2324">
        <v>171</v>
      </c>
      <c r="P2324">
        <v>177</v>
      </c>
      <c r="Q2324">
        <v>532</v>
      </c>
      <c r="R2324">
        <v>533</v>
      </c>
    </row>
    <row r="2325" spans="1:18" x14ac:dyDescent="0.25">
      <c r="A2325">
        <v>534</v>
      </c>
      <c r="B2325" s="1">
        <v>40567</v>
      </c>
      <c r="C2325">
        <v>1</v>
      </c>
      <c r="D2325">
        <v>0</v>
      </c>
      <c r="E2325">
        <v>1</v>
      </c>
      <c r="F2325">
        <v>9</v>
      </c>
      <c r="G2325" t="b">
        <v>0</v>
      </c>
      <c r="H2325">
        <v>1</v>
      </c>
      <c r="I2325">
        <v>1</v>
      </c>
      <c r="J2325">
        <v>0.06</v>
      </c>
      <c r="K2325">
        <v>0.1515</v>
      </c>
      <c r="L2325">
        <v>0.41</v>
      </c>
      <c r="M2325">
        <v>0</v>
      </c>
      <c r="N2325">
        <v>4</v>
      </c>
      <c r="O2325">
        <v>98</v>
      </c>
      <c r="P2325">
        <v>102</v>
      </c>
      <c r="Q2325">
        <v>533</v>
      </c>
      <c r="R2325">
        <v>534</v>
      </c>
    </row>
    <row r="2326" spans="1:18" x14ac:dyDescent="0.25">
      <c r="A2326">
        <v>535</v>
      </c>
      <c r="B2326" s="1">
        <v>40567</v>
      </c>
      <c r="C2326">
        <v>1</v>
      </c>
      <c r="D2326">
        <v>0</v>
      </c>
      <c r="E2326">
        <v>1</v>
      </c>
      <c r="F2326">
        <v>10</v>
      </c>
      <c r="G2326" t="b">
        <v>0</v>
      </c>
      <c r="H2326">
        <v>1</v>
      </c>
      <c r="I2326">
        <v>1</v>
      </c>
      <c r="J2326">
        <v>0.1</v>
      </c>
      <c r="K2326">
        <v>0.13639999999999999</v>
      </c>
      <c r="L2326">
        <v>0.42</v>
      </c>
      <c r="M2326">
        <v>0</v>
      </c>
      <c r="N2326">
        <v>6</v>
      </c>
      <c r="O2326">
        <v>34</v>
      </c>
      <c r="P2326">
        <v>40</v>
      </c>
      <c r="Q2326">
        <v>534</v>
      </c>
      <c r="R2326">
        <v>535</v>
      </c>
    </row>
    <row r="2327" spans="1:18" x14ac:dyDescent="0.25">
      <c r="A2327">
        <v>536</v>
      </c>
      <c r="B2327" s="1">
        <v>40567</v>
      </c>
      <c r="C2327">
        <v>1</v>
      </c>
      <c r="D2327">
        <v>0</v>
      </c>
      <c r="E2327">
        <v>1</v>
      </c>
      <c r="F2327">
        <v>11</v>
      </c>
      <c r="G2327" t="b">
        <v>0</v>
      </c>
      <c r="H2327">
        <v>1</v>
      </c>
      <c r="I2327">
        <v>1</v>
      </c>
      <c r="J2327">
        <v>0.1</v>
      </c>
      <c r="K2327">
        <v>0.1212</v>
      </c>
      <c r="L2327">
        <v>0.46</v>
      </c>
      <c r="M2327">
        <v>0.1343</v>
      </c>
      <c r="N2327">
        <v>3</v>
      </c>
      <c r="O2327">
        <v>43</v>
      </c>
      <c r="P2327">
        <v>46</v>
      </c>
      <c r="Q2327">
        <v>535</v>
      </c>
      <c r="R2327">
        <v>536</v>
      </c>
    </row>
    <row r="2328" spans="1:18" x14ac:dyDescent="0.25">
      <c r="A2328">
        <v>537</v>
      </c>
      <c r="B2328" s="1">
        <v>40567</v>
      </c>
      <c r="C2328">
        <v>1</v>
      </c>
      <c r="D2328">
        <v>0</v>
      </c>
      <c r="E2328">
        <v>1</v>
      </c>
      <c r="F2328">
        <v>12</v>
      </c>
      <c r="G2328" t="b">
        <v>0</v>
      </c>
      <c r="H2328">
        <v>1</v>
      </c>
      <c r="I2328">
        <v>2</v>
      </c>
      <c r="J2328">
        <v>0.12</v>
      </c>
      <c r="K2328">
        <v>0.13639999999999999</v>
      </c>
      <c r="L2328">
        <v>0.42</v>
      </c>
      <c r="M2328">
        <v>0.19400000000000001</v>
      </c>
      <c r="N2328">
        <v>11</v>
      </c>
      <c r="O2328">
        <v>52</v>
      </c>
      <c r="P2328">
        <v>63</v>
      </c>
      <c r="Q2328">
        <v>536</v>
      </c>
      <c r="R2328">
        <v>537</v>
      </c>
    </row>
    <row r="2329" spans="1:18" x14ac:dyDescent="0.25">
      <c r="A2329">
        <v>538</v>
      </c>
      <c r="B2329" s="1">
        <v>40567</v>
      </c>
      <c r="C2329">
        <v>1</v>
      </c>
      <c r="D2329">
        <v>0</v>
      </c>
      <c r="E2329">
        <v>1</v>
      </c>
      <c r="F2329">
        <v>13</v>
      </c>
      <c r="G2329" t="b">
        <v>0</v>
      </c>
      <c r="H2329">
        <v>1</v>
      </c>
      <c r="I2329">
        <v>2</v>
      </c>
      <c r="J2329">
        <v>0.14000000000000001</v>
      </c>
      <c r="K2329">
        <v>0.13639999999999999</v>
      </c>
      <c r="L2329">
        <v>0.43</v>
      </c>
      <c r="M2329">
        <v>0.22389999999999999</v>
      </c>
      <c r="N2329">
        <v>6</v>
      </c>
      <c r="O2329">
        <v>54</v>
      </c>
      <c r="P2329">
        <v>60</v>
      </c>
      <c r="Q2329">
        <v>537</v>
      </c>
      <c r="R2329">
        <v>538</v>
      </c>
    </row>
    <row r="2330" spans="1:18" x14ac:dyDescent="0.25">
      <c r="A2330">
        <v>539</v>
      </c>
      <c r="B2330" s="1">
        <v>40567</v>
      </c>
      <c r="C2330">
        <v>1</v>
      </c>
      <c r="D2330">
        <v>0</v>
      </c>
      <c r="E2330">
        <v>1</v>
      </c>
      <c r="F2330">
        <v>14</v>
      </c>
      <c r="G2330" t="b">
        <v>0</v>
      </c>
      <c r="H2330">
        <v>1</v>
      </c>
      <c r="I2330">
        <v>2</v>
      </c>
      <c r="J2330">
        <v>0.14000000000000001</v>
      </c>
      <c r="K2330">
        <v>0.13639999999999999</v>
      </c>
      <c r="L2330">
        <v>0.46</v>
      </c>
      <c r="M2330">
        <v>0.22389999999999999</v>
      </c>
      <c r="N2330">
        <v>2</v>
      </c>
      <c r="O2330">
        <v>43</v>
      </c>
      <c r="P2330">
        <v>45</v>
      </c>
      <c r="Q2330">
        <v>538</v>
      </c>
      <c r="R2330">
        <v>539</v>
      </c>
    </row>
    <row r="2331" spans="1:18" x14ac:dyDescent="0.25">
      <c r="A2331">
        <v>540</v>
      </c>
      <c r="B2331" s="1">
        <v>40567</v>
      </c>
      <c r="C2331">
        <v>1</v>
      </c>
      <c r="D2331">
        <v>0</v>
      </c>
      <c r="E2331">
        <v>1</v>
      </c>
      <c r="F2331">
        <v>15</v>
      </c>
      <c r="G2331" t="b">
        <v>0</v>
      </c>
      <c r="H2331">
        <v>1</v>
      </c>
      <c r="I2331">
        <v>1</v>
      </c>
      <c r="J2331">
        <v>0.16</v>
      </c>
      <c r="K2331">
        <v>0.16669999999999999</v>
      </c>
      <c r="L2331">
        <v>0.4</v>
      </c>
      <c r="M2331">
        <v>0.16420000000000001</v>
      </c>
      <c r="N2331">
        <v>7</v>
      </c>
      <c r="O2331">
        <v>50</v>
      </c>
      <c r="P2331">
        <v>57</v>
      </c>
      <c r="Q2331">
        <v>539</v>
      </c>
      <c r="R2331">
        <v>540</v>
      </c>
    </row>
    <row r="2332" spans="1:18" x14ac:dyDescent="0.25">
      <c r="A2332">
        <v>541</v>
      </c>
      <c r="B2332" s="1">
        <v>40567</v>
      </c>
      <c r="C2332">
        <v>1</v>
      </c>
      <c r="D2332">
        <v>0</v>
      </c>
      <c r="E2332">
        <v>1</v>
      </c>
      <c r="F2332">
        <v>16</v>
      </c>
      <c r="G2332" t="b">
        <v>0</v>
      </c>
      <c r="H2332">
        <v>1</v>
      </c>
      <c r="I2332">
        <v>1</v>
      </c>
      <c r="J2332">
        <v>0.16</v>
      </c>
      <c r="K2332">
        <v>0.1515</v>
      </c>
      <c r="L2332">
        <v>0.47</v>
      </c>
      <c r="M2332">
        <v>0.25369999999999998</v>
      </c>
      <c r="N2332">
        <v>4</v>
      </c>
      <c r="O2332">
        <v>66</v>
      </c>
      <c r="P2332">
        <v>70</v>
      </c>
      <c r="Q2332">
        <v>540</v>
      </c>
      <c r="R2332">
        <v>541</v>
      </c>
    </row>
    <row r="2333" spans="1:18" x14ac:dyDescent="0.25">
      <c r="A2333">
        <v>542</v>
      </c>
      <c r="B2333" s="1">
        <v>40567</v>
      </c>
      <c r="C2333">
        <v>1</v>
      </c>
      <c r="D2333">
        <v>0</v>
      </c>
      <c r="E2333">
        <v>1</v>
      </c>
      <c r="F2333">
        <v>17</v>
      </c>
      <c r="G2333" t="b">
        <v>0</v>
      </c>
      <c r="H2333">
        <v>1</v>
      </c>
      <c r="I2333">
        <v>1</v>
      </c>
      <c r="J2333">
        <v>0.14000000000000001</v>
      </c>
      <c r="K2333">
        <v>0.1212</v>
      </c>
      <c r="L2333">
        <v>0.5</v>
      </c>
      <c r="M2333">
        <v>0.25369999999999998</v>
      </c>
      <c r="N2333">
        <v>6</v>
      </c>
      <c r="O2333">
        <v>178</v>
      </c>
      <c r="P2333">
        <v>184</v>
      </c>
      <c r="Q2333">
        <v>541</v>
      </c>
      <c r="R2333">
        <v>542</v>
      </c>
    </row>
    <row r="2334" spans="1:18" x14ac:dyDescent="0.25">
      <c r="A2334">
        <v>543</v>
      </c>
      <c r="B2334" s="1">
        <v>40567</v>
      </c>
      <c r="C2334">
        <v>1</v>
      </c>
      <c r="D2334">
        <v>0</v>
      </c>
      <c r="E2334">
        <v>1</v>
      </c>
      <c r="F2334">
        <v>18</v>
      </c>
      <c r="G2334" t="b">
        <v>0</v>
      </c>
      <c r="H2334">
        <v>1</v>
      </c>
      <c r="I2334">
        <v>1</v>
      </c>
      <c r="J2334">
        <v>0.14000000000000001</v>
      </c>
      <c r="K2334">
        <v>0.13639999999999999</v>
      </c>
      <c r="L2334">
        <v>0.59</v>
      </c>
      <c r="M2334">
        <v>0.19400000000000001</v>
      </c>
      <c r="N2334">
        <v>8</v>
      </c>
      <c r="O2334">
        <v>145</v>
      </c>
      <c r="P2334">
        <v>153</v>
      </c>
      <c r="Q2334">
        <v>542</v>
      </c>
      <c r="R2334">
        <v>543</v>
      </c>
    </row>
    <row r="2335" spans="1:18" x14ac:dyDescent="0.25">
      <c r="A2335">
        <v>544</v>
      </c>
      <c r="B2335" s="1">
        <v>40567</v>
      </c>
      <c r="C2335">
        <v>1</v>
      </c>
      <c r="D2335">
        <v>0</v>
      </c>
      <c r="E2335">
        <v>1</v>
      </c>
      <c r="F2335">
        <v>19</v>
      </c>
      <c r="G2335" t="b">
        <v>0</v>
      </c>
      <c r="H2335">
        <v>1</v>
      </c>
      <c r="I2335">
        <v>1</v>
      </c>
      <c r="J2335">
        <v>0.14000000000000001</v>
      </c>
      <c r="K2335">
        <v>0.1515</v>
      </c>
      <c r="L2335">
        <v>0.54</v>
      </c>
      <c r="M2335">
        <v>0.16420000000000001</v>
      </c>
      <c r="N2335">
        <v>5</v>
      </c>
      <c r="O2335">
        <v>101</v>
      </c>
      <c r="P2335">
        <v>106</v>
      </c>
      <c r="Q2335">
        <v>543</v>
      </c>
      <c r="R2335">
        <v>544</v>
      </c>
    </row>
    <row r="2336" spans="1:18" x14ac:dyDescent="0.25">
      <c r="A2336">
        <v>545</v>
      </c>
      <c r="B2336" s="1">
        <v>40567</v>
      </c>
      <c r="C2336">
        <v>1</v>
      </c>
      <c r="D2336">
        <v>0</v>
      </c>
      <c r="E2336">
        <v>1</v>
      </c>
      <c r="F2336">
        <v>20</v>
      </c>
      <c r="G2336" t="b">
        <v>0</v>
      </c>
      <c r="H2336">
        <v>1</v>
      </c>
      <c r="I2336">
        <v>1</v>
      </c>
      <c r="J2336">
        <v>0.14000000000000001</v>
      </c>
      <c r="K2336">
        <v>0.13639999999999999</v>
      </c>
      <c r="L2336">
        <v>0.59</v>
      </c>
      <c r="M2336">
        <v>0.19400000000000001</v>
      </c>
      <c r="N2336">
        <v>1</v>
      </c>
      <c r="O2336">
        <v>80</v>
      </c>
      <c r="P2336">
        <v>81</v>
      </c>
      <c r="Q2336">
        <v>544</v>
      </c>
      <c r="R2336">
        <v>545</v>
      </c>
    </row>
    <row r="2337" spans="1:18" x14ac:dyDescent="0.25">
      <c r="A2337">
        <v>546</v>
      </c>
      <c r="B2337" s="1">
        <v>40567</v>
      </c>
      <c r="C2337">
        <v>1</v>
      </c>
      <c r="D2337">
        <v>0</v>
      </c>
      <c r="E2337">
        <v>1</v>
      </c>
      <c r="F2337">
        <v>21</v>
      </c>
      <c r="G2337" t="b">
        <v>0</v>
      </c>
      <c r="H2337">
        <v>1</v>
      </c>
      <c r="I2337">
        <v>1</v>
      </c>
      <c r="J2337">
        <v>0.14000000000000001</v>
      </c>
      <c r="K2337">
        <v>0.1515</v>
      </c>
      <c r="L2337">
        <v>0.63</v>
      </c>
      <c r="M2337">
        <v>0.16420000000000001</v>
      </c>
      <c r="N2337">
        <v>6</v>
      </c>
      <c r="O2337">
        <v>53</v>
      </c>
      <c r="P2337">
        <v>59</v>
      </c>
      <c r="Q2337">
        <v>545</v>
      </c>
      <c r="R2337">
        <v>546</v>
      </c>
    </row>
    <row r="2338" spans="1:18" x14ac:dyDescent="0.25">
      <c r="A2338">
        <v>547</v>
      </c>
      <c r="B2338" s="1">
        <v>40567</v>
      </c>
      <c r="C2338">
        <v>1</v>
      </c>
      <c r="D2338">
        <v>0</v>
      </c>
      <c r="E2338">
        <v>1</v>
      </c>
      <c r="F2338">
        <v>22</v>
      </c>
      <c r="G2338" t="b">
        <v>0</v>
      </c>
      <c r="H2338">
        <v>1</v>
      </c>
      <c r="I2338">
        <v>2</v>
      </c>
      <c r="J2338">
        <v>0.14000000000000001</v>
      </c>
      <c r="K2338">
        <v>0.13639999999999999</v>
      </c>
      <c r="L2338">
        <v>0.63</v>
      </c>
      <c r="M2338">
        <v>0.22389999999999999</v>
      </c>
      <c r="N2338">
        <v>3</v>
      </c>
      <c r="O2338">
        <v>32</v>
      </c>
      <c r="P2338">
        <v>35</v>
      </c>
      <c r="Q2338">
        <v>546</v>
      </c>
      <c r="R2338">
        <v>547</v>
      </c>
    </row>
    <row r="2339" spans="1:18" x14ac:dyDescent="0.25">
      <c r="A2339">
        <v>548</v>
      </c>
      <c r="B2339" s="1">
        <v>40567</v>
      </c>
      <c r="C2339">
        <v>1</v>
      </c>
      <c r="D2339">
        <v>0</v>
      </c>
      <c r="E2339">
        <v>1</v>
      </c>
      <c r="F2339">
        <v>23</v>
      </c>
      <c r="G2339" t="b">
        <v>0</v>
      </c>
      <c r="H2339">
        <v>1</v>
      </c>
      <c r="I2339">
        <v>2</v>
      </c>
      <c r="J2339">
        <v>0.16</v>
      </c>
      <c r="K2339">
        <v>0.1515</v>
      </c>
      <c r="L2339">
        <v>0.64</v>
      </c>
      <c r="M2339">
        <v>0.25369999999999998</v>
      </c>
      <c r="N2339">
        <v>3</v>
      </c>
      <c r="O2339">
        <v>21</v>
      </c>
      <c r="P2339">
        <v>24</v>
      </c>
      <c r="Q2339">
        <v>547</v>
      </c>
      <c r="R2339">
        <v>548</v>
      </c>
    </row>
    <row r="2340" spans="1:18" x14ac:dyDescent="0.25">
      <c r="A2340">
        <v>549</v>
      </c>
      <c r="B2340" s="1">
        <v>40568</v>
      </c>
      <c r="C2340">
        <v>1</v>
      </c>
      <c r="D2340">
        <v>0</v>
      </c>
      <c r="E2340">
        <v>1</v>
      </c>
      <c r="F2340">
        <v>0</v>
      </c>
      <c r="G2340" t="b">
        <v>0</v>
      </c>
      <c r="H2340">
        <v>2</v>
      </c>
      <c r="I2340">
        <v>2</v>
      </c>
      <c r="J2340">
        <v>0.16</v>
      </c>
      <c r="K2340">
        <v>0.13639999999999999</v>
      </c>
      <c r="L2340">
        <v>0.69</v>
      </c>
      <c r="M2340">
        <v>0.28360000000000002</v>
      </c>
      <c r="N2340">
        <v>3</v>
      </c>
      <c r="O2340">
        <v>6</v>
      </c>
      <c r="P2340">
        <v>9</v>
      </c>
      <c r="Q2340">
        <v>548</v>
      </c>
      <c r="R2340">
        <v>549</v>
      </c>
    </row>
    <row r="2341" spans="1:18" x14ac:dyDescent="0.25">
      <c r="A2341">
        <v>550</v>
      </c>
      <c r="B2341" s="1">
        <v>40568</v>
      </c>
      <c r="C2341">
        <v>1</v>
      </c>
      <c r="D2341">
        <v>0</v>
      </c>
      <c r="E2341">
        <v>1</v>
      </c>
      <c r="F2341">
        <v>1</v>
      </c>
      <c r="G2341" t="b">
        <v>0</v>
      </c>
      <c r="H2341">
        <v>2</v>
      </c>
      <c r="I2341">
        <v>2</v>
      </c>
      <c r="J2341">
        <v>0.16</v>
      </c>
      <c r="K2341">
        <v>0.16669999999999999</v>
      </c>
      <c r="L2341">
        <v>0.69</v>
      </c>
      <c r="M2341">
        <v>0.16420000000000001</v>
      </c>
      <c r="N2341">
        <v>0</v>
      </c>
      <c r="O2341">
        <v>5</v>
      </c>
      <c r="P2341">
        <v>5</v>
      </c>
      <c r="Q2341">
        <v>549</v>
      </c>
      <c r="R2341">
        <v>550</v>
      </c>
    </row>
    <row r="2342" spans="1:18" x14ac:dyDescent="0.25">
      <c r="A2342">
        <v>551</v>
      </c>
      <c r="B2342" s="1">
        <v>40568</v>
      </c>
      <c r="C2342">
        <v>1</v>
      </c>
      <c r="D2342">
        <v>0</v>
      </c>
      <c r="E2342">
        <v>1</v>
      </c>
      <c r="F2342">
        <v>2</v>
      </c>
      <c r="G2342" t="b">
        <v>0</v>
      </c>
      <c r="H2342">
        <v>2</v>
      </c>
      <c r="I2342">
        <v>1</v>
      </c>
      <c r="J2342">
        <v>0.16</v>
      </c>
      <c r="K2342">
        <v>0.1515</v>
      </c>
      <c r="L2342">
        <v>0.69</v>
      </c>
      <c r="M2342">
        <v>0.22389999999999999</v>
      </c>
      <c r="N2342">
        <v>0</v>
      </c>
      <c r="O2342">
        <v>2</v>
      </c>
      <c r="P2342">
        <v>2</v>
      </c>
      <c r="Q2342">
        <v>550</v>
      </c>
      <c r="R2342">
        <v>551</v>
      </c>
    </row>
    <row r="2343" spans="1:18" x14ac:dyDescent="0.25">
      <c r="A2343">
        <v>552</v>
      </c>
      <c r="B2343" s="1">
        <v>40568</v>
      </c>
      <c r="C2343">
        <v>1</v>
      </c>
      <c r="D2343">
        <v>0</v>
      </c>
      <c r="E2343">
        <v>1</v>
      </c>
      <c r="F2343">
        <v>4</v>
      </c>
      <c r="G2343" t="b">
        <v>0</v>
      </c>
      <c r="H2343">
        <v>2</v>
      </c>
      <c r="I2343">
        <v>1</v>
      </c>
      <c r="J2343">
        <v>0.14000000000000001</v>
      </c>
      <c r="K2343">
        <v>0.16669999999999999</v>
      </c>
      <c r="L2343">
        <v>0.74</v>
      </c>
      <c r="M2343">
        <v>0.1045</v>
      </c>
      <c r="N2343">
        <v>0</v>
      </c>
      <c r="O2343">
        <v>1</v>
      </c>
      <c r="P2343">
        <v>1</v>
      </c>
      <c r="Q2343">
        <v>551</v>
      </c>
      <c r="R2343">
        <v>552</v>
      </c>
    </row>
    <row r="2344" spans="1:18" x14ac:dyDescent="0.25">
      <c r="A2344">
        <v>553</v>
      </c>
      <c r="B2344" s="1">
        <v>40568</v>
      </c>
      <c r="C2344">
        <v>1</v>
      </c>
      <c r="D2344">
        <v>0</v>
      </c>
      <c r="E2344">
        <v>1</v>
      </c>
      <c r="F2344">
        <v>5</v>
      </c>
      <c r="G2344" t="b">
        <v>0</v>
      </c>
      <c r="H2344">
        <v>2</v>
      </c>
      <c r="I2344">
        <v>1</v>
      </c>
      <c r="J2344">
        <v>0.14000000000000001</v>
      </c>
      <c r="K2344">
        <v>0.13639999999999999</v>
      </c>
      <c r="L2344">
        <v>0.74</v>
      </c>
      <c r="M2344">
        <v>0.22389999999999999</v>
      </c>
      <c r="N2344">
        <v>0</v>
      </c>
      <c r="O2344">
        <v>9</v>
      </c>
      <c r="P2344">
        <v>9</v>
      </c>
      <c r="Q2344">
        <v>552</v>
      </c>
      <c r="R2344">
        <v>553</v>
      </c>
    </row>
    <row r="2345" spans="1:18" x14ac:dyDescent="0.25">
      <c r="A2345">
        <v>554</v>
      </c>
      <c r="B2345" s="1">
        <v>40568</v>
      </c>
      <c r="C2345">
        <v>1</v>
      </c>
      <c r="D2345">
        <v>0</v>
      </c>
      <c r="E2345">
        <v>1</v>
      </c>
      <c r="F2345">
        <v>6</v>
      </c>
      <c r="G2345" t="b">
        <v>0</v>
      </c>
      <c r="H2345">
        <v>2</v>
      </c>
      <c r="I2345">
        <v>1</v>
      </c>
      <c r="J2345">
        <v>0.16</v>
      </c>
      <c r="K2345">
        <v>0.18179999999999999</v>
      </c>
      <c r="L2345">
        <v>0.74</v>
      </c>
      <c r="M2345">
        <v>0.1045</v>
      </c>
      <c r="N2345">
        <v>1</v>
      </c>
      <c r="O2345">
        <v>35</v>
      </c>
      <c r="P2345">
        <v>36</v>
      </c>
      <c r="Q2345">
        <v>553</v>
      </c>
      <c r="R2345">
        <v>554</v>
      </c>
    </row>
    <row r="2346" spans="1:18" x14ac:dyDescent="0.25">
      <c r="A2346">
        <v>555</v>
      </c>
      <c r="B2346" s="1">
        <v>40568</v>
      </c>
      <c r="C2346">
        <v>1</v>
      </c>
      <c r="D2346">
        <v>0</v>
      </c>
      <c r="E2346">
        <v>1</v>
      </c>
      <c r="F2346">
        <v>7</v>
      </c>
      <c r="G2346" t="b">
        <v>0</v>
      </c>
      <c r="H2346">
        <v>2</v>
      </c>
      <c r="I2346">
        <v>1</v>
      </c>
      <c r="J2346">
        <v>0.16</v>
      </c>
      <c r="K2346">
        <v>0.1515</v>
      </c>
      <c r="L2346">
        <v>0.74</v>
      </c>
      <c r="M2346">
        <v>0.22389999999999999</v>
      </c>
      <c r="N2346">
        <v>5</v>
      </c>
      <c r="O2346">
        <v>103</v>
      </c>
      <c r="P2346">
        <v>108</v>
      </c>
      <c r="Q2346">
        <v>554</v>
      </c>
      <c r="R2346">
        <v>555</v>
      </c>
    </row>
    <row r="2347" spans="1:18" x14ac:dyDescent="0.25">
      <c r="A2347">
        <v>556</v>
      </c>
      <c r="B2347" s="1">
        <v>40568</v>
      </c>
      <c r="C2347">
        <v>1</v>
      </c>
      <c r="D2347">
        <v>0</v>
      </c>
      <c r="E2347">
        <v>1</v>
      </c>
      <c r="F2347">
        <v>8</v>
      </c>
      <c r="G2347" t="b">
        <v>0</v>
      </c>
      <c r="H2347">
        <v>2</v>
      </c>
      <c r="I2347">
        <v>2</v>
      </c>
      <c r="J2347">
        <v>0.16</v>
      </c>
      <c r="K2347">
        <v>0.18179999999999999</v>
      </c>
      <c r="L2347">
        <v>0.74</v>
      </c>
      <c r="M2347">
        <v>0.1343</v>
      </c>
      <c r="N2347">
        <v>5</v>
      </c>
      <c r="O2347">
        <v>233</v>
      </c>
      <c r="P2347">
        <v>238</v>
      </c>
      <c r="Q2347">
        <v>555</v>
      </c>
      <c r="R2347">
        <v>556</v>
      </c>
    </row>
    <row r="2348" spans="1:18" x14ac:dyDescent="0.25">
      <c r="A2348">
        <v>557</v>
      </c>
      <c r="B2348" s="1">
        <v>40568</v>
      </c>
      <c r="C2348">
        <v>1</v>
      </c>
      <c r="D2348">
        <v>0</v>
      </c>
      <c r="E2348">
        <v>1</v>
      </c>
      <c r="F2348">
        <v>9</v>
      </c>
      <c r="G2348" t="b">
        <v>0</v>
      </c>
      <c r="H2348">
        <v>2</v>
      </c>
      <c r="I2348">
        <v>2</v>
      </c>
      <c r="J2348">
        <v>0.2</v>
      </c>
      <c r="K2348">
        <v>0.2273</v>
      </c>
      <c r="L2348">
        <v>0.64</v>
      </c>
      <c r="M2348">
        <v>8.9599999999999999E-2</v>
      </c>
      <c r="N2348">
        <v>10</v>
      </c>
      <c r="O2348">
        <v>134</v>
      </c>
      <c r="P2348">
        <v>144</v>
      </c>
      <c r="Q2348">
        <v>556</v>
      </c>
      <c r="R2348">
        <v>557</v>
      </c>
    </row>
    <row r="2349" spans="1:18" x14ac:dyDescent="0.25">
      <c r="A2349">
        <v>558</v>
      </c>
      <c r="B2349" s="1">
        <v>40568</v>
      </c>
      <c r="C2349">
        <v>1</v>
      </c>
      <c r="D2349">
        <v>0</v>
      </c>
      <c r="E2349">
        <v>1</v>
      </c>
      <c r="F2349">
        <v>10</v>
      </c>
      <c r="G2349" t="b">
        <v>0</v>
      </c>
      <c r="H2349">
        <v>2</v>
      </c>
      <c r="I2349">
        <v>2</v>
      </c>
      <c r="J2349">
        <v>0.22</v>
      </c>
      <c r="K2349">
        <v>0.2424</v>
      </c>
      <c r="L2349">
        <v>0.6</v>
      </c>
      <c r="M2349">
        <v>0.1045</v>
      </c>
      <c r="N2349">
        <v>6</v>
      </c>
      <c r="O2349">
        <v>49</v>
      </c>
      <c r="P2349">
        <v>55</v>
      </c>
      <c r="Q2349">
        <v>557</v>
      </c>
      <c r="R2349">
        <v>558</v>
      </c>
    </row>
    <row r="2350" spans="1:18" x14ac:dyDescent="0.25">
      <c r="A2350">
        <v>559</v>
      </c>
      <c r="B2350" s="1">
        <v>40568</v>
      </c>
      <c r="C2350">
        <v>1</v>
      </c>
      <c r="D2350">
        <v>0</v>
      </c>
      <c r="E2350">
        <v>1</v>
      </c>
      <c r="F2350">
        <v>11</v>
      </c>
      <c r="G2350" t="b">
        <v>0</v>
      </c>
      <c r="H2350">
        <v>2</v>
      </c>
      <c r="I2350">
        <v>2</v>
      </c>
      <c r="J2350">
        <v>0.24</v>
      </c>
      <c r="K2350">
        <v>0.2424</v>
      </c>
      <c r="L2350">
        <v>0.6</v>
      </c>
      <c r="M2350">
        <v>0.1343</v>
      </c>
      <c r="N2350">
        <v>6</v>
      </c>
      <c r="O2350">
        <v>55</v>
      </c>
      <c r="P2350">
        <v>61</v>
      </c>
      <c r="Q2350">
        <v>558</v>
      </c>
      <c r="R2350">
        <v>559</v>
      </c>
    </row>
    <row r="2351" spans="1:18" x14ac:dyDescent="0.25">
      <c r="A2351">
        <v>560</v>
      </c>
      <c r="B2351" s="1">
        <v>40568</v>
      </c>
      <c r="C2351">
        <v>1</v>
      </c>
      <c r="D2351">
        <v>0</v>
      </c>
      <c r="E2351">
        <v>1</v>
      </c>
      <c r="F2351">
        <v>12</v>
      </c>
      <c r="G2351" t="b">
        <v>0</v>
      </c>
      <c r="H2351">
        <v>2</v>
      </c>
      <c r="I2351">
        <v>2</v>
      </c>
      <c r="J2351">
        <v>0.26</v>
      </c>
      <c r="K2351">
        <v>0.28789999999999999</v>
      </c>
      <c r="L2351">
        <v>0.56000000000000005</v>
      </c>
      <c r="M2351">
        <v>8.9599999999999999E-2</v>
      </c>
      <c r="N2351">
        <v>21</v>
      </c>
      <c r="O2351">
        <v>85</v>
      </c>
      <c r="P2351">
        <v>106</v>
      </c>
      <c r="Q2351">
        <v>559</v>
      </c>
      <c r="R2351">
        <v>560</v>
      </c>
    </row>
    <row r="2352" spans="1:18" x14ac:dyDescent="0.25">
      <c r="A2352">
        <v>561</v>
      </c>
      <c r="B2352" s="1">
        <v>40568</v>
      </c>
      <c r="C2352">
        <v>1</v>
      </c>
      <c r="D2352">
        <v>0</v>
      </c>
      <c r="E2352">
        <v>1</v>
      </c>
      <c r="F2352">
        <v>13</v>
      </c>
      <c r="G2352" t="b">
        <v>0</v>
      </c>
      <c r="H2352">
        <v>2</v>
      </c>
      <c r="I2352">
        <v>2</v>
      </c>
      <c r="J2352">
        <v>0.26</v>
      </c>
      <c r="K2352">
        <v>0.2727</v>
      </c>
      <c r="L2352">
        <v>0.56000000000000005</v>
      </c>
      <c r="M2352">
        <v>0.1343</v>
      </c>
      <c r="N2352">
        <v>21</v>
      </c>
      <c r="O2352">
        <v>72</v>
      </c>
      <c r="P2352">
        <v>93</v>
      </c>
      <c r="Q2352">
        <v>560</v>
      </c>
      <c r="R2352">
        <v>561</v>
      </c>
    </row>
    <row r="2353" spans="1:18" x14ac:dyDescent="0.25">
      <c r="A2353">
        <v>562</v>
      </c>
      <c r="B2353" s="1">
        <v>40568</v>
      </c>
      <c r="C2353">
        <v>1</v>
      </c>
      <c r="D2353">
        <v>0</v>
      </c>
      <c r="E2353">
        <v>1</v>
      </c>
      <c r="F2353">
        <v>14</v>
      </c>
      <c r="G2353" t="b">
        <v>0</v>
      </c>
      <c r="H2353">
        <v>2</v>
      </c>
      <c r="I2353">
        <v>2</v>
      </c>
      <c r="J2353">
        <v>0.3</v>
      </c>
      <c r="K2353">
        <v>0.33329999999999999</v>
      </c>
      <c r="L2353">
        <v>0.45</v>
      </c>
      <c r="M2353">
        <v>0</v>
      </c>
      <c r="N2353">
        <v>11</v>
      </c>
      <c r="O2353">
        <v>57</v>
      </c>
      <c r="P2353">
        <v>68</v>
      </c>
      <c r="Q2353">
        <v>561</v>
      </c>
      <c r="R2353">
        <v>562</v>
      </c>
    </row>
    <row r="2354" spans="1:18" x14ac:dyDescent="0.25">
      <c r="A2354">
        <v>563</v>
      </c>
      <c r="B2354" s="1">
        <v>40568</v>
      </c>
      <c r="C2354">
        <v>1</v>
      </c>
      <c r="D2354">
        <v>0</v>
      </c>
      <c r="E2354">
        <v>1</v>
      </c>
      <c r="F2354">
        <v>15</v>
      </c>
      <c r="G2354" t="b">
        <v>0</v>
      </c>
      <c r="H2354">
        <v>2</v>
      </c>
      <c r="I2354">
        <v>2</v>
      </c>
      <c r="J2354">
        <v>0.32</v>
      </c>
      <c r="K2354">
        <v>0.34849999999999998</v>
      </c>
      <c r="L2354">
        <v>0.42</v>
      </c>
      <c r="M2354">
        <v>0</v>
      </c>
      <c r="N2354">
        <v>21</v>
      </c>
      <c r="O2354">
        <v>63</v>
      </c>
      <c r="P2354">
        <v>84</v>
      </c>
      <c r="Q2354">
        <v>562</v>
      </c>
      <c r="R2354">
        <v>563</v>
      </c>
    </row>
    <row r="2355" spans="1:18" x14ac:dyDescent="0.25">
      <c r="A2355">
        <v>564</v>
      </c>
      <c r="B2355" s="1">
        <v>40568</v>
      </c>
      <c r="C2355">
        <v>1</v>
      </c>
      <c r="D2355">
        <v>0</v>
      </c>
      <c r="E2355">
        <v>1</v>
      </c>
      <c r="F2355">
        <v>16</v>
      </c>
      <c r="G2355" t="b">
        <v>0</v>
      </c>
      <c r="H2355">
        <v>2</v>
      </c>
      <c r="I2355">
        <v>2</v>
      </c>
      <c r="J2355">
        <v>0.32</v>
      </c>
      <c r="K2355">
        <v>0.34849999999999998</v>
      </c>
      <c r="L2355">
        <v>0.42</v>
      </c>
      <c r="M2355">
        <v>0</v>
      </c>
      <c r="N2355">
        <v>14</v>
      </c>
      <c r="O2355">
        <v>102</v>
      </c>
      <c r="P2355">
        <v>116</v>
      </c>
      <c r="Q2355">
        <v>563</v>
      </c>
      <c r="R2355">
        <v>564</v>
      </c>
    </row>
    <row r="2356" spans="1:18" x14ac:dyDescent="0.25">
      <c r="A2356">
        <v>565</v>
      </c>
      <c r="B2356" s="1">
        <v>40568</v>
      </c>
      <c r="C2356">
        <v>1</v>
      </c>
      <c r="D2356">
        <v>0</v>
      </c>
      <c r="E2356">
        <v>1</v>
      </c>
      <c r="F2356">
        <v>17</v>
      </c>
      <c r="G2356" t="b">
        <v>0</v>
      </c>
      <c r="H2356">
        <v>2</v>
      </c>
      <c r="I2356">
        <v>1</v>
      </c>
      <c r="J2356">
        <v>0.3</v>
      </c>
      <c r="K2356">
        <v>0.33329999999999999</v>
      </c>
      <c r="L2356">
        <v>0.45</v>
      </c>
      <c r="M2356">
        <v>0</v>
      </c>
      <c r="N2356">
        <v>14</v>
      </c>
      <c r="O2356">
        <v>208</v>
      </c>
      <c r="P2356">
        <v>222</v>
      </c>
      <c r="Q2356">
        <v>564</v>
      </c>
      <c r="R2356">
        <v>565</v>
      </c>
    </row>
    <row r="2357" spans="1:18" x14ac:dyDescent="0.25">
      <c r="A2357">
        <v>566</v>
      </c>
      <c r="B2357" s="1">
        <v>40568</v>
      </c>
      <c r="C2357">
        <v>1</v>
      </c>
      <c r="D2357">
        <v>0</v>
      </c>
      <c r="E2357">
        <v>1</v>
      </c>
      <c r="F2357">
        <v>18</v>
      </c>
      <c r="G2357" t="b">
        <v>0</v>
      </c>
      <c r="H2357">
        <v>2</v>
      </c>
      <c r="I2357">
        <v>2</v>
      </c>
      <c r="J2357">
        <v>0.3</v>
      </c>
      <c r="K2357">
        <v>0.31819999999999998</v>
      </c>
      <c r="L2357">
        <v>0.49</v>
      </c>
      <c r="M2357">
        <v>8.9599999999999999E-2</v>
      </c>
      <c r="N2357">
        <v>7</v>
      </c>
      <c r="O2357">
        <v>218</v>
      </c>
      <c r="P2357">
        <v>225</v>
      </c>
      <c r="Q2357">
        <v>565</v>
      </c>
      <c r="R2357">
        <v>566</v>
      </c>
    </row>
    <row r="2358" spans="1:18" x14ac:dyDescent="0.25">
      <c r="A2358">
        <v>567</v>
      </c>
      <c r="B2358" s="1">
        <v>40568</v>
      </c>
      <c r="C2358">
        <v>1</v>
      </c>
      <c r="D2358">
        <v>0</v>
      </c>
      <c r="E2358">
        <v>1</v>
      </c>
      <c r="F2358">
        <v>19</v>
      </c>
      <c r="G2358" t="b">
        <v>0</v>
      </c>
      <c r="H2358">
        <v>2</v>
      </c>
      <c r="I2358">
        <v>2</v>
      </c>
      <c r="J2358">
        <v>0.26</v>
      </c>
      <c r="K2358">
        <v>0.2576</v>
      </c>
      <c r="L2358">
        <v>0.65</v>
      </c>
      <c r="M2358">
        <v>0.16420000000000001</v>
      </c>
      <c r="N2358">
        <v>13</v>
      </c>
      <c r="O2358">
        <v>133</v>
      </c>
      <c r="P2358">
        <v>146</v>
      </c>
      <c r="Q2358">
        <v>566</v>
      </c>
      <c r="R2358">
        <v>567</v>
      </c>
    </row>
    <row r="2359" spans="1:18" x14ac:dyDescent="0.25">
      <c r="A2359">
        <v>568</v>
      </c>
      <c r="B2359" s="1">
        <v>40568</v>
      </c>
      <c r="C2359">
        <v>1</v>
      </c>
      <c r="D2359">
        <v>0</v>
      </c>
      <c r="E2359">
        <v>1</v>
      </c>
      <c r="F2359">
        <v>20</v>
      </c>
      <c r="G2359" t="b">
        <v>0</v>
      </c>
      <c r="H2359">
        <v>2</v>
      </c>
      <c r="I2359">
        <v>1</v>
      </c>
      <c r="J2359">
        <v>0.24</v>
      </c>
      <c r="K2359">
        <v>0.2273</v>
      </c>
      <c r="L2359">
        <v>0.65</v>
      </c>
      <c r="M2359">
        <v>0.19400000000000001</v>
      </c>
      <c r="N2359">
        <v>16</v>
      </c>
      <c r="O2359">
        <v>103</v>
      </c>
      <c r="P2359">
        <v>119</v>
      </c>
      <c r="Q2359">
        <v>567</v>
      </c>
      <c r="R2359">
        <v>568</v>
      </c>
    </row>
    <row r="2360" spans="1:18" x14ac:dyDescent="0.25">
      <c r="A2360">
        <v>569</v>
      </c>
      <c r="B2360" s="1">
        <v>40568</v>
      </c>
      <c r="C2360">
        <v>1</v>
      </c>
      <c r="D2360">
        <v>0</v>
      </c>
      <c r="E2360">
        <v>1</v>
      </c>
      <c r="F2360">
        <v>21</v>
      </c>
      <c r="G2360" t="b">
        <v>0</v>
      </c>
      <c r="H2360">
        <v>2</v>
      </c>
      <c r="I2360">
        <v>1</v>
      </c>
      <c r="J2360">
        <v>0.24</v>
      </c>
      <c r="K2360">
        <v>0.2273</v>
      </c>
      <c r="L2360">
        <v>0.65</v>
      </c>
      <c r="M2360">
        <v>0.19400000000000001</v>
      </c>
      <c r="N2360">
        <v>5</v>
      </c>
      <c r="O2360">
        <v>40</v>
      </c>
      <c r="P2360">
        <v>45</v>
      </c>
      <c r="Q2360">
        <v>568</v>
      </c>
      <c r="R2360">
        <v>569</v>
      </c>
    </row>
    <row r="2361" spans="1:18" x14ac:dyDescent="0.25">
      <c r="A2361">
        <v>570</v>
      </c>
      <c r="B2361" s="1">
        <v>40568</v>
      </c>
      <c r="C2361">
        <v>1</v>
      </c>
      <c r="D2361">
        <v>0</v>
      </c>
      <c r="E2361">
        <v>1</v>
      </c>
      <c r="F2361">
        <v>22</v>
      </c>
      <c r="G2361" t="b">
        <v>0</v>
      </c>
      <c r="H2361">
        <v>2</v>
      </c>
      <c r="I2361">
        <v>1</v>
      </c>
      <c r="J2361">
        <v>0.22</v>
      </c>
      <c r="K2361">
        <v>0.2273</v>
      </c>
      <c r="L2361">
        <v>0.64</v>
      </c>
      <c r="M2361">
        <v>0.16420000000000001</v>
      </c>
      <c r="N2361">
        <v>4</v>
      </c>
      <c r="O2361">
        <v>49</v>
      </c>
      <c r="P2361">
        <v>53</v>
      </c>
      <c r="Q2361">
        <v>569</v>
      </c>
      <c r="R2361">
        <v>570</v>
      </c>
    </row>
    <row r="2362" spans="1:18" x14ac:dyDescent="0.25">
      <c r="A2362">
        <v>571</v>
      </c>
      <c r="B2362" s="1">
        <v>40568</v>
      </c>
      <c r="C2362">
        <v>1</v>
      </c>
      <c r="D2362">
        <v>0</v>
      </c>
      <c r="E2362">
        <v>1</v>
      </c>
      <c r="F2362">
        <v>23</v>
      </c>
      <c r="G2362" t="b">
        <v>0</v>
      </c>
      <c r="H2362">
        <v>2</v>
      </c>
      <c r="I2362">
        <v>2</v>
      </c>
      <c r="J2362">
        <v>0.22</v>
      </c>
      <c r="K2362">
        <v>0.2273</v>
      </c>
      <c r="L2362">
        <v>0.64</v>
      </c>
      <c r="M2362">
        <v>0.16420000000000001</v>
      </c>
      <c r="N2362">
        <v>3</v>
      </c>
      <c r="O2362">
        <v>37</v>
      </c>
      <c r="P2362">
        <v>40</v>
      </c>
      <c r="Q2362">
        <v>570</v>
      </c>
      <c r="R2362">
        <v>571</v>
      </c>
    </row>
    <row r="2363" spans="1:18" x14ac:dyDescent="0.25">
      <c r="A2363">
        <v>572</v>
      </c>
      <c r="B2363" s="1">
        <v>40569</v>
      </c>
      <c r="C2363">
        <v>1</v>
      </c>
      <c r="D2363">
        <v>0</v>
      </c>
      <c r="E2363">
        <v>1</v>
      </c>
      <c r="F2363">
        <v>0</v>
      </c>
      <c r="G2363" t="b">
        <v>0</v>
      </c>
      <c r="H2363">
        <v>3</v>
      </c>
      <c r="I2363">
        <v>2</v>
      </c>
      <c r="J2363">
        <v>0.22</v>
      </c>
      <c r="K2363">
        <v>0.2273</v>
      </c>
      <c r="L2363">
        <v>0.69</v>
      </c>
      <c r="M2363">
        <v>0.1343</v>
      </c>
      <c r="N2363">
        <v>3</v>
      </c>
      <c r="O2363">
        <v>14</v>
      </c>
      <c r="P2363">
        <v>17</v>
      </c>
      <c r="Q2363">
        <v>571</v>
      </c>
      <c r="R2363">
        <v>572</v>
      </c>
    </row>
    <row r="2364" spans="1:18" x14ac:dyDescent="0.25">
      <c r="A2364">
        <v>573</v>
      </c>
      <c r="B2364" s="1">
        <v>40569</v>
      </c>
      <c r="C2364">
        <v>1</v>
      </c>
      <c r="D2364">
        <v>0</v>
      </c>
      <c r="E2364">
        <v>1</v>
      </c>
      <c r="F2364">
        <v>1</v>
      </c>
      <c r="G2364" t="b">
        <v>0</v>
      </c>
      <c r="H2364">
        <v>3</v>
      </c>
      <c r="I2364">
        <v>2</v>
      </c>
      <c r="J2364">
        <v>0.24</v>
      </c>
      <c r="K2364">
        <v>0.2424</v>
      </c>
      <c r="L2364">
        <v>0.65</v>
      </c>
      <c r="M2364">
        <v>0.1343</v>
      </c>
      <c r="N2364">
        <v>0</v>
      </c>
      <c r="O2364">
        <v>5</v>
      </c>
      <c r="P2364">
        <v>5</v>
      </c>
      <c r="Q2364">
        <v>572</v>
      </c>
      <c r="R2364">
        <v>573</v>
      </c>
    </row>
    <row r="2365" spans="1:18" x14ac:dyDescent="0.25">
      <c r="A2365">
        <v>574</v>
      </c>
      <c r="B2365" s="1">
        <v>40569</v>
      </c>
      <c r="C2365">
        <v>1</v>
      </c>
      <c r="D2365">
        <v>0</v>
      </c>
      <c r="E2365">
        <v>1</v>
      </c>
      <c r="F2365">
        <v>2</v>
      </c>
      <c r="G2365" t="b">
        <v>0</v>
      </c>
      <c r="H2365">
        <v>3</v>
      </c>
      <c r="I2365">
        <v>3</v>
      </c>
      <c r="J2365">
        <v>0.22</v>
      </c>
      <c r="K2365">
        <v>0.2273</v>
      </c>
      <c r="L2365">
        <v>0.69</v>
      </c>
      <c r="M2365">
        <v>0.19400000000000001</v>
      </c>
      <c r="N2365">
        <v>3</v>
      </c>
      <c r="O2365">
        <v>7</v>
      </c>
      <c r="P2365">
        <v>10</v>
      </c>
      <c r="Q2365">
        <v>573</v>
      </c>
      <c r="R2365">
        <v>574</v>
      </c>
    </row>
    <row r="2366" spans="1:18" x14ac:dyDescent="0.25">
      <c r="A2366">
        <v>575</v>
      </c>
      <c r="B2366" s="1">
        <v>40569</v>
      </c>
      <c r="C2366">
        <v>1</v>
      </c>
      <c r="D2366">
        <v>0</v>
      </c>
      <c r="E2366">
        <v>1</v>
      </c>
      <c r="F2366">
        <v>5</v>
      </c>
      <c r="G2366" t="b">
        <v>0</v>
      </c>
      <c r="H2366">
        <v>3</v>
      </c>
      <c r="I2366">
        <v>3</v>
      </c>
      <c r="J2366">
        <v>0.2</v>
      </c>
      <c r="K2366">
        <v>0.18179999999999999</v>
      </c>
      <c r="L2366">
        <v>0.86</v>
      </c>
      <c r="M2366">
        <v>0.28360000000000002</v>
      </c>
      <c r="N2366">
        <v>0</v>
      </c>
      <c r="O2366">
        <v>1</v>
      </c>
      <c r="P2366">
        <v>1</v>
      </c>
      <c r="Q2366">
        <v>574</v>
      </c>
      <c r="R2366">
        <v>575</v>
      </c>
    </row>
    <row r="2367" spans="1:18" x14ac:dyDescent="0.25">
      <c r="A2367">
        <v>576</v>
      </c>
      <c r="B2367" s="1">
        <v>40569</v>
      </c>
      <c r="C2367">
        <v>1</v>
      </c>
      <c r="D2367">
        <v>0</v>
      </c>
      <c r="E2367">
        <v>1</v>
      </c>
      <c r="F2367">
        <v>6</v>
      </c>
      <c r="G2367" t="b">
        <v>0</v>
      </c>
      <c r="H2367">
        <v>3</v>
      </c>
      <c r="I2367">
        <v>3</v>
      </c>
      <c r="J2367">
        <v>0.2</v>
      </c>
      <c r="K2367">
        <v>0.18179999999999999</v>
      </c>
      <c r="L2367">
        <v>0.86</v>
      </c>
      <c r="M2367">
        <v>0.28360000000000002</v>
      </c>
      <c r="N2367">
        <v>0</v>
      </c>
      <c r="O2367">
        <v>8</v>
      </c>
      <c r="P2367">
        <v>8</v>
      </c>
      <c r="Q2367">
        <v>575</v>
      </c>
      <c r="R2367">
        <v>576</v>
      </c>
    </row>
    <row r="2368" spans="1:18" x14ac:dyDescent="0.25">
      <c r="A2368">
        <v>577</v>
      </c>
      <c r="B2368" s="1">
        <v>40569</v>
      </c>
      <c r="C2368">
        <v>1</v>
      </c>
      <c r="D2368">
        <v>0</v>
      </c>
      <c r="E2368">
        <v>1</v>
      </c>
      <c r="F2368">
        <v>7</v>
      </c>
      <c r="G2368" t="b">
        <v>0</v>
      </c>
      <c r="H2368">
        <v>3</v>
      </c>
      <c r="I2368">
        <v>3</v>
      </c>
      <c r="J2368">
        <v>0.22</v>
      </c>
      <c r="K2368">
        <v>0.21210000000000001</v>
      </c>
      <c r="L2368">
        <v>0.87</v>
      </c>
      <c r="M2368">
        <v>0.29849999999999999</v>
      </c>
      <c r="N2368">
        <v>1</v>
      </c>
      <c r="O2368">
        <v>29</v>
      </c>
      <c r="P2368">
        <v>30</v>
      </c>
      <c r="Q2368">
        <v>576</v>
      </c>
      <c r="R2368">
        <v>577</v>
      </c>
    </row>
    <row r="2369" spans="1:18" x14ac:dyDescent="0.25">
      <c r="A2369">
        <v>578</v>
      </c>
      <c r="B2369" s="1">
        <v>40569</v>
      </c>
      <c r="C2369">
        <v>1</v>
      </c>
      <c r="D2369">
        <v>0</v>
      </c>
      <c r="E2369">
        <v>1</v>
      </c>
      <c r="F2369">
        <v>8</v>
      </c>
      <c r="G2369" t="b">
        <v>0</v>
      </c>
      <c r="H2369">
        <v>3</v>
      </c>
      <c r="I2369">
        <v>3</v>
      </c>
      <c r="J2369">
        <v>0.22</v>
      </c>
      <c r="K2369">
        <v>0.21210000000000001</v>
      </c>
      <c r="L2369">
        <v>0.87</v>
      </c>
      <c r="M2369">
        <v>0.29849999999999999</v>
      </c>
      <c r="N2369">
        <v>3</v>
      </c>
      <c r="O2369">
        <v>69</v>
      </c>
      <c r="P2369">
        <v>72</v>
      </c>
      <c r="Q2369">
        <v>577</v>
      </c>
      <c r="R2369">
        <v>578</v>
      </c>
    </row>
    <row r="2370" spans="1:18" x14ac:dyDescent="0.25">
      <c r="A2370">
        <v>579</v>
      </c>
      <c r="B2370" s="1">
        <v>40569</v>
      </c>
      <c r="C2370">
        <v>1</v>
      </c>
      <c r="D2370">
        <v>0</v>
      </c>
      <c r="E2370">
        <v>1</v>
      </c>
      <c r="F2370">
        <v>9</v>
      </c>
      <c r="G2370" t="b">
        <v>0</v>
      </c>
      <c r="H2370">
        <v>3</v>
      </c>
      <c r="I2370">
        <v>3</v>
      </c>
      <c r="J2370">
        <v>0.22</v>
      </c>
      <c r="K2370">
        <v>0.21210000000000001</v>
      </c>
      <c r="L2370">
        <v>0.87</v>
      </c>
      <c r="M2370">
        <v>0.29849999999999999</v>
      </c>
      <c r="N2370">
        <v>3</v>
      </c>
      <c r="O2370">
        <v>55</v>
      </c>
      <c r="P2370">
        <v>58</v>
      </c>
      <c r="Q2370">
        <v>578</v>
      </c>
      <c r="R2370">
        <v>579</v>
      </c>
    </row>
    <row r="2371" spans="1:18" x14ac:dyDescent="0.25">
      <c r="A2371">
        <v>580</v>
      </c>
      <c r="B2371" s="1">
        <v>40569</v>
      </c>
      <c r="C2371">
        <v>1</v>
      </c>
      <c r="D2371">
        <v>0</v>
      </c>
      <c r="E2371">
        <v>1</v>
      </c>
      <c r="F2371">
        <v>10</v>
      </c>
      <c r="G2371" t="b">
        <v>0</v>
      </c>
      <c r="H2371">
        <v>3</v>
      </c>
      <c r="I2371">
        <v>3</v>
      </c>
      <c r="J2371">
        <v>0.22</v>
      </c>
      <c r="K2371">
        <v>0.21210000000000001</v>
      </c>
      <c r="L2371">
        <v>0.93</v>
      </c>
      <c r="M2371">
        <v>0.28360000000000002</v>
      </c>
      <c r="N2371">
        <v>2</v>
      </c>
      <c r="O2371">
        <v>26</v>
      </c>
      <c r="P2371">
        <v>28</v>
      </c>
      <c r="Q2371">
        <v>579</v>
      </c>
      <c r="R2371">
        <v>580</v>
      </c>
    </row>
    <row r="2372" spans="1:18" x14ac:dyDescent="0.25">
      <c r="A2372">
        <v>581</v>
      </c>
      <c r="B2372" s="1">
        <v>40569</v>
      </c>
      <c r="C2372">
        <v>1</v>
      </c>
      <c r="D2372">
        <v>0</v>
      </c>
      <c r="E2372">
        <v>1</v>
      </c>
      <c r="F2372">
        <v>11</v>
      </c>
      <c r="G2372" t="b">
        <v>0</v>
      </c>
      <c r="H2372">
        <v>3</v>
      </c>
      <c r="I2372">
        <v>3</v>
      </c>
      <c r="J2372">
        <v>0.22</v>
      </c>
      <c r="K2372">
        <v>0.19700000000000001</v>
      </c>
      <c r="L2372">
        <v>0.93</v>
      </c>
      <c r="M2372">
        <v>0.32840000000000003</v>
      </c>
      <c r="N2372">
        <v>6</v>
      </c>
      <c r="O2372">
        <v>35</v>
      </c>
      <c r="P2372">
        <v>41</v>
      </c>
      <c r="Q2372">
        <v>580</v>
      </c>
      <c r="R2372">
        <v>581</v>
      </c>
    </row>
    <row r="2373" spans="1:18" x14ac:dyDescent="0.25">
      <c r="A2373">
        <v>582</v>
      </c>
      <c r="B2373" s="1">
        <v>40569</v>
      </c>
      <c r="C2373">
        <v>1</v>
      </c>
      <c r="D2373">
        <v>0</v>
      </c>
      <c r="E2373">
        <v>1</v>
      </c>
      <c r="F2373">
        <v>12</v>
      </c>
      <c r="G2373" t="b">
        <v>0</v>
      </c>
      <c r="H2373">
        <v>3</v>
      </c>
      <c r="I2373">
        <v>3</v>
      </c>
      <c r="J2373">
        <v>0.22</v>
      </c>
      <c r="K2373">
        <v>0.19700000000000001</v>
      </c>
      <c r="L2373">
        <v>0.93</v>
      </c>
      <c r="M2373">
        <v>0.32840000000000003</v>
      </c>
      <c r="N2373">
        <v>7</v>
      </c>
      <c r="O2373">
        <v>41</v>
      </c>
      <c r="P2373">
        <v>48</v>
      </c>
      <c r="Q2373">
        <v>581</v>
      </c>
      <c r="R2373">
        <v>582</v>
      </c>
    </row>
    <row r="2374" spans="1:18" x14ac:dyDescent="0.25">
      <c r="A2374">
        <v>583</v>
      </c>
      <c r="B2374" s="1">
        <v>40569</v>
      </c>
      <c r="C2374">
        <v>1</v>
      </c>
      <c r="D2374">
        <v>0</v>
      </c>
      <c r="E2374">
        <v>1</v>
      </c>
      <c r="F2374">
        <v>13</v>
      </c>
      <c r="G2374" t="b">
        <v>0</v>
      </c>
      <c r="H2374">
        <v>3</v>
      </c>
      <c r="I2374">
        <v>3</v>
      </c>
      <c r="J2374">
        <v>0.22</v>
      </c>
      <c r="K2374">
        <v>0.19700000000000001</v>
      </c>
      <c r="L2374">
        <v>0.93</v>
      </c>
      <c r="M2374">
        <v>0.32840000000000003</v>
      </c>
      <c r="N2374">
        <v>4</v>
      </c>
      <c r="O2374">
        <v>43</v>
      </c>
      <c r="P2374">
        <v>47</v>
      </c>
      <c r="Q2374">
        <v>582</v>
      </c>
      <c r="R2374">
        <v>583</v>
      </c>
    </row>
    <row r="2375" spans="1:18" x14ac:dyDescent="0.25">
      <c r="A2375">
        <v>584</v>
      </c>
      <c r="B2375" s="1">
        <v>40569</v>
      </c>
      <c r="C2375">
        <v>1</v>
      </c>
      <c r="D2375">
        <v>0</v>
      </c>
      <c r="E2375">
        <v>1</v>
      </c>
      <c r="F2375">
        <v>14</v>
      </c>
      <c r="G2375" t="b">
        <v>0</v>
      </c>
      <c r="H2375">
        <v>3</v>
      </c>
      <c r="I2375">
        <v>3</v>
      </c>
      <c r="J2375">
        <v>0.22</v>
      </c>
      <c r="K2375">
        <v>0.19700000000000001</v>
      </c>
      <c r="L2375">
        <v>0.93</v>
      </c>
      <c r="M2375">
        <v>0.35820000000000002</v>
      </c>
      <c r="N2375">
        <v>0</v>
      </c>
      <c r="O2375">
        <v>36</v>
      </c>
      <c r="P2375">
        <v>36</v>
      </c>
      <c r="Q2375">
        <v>583</v>
      </c>
      <c r="R2375">
        <v>584</v>
      </c>
    </row>
    <row r="2376" spans="1:18" x14ac:dyDescent="0.25">
      <c r="A2376">
        <v>585</v>
      </c>
      <c r="B2376" s="1">
        <v>40569</v>
      </c>
      <c r="C2376">
        <v>1</v>
      </c>
      <c r="D2376">
        <v>0</v>
      </c>
      <c r="E2376">
        <v>1</v>
      </c>
      <c r="F2376">
        <v>15</v>
      </c>
      <c r="G2376" t="b">
        <v>0</v>
      </c>
      <c r="H2376">
        <v>3</v>
      </c>
      <c r="I2376">
        <v>3</v>
      </c>
      <c r="J2376">
        <v>0.22</v>
      </c>
      <c r="K2376">
        <v>0.18179999999999999</v>
      </c>
      <c r="L2376">
        <v>0.93</v>
      </c>
      <c r="M2376">
        <v>0.4627</v>
      </c>
      <c r="N2376">
        <v>1</v>
      </c>
      <c r="O2376">
        <v>42</v>
      </c>
      <c r="P2376">
        <v>43</v>
      </c>
      <c r="Q2376">
        <v>584</v>
      </c>
      <c r="R2376">
        <v>585</v>
      </c>
    </row>
    <row r="2377" spans="1:18" x14ac:dyDescent="0.25">
      <c r="A2377">
        <v>586</v>
      </c>
      <c r="B2377" s="1">
        <v>40569</v>
      </c>
      <c r="C2377">
        <v>1</v>
      </c>
      <c r="D2377">
        <v>0</v>
      </c>
      <c r="E2377">
        <v>1</v>
      </c>
      <c r="F2377">
        <v>16</v>
      </c>
      <c r="G2377" t="b">
        <v>0</v>
      </c>
      <c r="H2377">
        <v>3</v>
      </c>
      <c r="I2377">
        <v>4</v>
      </c>
      <c r="J2377">
        <v>0.22</v>
      </c>
      <c r="K2377">
        <v>0.19700000000000001</v>
      </c>
      <c r="L2377">
        <v>0.93</v>
      </c>
      <c r="M2377">
        <v>0.32840000000000003</v>
      </c>
      <c r="N2377">
        <v>1</v>
      </c>
      <c r="O2377">
        <v>35</v>
      </c>
      <c r="P2377">
        <v>36</v>
      </c>
      <c r="Q2377">
        <v>585</v>
      </c>
      <c r="R2377">
        <v>586</v>
      </c>
    </row>
    <row r="2378" spans="1:18" x14ac:dyDescent="0.25">
      <c r="A2378">
        <v>587</v>
      </c>
      <c r="B2378" s="1">
        <v>40569</v>
      </c>
      <c r="C2378">
        <v>1</v>
      </c>
      <c r="D2378">
        <v>0</v>
      </c>
      <c r="E2378">
        <v>1</v>
      </c>
      <c r="F2378">
        <v>17</v>
      </c>
      <c r="G2378" t="b">
        <v>0</v>
      </c>
      <c r="H2378">
        <v>3</v>
      </c>
      <c r="I2378">
        <v>3</v>
      </c>
      <c r="J2378">
        <v>0.2</v>
      </c>
      <c r="K2378">
        <v>0.18179999999999999</v>
      </c>
      <c r="L2378">
        <v>0.93</v>
      </c>
      <c r="M2378">
        <v>0.35820000000000002</v>
      </c>
      <c r="N2378">
        <v>0</v>
      </c>
      <c r="O2378">
        <v>26</v>
      </c>
      <c r="P2378">
        <v>26</v>
      </c>
      <c r="Q2378">
        <v>586</v>
      </c>
      <c r="R2378">
        <v>587</v>
      </c>
    </row>
    <row r="2379" spans="1:18" x14ac:dyDescent="0.25">
      <c r="A2379">
        <v>588</v>
      </c>
      <c r="B2379" s="1">
        <v>40570</v>
      </c>
      <c r="C2379">
        <v>1</v>
      </c>
      <c r="D2379">
        <v>0</v>
      </c>
      <c r="E2379">
        <v>1</v>
      </c>
      <c r="F2379">
        <v>16</v>
      </c>
      <c r="G2379" t="b">
        <v>0</v>
      </c>
      <c r="H2379">
        <v>4</v>
      </c>
      <c r="I2379">
        <v>1</v>
      </c>
      <c r="J2379">
        <v>0.22</v>
      </c>
      <c r="K2379">
        <v>0.2273</v>
      </c>
      <c r="L2379">
        <v>0.55000000000000004</v>
      </c>
      <c r="M2379">
        <v>0.19400000000000001</v>
      </c>
      <c r="N2379">
        <v>1</v>
      </c>
      <c r="O2379">
        <v>23</v>
      </c>
      <c r="P2379">
        <v>24</v>
      </c>
      <c r="Q2379">
        <v>587</v>
      </c>
      <c r="R2379">
        <v>588</v>
      </c>
    </row>
    <row r="2380" spans="1:18" x14ac:dyDescent="0.25">
      <c r="A2380">
        <v>589</v>
      </c>
      <c r="B2380" s="1">
        <v>40570</v>
      </c>
      <c r="C2380">
        <v>1</v>
      </c>
      <c r="D2380">
        <v>0</v>
      </c>
      <c r="E2380">
        <v>1</v>
      </c>
      <c r="F2380">
        <v>17</v>
      </c>
      <c r="G2380" t="b">
        <v>0</v>
      </c>
      <c r="H2380">
        <v>4</v>
      </c>
      <c r="I2380">
        <v>1</v>
      </c>
      <c r="J2380">
        <v>0.22</v>
      </c>
      <c r="K2380">
        <v>0.2424</v>
      </c>
      <c r="L2380">
        <v>0.55000000000000004</v>
      </c>
      <c r="M2380">
        <v>0.1045</v>
      </c>
      <c r="N2380">
        <v>2</v>
      </c>
      <c r="O2380">
        <v>82</v>
      </c>
      <c r="P2380">
        <v>84</v>
      </c>
      <c r="Q2380">
        <v>588</v>
      </c>
      <c r="R2380">
        <v>589</v>
      </c>
    </row>
    <row r="2381" spans="1:18" x14ac:dyDescent="0.25">
      <c r="A2381">
        <v>590</v>
      </c>
      <c r="B2381" s="1">
        <v>40570</v>
      </c>
      <c r="C2381">
        <v>1</v>
      </c>
      <c r="D2381">
        <v>0</v>
      </c>
      <c r="E2381">
        <v>1</v>
      </c>
      <c r="F2381">
        <v>18</v>
      </c>
      <c r="G2381" t="b">
        <v>0</v>
      </c>
      <c r="H2381">
        <v>4</v>
      </c>
      <c r="I2381">
        <v>1</v>
      </c>
      <c r="J2381">
        <v>0.2</v>
      </c>
      <c r="K2381">
        <v>0.2273</v>
      </c>
      <c r="L2381">
        <v>0.69</v>
      </c>
      <c r="M2381">
        <v>8.9599999999999999E-2</v>
      </c>
      <c r="N2381">
        <v>3</v>
      </c>
      <c r="O2381">
        <v>101</v>
      </c>
      <c r="P2381">
        <v>104</v>
      </c>
      <c r="Q2381">
        <v>589</v>
      </c>
      <c r="R2381">
        <v>590</v>
      </c>
    </row>
    <row r="2382" spans="1:18" x14ac:dyDescent="0.25">
      <c r="A2382">
        <v>591</v>
      </c>
      <c r="B2382" s="1">
        <v>40570</v>
      </c>
      <c r="C2382">
        <v>1</v>
      </c>
      <c r="D2382">
        <v>0</v>
      </c>
      <c r="E2382">
        <v>1</v>
      </c>
      <c r="F2382">
        <v>19</v>
      </c>
      <c r="G2382" t="b">
        <v>0</v>
      </c>
      <c r="H2382">
        <v>4</v>
      </c>
      <c r="I2382">
        <v>1</v>
      </c>
      <c r="J2382">
        <v>0.2</v>
      </c>
      <c r="K2382">
        <v>0.2273</v>
      </c>
      <c r="L2382">
        <v>0.69</v>
      </c>
      <c r="M2382">
        <v>8.9599999999999999E-2</v>
      </c>
      <c r="N2382">
        <v>3</v>
      </c>
      <c r="O2382">
        <v>76</v>
      </c>
      <c r="P2382">
        <v>79</v>
      </c>
      <c r="Q2382">
        <v>590</v>
      </c>
      <c r="R2382">
        <v>591</v>
      </c>
    </row>
    <row r="2383" spans="1:18" x14ac:dyDescent="0.25">
      <c r="A2383">
        <v>592</v>
      </c>
      <c r="B2383" s="1">
        <v>40570</v>
      </c>
      <c r="C2383">
        <v>1</v>
      </c>
      <c r="D2383">
        <v>0</v>
      </c>
      <c r="E2383">
        <v>1</v>
      </c>
      <c r="F2383">
        <v>20</v>
      </c>
      <c r="G2383" t="b">
        <v>0</v>
      </c>
      <c r="H2383">
        <v>4</v>
      </c>
      <c r="I2383">
        <v>1</v>
      </c>
      <c r="J2383">
        <v>0.18</v>
      </c>
      <c r="K2383">
        <v>0.21210000000000001</v>
      </c>
      <c r="L2383">
        <v>0.74</v>
      </c>
      <c r="M2383">
        <v>8.9599999999999999E-2</v>
      </c>
      <c r="N2383">
        <v>4</v>
      </c>
      <c r="O2383">
        <v>55</v>
      </c>
      <c r="P2383">
        <v>59</v>
      </c>
      <c r="Q2383">
        <v>591</v>
      </c>
      <c r="R2383">
        <v>592</v>
      </c>
    </row>
    <row r="2384" spans="1:18" x14ac:dyDescent="0.25">
      <c r="A2384">
        <v>593</v>
      </c>
      <c r="B2384" s="1">
        <v>40570</v>
      </c>
      <c r="C2384">
        <v>1</v>
      </c>
      <c r="D2384">
        <v>0</v>
      </c>
      <c r="E2384">
        <v>1</v>
      </c>
      <c r="F2384">
        <v>21</v>
      </c>
      <c r="G2384" t="b">
        <v>0</v>
      </c>
      <c r="H2384">
        <v>4</v>
      </c>
      <c r="I2384">
        <v>1</v>
      </c>
      <c r="J2384">
        <v>0.18</v>
      </c>
      <c r="K2384">
        <v>0.21210000000000001</v>
      </c>
      <c r="L2384">
        <v>0.74</v>
      </c>
      <c r="M2384">
        <v>8.9599999999999999E-2</v>
      </c>
      <c r="N2384">
        <v>2</v>
      </c>
      <c r="O2384">
        <v>36</v>
      </c>
      <c r="P2384">
        <v>38</v>
      </c>
      <c r="Q2384">
        <v>592</v>
      </c>
      <c r="R2384">
        <v>593</v>
      </c>
    </row>
    <row r="2385" spans="1:18" x14ac:dyDescent="0.25">
      <c r="A2385">
        <v>594</v>
      </c>
      <c r="B2385" s="1">
        <v>40570</v>
      </c>
      <c r="C2385">
        <v>1</v>
      </c>
      <c r="D2385">
        <v>0</v>
      </c>
      <c r="E2385">
        <v>1</v>
      </c>
      <c r="F2385">
        <v>22</v>
      </c>
      <c r="G2385" t="b">
        <v>0</v>
      </c>
      <c r="H2385">
        <v>4</v>
      </c>
      <c r="I2385">
        <v>1</v>
      </c>
      <c r="J2385">
        <v>0.18</v>
      </c>
      <c r="K2385">
        <v>0.21210000000000001</v>
      </c>
      <c r="L2385">
        <v>0.74</v>
      </c>
      <c r="M2385">
        <v>8.9599999999999999E-2</v>
      </c>
      <c r="N2385">
        <v>0</v>
      </c>
      <c r="O2385">
        <v>27</v>
      </c>
      <c r="P2385">
        <v>27</v>
      </c>
      <c r="Q2385">
        <v>593</v>
      </c>
      <c r="R2385">
        <v>594</v>
      </c>
    </row>
    <row r="2386" spans="1:18" x14ac:dyDescent="0.25">
      <c r="A2386">
        <v>595</v>
      </c>
      <c r="B2386" s="1">
        <v>40570</v>
      </c>
      <c r="C2386">
        <v>1</v>
      </c>
      <c r="D2386">
        <v>0</v>
      </c>
      <c r="E2386">
        <v>1</v>
      </c>
      <c r="F2386">
        <v>23</v>
      </c>
      <c r="G2386" t="b">
        <v>0</v>
      </c>
      <c r="H2386">
        <v>4</v>
      </c>
      <c r="I2386">
        <v>1</v>
      </c>
      <c r="J2386">
        <v>0.18</v>
      </c>
      <c r="K2386">
        <v>0.19700000000000001</v>
      </c>
      <c r="L2386">
        <v>0.8</v>
      </c>
      <c r="M2386">
        <v>0.16420000000000001</v>
      </c>
      <c r="N2386">
        <v>0</v>
      </c>
      <c r="O2386">
        <v>16</v>
      </c>
      <c r="P2386">
        <v>16</v>
      </c>
      <c r="Q2386">
        <v>594</v>
      </c>
      <c r="R2386">
        <v>595</v>
      </c>
    </row>
    <row r="2387" spans="1:18" x14ac:dyDescent="0.25">
      <c r="A2387">
        <v>596</v>
      </c>
      <c r="B2387" s="1">
        <v>40571</v>
      </c>
      <c r="C2387">
        <v>1</v>
      </c>
      <c r="D2387">
        <v>0</v>
      </c>
      <c r="E2387">
        <v>1</v>
      </c>
      <c r="F2387">
        <v>0</v>
      </c>
      <c r="G2387" t="b">
        <v>0</v>
      </c>
      <c r="H2387">
        <v>5</v>
      </c>
      <c r="I2387">
        <v>2</v>
      </c>
      <c r="J2387">
        <v>0.2</v>
      </c>
      <c r="K2387">
        <v>0.21210000000000001</v>
      </c>
      <c r="L2387">
        <v>0.75</v>
      </c>
      <c r="M2387">
        <v>0.1343</v>
      </c>
      <c r="N2387">
        <v>0</v>
      </c>
      <c r="O2387">
        <v>9</v>
      </c>
      <c r="P2387">
        <v>9</v>
      </c>
      <c r="Q2387">
        <v>595</v>
      </c>
      <c r="R2387">
        <v>596</v>
      </c>
    </row>
    <row r="2388" spans="1:18" x14ac:dyDescent="0.25">
      <c r="A2388">
        <v>597</v>
      </c>
      <c r="B2388" s="1">
        <v>40571</v>
      </c>
      <c r="C2388">
        <v>1</v>
      </c>
      <c r="D2388">
        <v>0</v>
      </c>
      <c r="E2388">
        <v>1</v>
      </c>
      <c r="F2388">
        <v>1</v>
      </c>
      <c r="G2388" t="b">
        <v>0</v>
      </c>
      <c r="H2388">
        <v>5</v>
      </c>
      <c r="I2388">
        <v>2</v>
      </c>
      <c r="J2388">
        <v>0.2</v>
      </c>
      <c r="K2388">
        <v>0.21210000000000001</v>
      </c>
      <c r="L2388">
        <v>0.75</v>
      </c>
      <c r="M2388">
        <v>0.1343</v>
      </c>
      <c r="N2388">
        <v>1</v>
      </c>
      <c r="O2388">
        <v>2</v>
      </c>
      <c r="P2388">
        <v>3</v>
      </c>
      <c r="Q2388">
        <v>596</v>
      </c>
      <c r="R2388">
        <v>597</v>
      </c>
    </row>
    <row r="2389" spans="1:18" x14ac:dyDescent="0.25">
      <c r="A2389">
        <v>598</v>
      </c>
      <c r="B2389" s="1">
        <v>40571</v>
      </c>
      <c r="C2389">
        <v>1</v>
      </c>
      <c r="D2389">
        <v>0</v>
      </c>
      <c r="E2389">
        <v>1</v>
      </c>
      <c r="F2389">
        <v>2</v>
      </c>
      <c r="G2389" t="b">
        <v>0</v>
      </c>
      <c r="H2389">
        <v>5</v>
      </c>
      <c r="I2389">
        <v>2</v>
      </c>
      <c r="J2389">
        <v>0.2</v>
      </c>
      <c r="K2389">
        <v>0.21210000000000001</v>
      </c>
      <c r="L2389">
        <v>0.75</v>
      </c>
      <c r="M2389">
        <v>0.16420000000000001</v>
      </c>
      <c r="N2389">
        <v>0</v>
      </c>
      <c r="O2389">
        <v>2</v>
      </c>
      <c r="P2389">
        <v>2</v>
      </c>
      <c r="Q2389">
        <v>597</v>
      </c>
      <c r="R2389">
        <v>598</v>
      </c>
    </row>
    <row r="2390" spans="1:18" x14ac:dyDescent="0.25">
      <c r="A2390">
        <v>599</v>
      </c>
      <c r="B2390" s="1">
        <v>40571</v>
      </c>
      <c r="C2390">
        <v>1</v>
      </c>
      <c r="D2390">
        <v>0</v>
      </c>
      <c r="E2390">
        <v>1</v>
      </c>
      <c r="F2390">
        <v>3</v>
      </c>
      <c r="G2390" t="b">
        <v>0</v>
      </c>
      <c r="H2390">
        <v>5</v>
      </c>
      <c r="I2390">
        <v>2</v>
      </c>
      <c r="J2390">
        <v>0.2</v>
      </c>
      <c r="K2390">
        <v>0.2273</v>
      </c>
      <c r="L2390">
        <v>0.75</v>
      </c>
      <c r="M2390">
        <v>0.1045</v>
      </c>
      <c r="N2390">
        <v>1</v>
      </c>
      <c r="O2390">
        <v>0</v>
      </c>
      <c r="P2390">
        <v>1</v>
      </c>
      <c r="Q2390">
        <v>598</v>
      </c>
      <c r="R2390">
        <v>599</v>
      </c>
    </row>
    <row r="2391" spans="1:18" x14ac:dyDescent="0.25">
      <c r="A2391">
        <v>600</v>
      </c>
      <c r="B2391" s="1">
        <v>40571</v>
      </c>
      <c r="C2391">
        <v>1</v>
      </c>
      <c r="D2391">
        <v>0</v>
      </c>
      <c r="E2391">
        <v>1</v>
      </c>
      <c r="F2391">
        <v>5</v>
      </c>
      <c r="G2391" t="b">
        <v>0</v>
      </c>
      <c r="H2391">
        <v>5</v>
      </c>
      <c r="I2391">
        <v>2</v>
      </c>
      <c r="J2391">
        <v>0.18</v>
      </c>
      <c r="K2391">
        <v>0.21210000000000001</v>
      </c>
      <c r="L2391">
        <v>0.8</v>
      </c>
      <c r="M2391">
        <v>0.1045</v>
      </c>
      <c r="N2391">
        <v>0</v>
      </c>
      <c r="O2391">
        <v>4</v>
      </c>
      <c r="P2391">
        <v>4</v>
      </c>
      <c r="Q2391">
        <v>599</v>
      </c>
      <c r="R2391">
        <v>600</v>
      </c>
    </row>
    <row r="2392" spans="1:18" x14ac:dyDescent="0.25">
      <c r="A2392">
        <v>601</v>
      </c>
      <c r="B2392" s="1">
        <v>40571</v>
      </c>
      <c r="C2392">
        <v>1</v>
      </c>
      <c r="D2392">
        <v>0</v>
      </c>
      <c r="E2392">
        <v>1</v>
      </c>
      <c r="F2392">
        <v>6</v>
      </c>
      <c r="G2392" t="b">
        <v>0</v>
      </c>
      <c r="H2392">
        <v>5</v>
      </c>
      <c r="I2392">
        <v>2</v>
      </c>
      <c r="J2392">
        <v>0.18</v>
      </c>
      <c r="K2392">
        <v>0.19700000000000001</v>
      </c>
      <c r="L2392">
        <v>0.8</v>
      </c>
      <c r="M2392">
        <v>0.1343</v>
      </c>
      <c r="N2392">
        <v>0</v>
      </c>
      <c r="O2392">
        <v>16</v>
      </c>
      <c r="P2392">
        <v>16</v>
      </c>
      <c r="Q2392">
        <v>600</v>
      </c>
      <c r="R2392">
        <v>601</v>
      </c>
    </row>
    <row r="2393" spans="1:18" x14ac:dyDescent="0.25">
      <c r="A2393">
        <v>602</v>
      </c>
      <c r="B2393" s="1">
        <v>40571</v>
      </c>
      <c r="C2393">
        <v>1</v>
      </c>
      <c r="D2393">
        <v>0</v>
      </c>
      <c r="E2393">
        <v>1</v>
      </c>
      <c r="F2393">
        <v>7</v>
      </c>
      <c r="G2393" t="b">
        <v>0</v>
      </c>
      <c r="H2393">
        <v>5</v>
      </c>
      <c r="I2393">
        <v>2</v>
      </c>
      <c r="J2393">
        <v>0.16</v>
      </c>
      <c r="K2393">
        <v>0.19700000000000001</v>
      </c>
      <c r="L2393">
        <v>0.86</v>
      </c>
      <c r="M2393">
        <v>8.9599999999999999E-2</v>
      </c>
      <c r="N2393">
        <v>2</v>
      </c>
      <c r="O2393">
        <v>58</v>
      </c>
      <c r="P2393">
        <v>60</v>
      </c>
      <c r="Q2393">
        <v>601</v>
      </c>
      <c r="R2393">
        <v>602</v>
      </c>
    </row>
    <row r="2394" spans="1:18" x14ac:dyDescent="0.25">
      <c r="A2394">
        <v>603</v>
      </c>
      <c r="B2394" s="1">
        <v>40571</v>
      </c>
      <c r="C2394">
        <v>1</v>
      </c>
      <c r="D2394">
        <v>0</v>
      </c>
      <c r="E2394">
        <v>1</v>
      </c>
      <c r="F2394">
        <v>8</v>
      </c>
      <c r="G2394" t="b">
        <v>0</v>
      </c>
      <c r="H2394">
        <v>5</v>
      </c>
      <c r="I2394">
        <v>2</v>
      </c>
      <c r="J2394">
        <v>0.16</v>
      </c>
      <c r="K2394">
        <v>0.19700000000000001</v>
      </c>
      <c r="L2394">
        <v>0.86</v>
      </c>
      <c r="M2394">
        <v>8.9599999999999999E-2</v>
      </c>
      <c r="N2394">
        <v>2</v>
      </c>
      <c r="O2394">
        <v>155</v>
      </c>
      <c r="P2394">
        <v>157</v>
      </c>
      <c r="Q2394">
        <v>602</v>
      </c>
      <c r="R2394">
        <v>603</v>
      </c>
    </row>
    <row r="2395" spans="1:18" x14ac:dyDescent="0.25">
      <c r="A2395">
        <v>604</v>
      </c>
      <c r="B2395" s="1">
        <v>40571</v>
      </c>
      <c r="C2395">
        <v>1</v>
      </c>
      <c r="D2395">
        <v>0</v>
      </c>
      <c r="E2395">
        <v>1</v>
      </c>
      <c r="F2395">
        <v>9</v>
      </c>
      <c r="G2395" t="b">
        <v>0</v>
      </c>
      <c r="H2395">
        <v>5</v>
      </c>
      <c r="I2395">
        <v>3</v>
      </c>
      <c r="J2395">
        <v>0.18</v>
      </c>
      <c r="K2395">
        <v>0.21210000000000001</v>
      </c>
      <c r="L2395">
        <v>0.86</v>
      </c>
      <c r="M2395">
        <v>8.9599999999999999E-2</v>
      </c>
      <c r="N2395">
        <v>6</v>
      </c>
      <c r="O2395">
        <v>95</v>
      </c>
      <c r="P2395">
        <v>101</v>
      </c>
      <c r="Q2395">
        <v>603</v>
      </c>
      <c r="R2395">
        <v>604</v>
      </c>
    </row>
    <row r="2396" spans="1:18" x14ac:dyDescent="0.25">
      <c r="A2396">
        <v>605</v>
      </c>
      <c r="B2396" s="1">
        <v>40571</v>
      </c>
      <c r="C2396">
        <v>1</v>
      </c>
      <c r="D2396">
        <v>0</v>
      </c>
      <c r="E2396">
        <v>1</v>
      </c>
      <c r="F2396">
        <v>10</v>
      </c>
      <c r="G2396" t="b">
        <v>0</v>
      </c>
      <c r="H2396">
        <v>5</v>
      </c>
      <c r="I2396">
        <v>3</v>
      </c>
      <c r="J2396">
        <v>0.18</v>
      </c>
      <c r="K2396">
        <v>0.21210000000000001</v>
      </c>
      <c r="L2396">
        <v>0.86</v>
      </c>
      <c r="M2396">
        <v>0.1045</v>
      </c>
      <c r="N2396">
        <v>0</v>
      </c>
      <c r="O2396">
        <v>49</v>
      </c>
      <c r="P2396">
        <v>49</v>
      </c>
      <c r="Q2396">
        <v>604</v>
      </c>
      <c r="R2396">
        <v>605</v>
      </c>
    </row>
    <row r="2397" spans="1:18" x14ac:dyDescent="0.25">
      <c r="A2397">
        <v>606</v>
      </c>
      <c r="B2397" s="1">
        <v>40571</v>
      </c>
      <c r="C2397">
        <v>1</v>
      </c>
      <c r="D2397">
        <v>0</v>
      </c>
      <c r="E2397">
        <v>1</v>
      </c>
      <c r="F2397">
        <v>11</v>
      </c>
      <c r="G2397" t="b">
        <v>0</v>
      </c>
      <c r="H2397">
        <v>5</v>
      </c>
      <c r="I2397">
        <v>3</v>
      </c>
      <c r="J2397">
        <v>0.18</v>
      </c>
      <c r="K2397">
        <v>0.21210000000000001</v>
      </c>
      <c r="L2397">
        <v>0.93</v>
      </c>
      <c r="M2397">
        <v>0.1045</v>
      </c>
      <c r="N2397">
        <v>0</v>
      </c>
      <c r="O2397">
        <v>30</v>
      </c>
      <c r="P2397">
        <v>30</v>
      </c>
      <c r="Q2397">
        <v>605</v>
      </c>
      <c r="R2397">
        <v>606</v>
      </c>
    </row>
    <row r="2398" spans="1:18" x14ac:dyDescent="0.25">
      <c r="A2398">
        <v>607</v>
      </c>
      <c r="B2398" s="1">
        <v>40571</v>
      </c>
      <c r="C2398">
        <v>1</v>
      </c>
      <c r="D2398">
        <v>0</v>
      </c>
      <c r="E2398">
        <v>1</v>
      </c>
      <c r="F2398">
        <v>12</v>
      </c>
      <c r="G2398" t="b">
        <v>0</v>
      </c>
      <c r="H2398">
        <v>5</v>
      </c>
      <c r="I2398">
        <v>3</v>
      </c>
      <c r="J2398">
        <v>0.18</v>
      </c>
      <c r="K2398">
        <v>0.21210000000000001</v>
      </c>
      <c r="L2398">
        <v>0.93</v>
      </c>
      <c r="M2398">
        <v>0.1045</v>
      </c>
      <c r="N2398">
        <v>1</v>
      </c>
      <c r="O2398">
        <v>28</v>
      </c>
      <c r="P2398">
        <v>29</v>
      </c>
      <c r="Q2398">
        <v>606</v>
      </c>
      <c r="R2398">
        <v>607</v>
      </c>
    </row>
    <row r="2399" spans="1:18" x14ac:dyDescent="0.25">
      <c r="A2399">
        <v>608</v>
      </c>
      <c r="B2399" s="1">
        <v>40571</v>
      </c>
      <c r="C2399">
        <v>1</v>
      </c>
      <c r="D2399">
        <v>0</v>
      </c>
      <c r="E2399">
        <v>1</v>
      </c>
      <c r="F2399">
        <v>13</v>
      </c>
      <c r="G2399" t="b">
        <v>0</v>
      </c>
      <c r="H2399">
        <v>5</v>
      </c>
      <c r="I2399">
        <v>3</v>
      </c>
      <c r="J2399">
        <v>0.18</v>
      </c>
      <c r="K2399">
        <v>0.21210000000000001</v>
      </c>
      <c r="L2399">
        <v>0.93</v>
      </c>
      <c r="M2399">
        <v>0.1045</v>
      </c>
      <c r="N2399">
        <v>0</v>
      </c>
      <c r="O2399">
        <v>31</v>
      </c>
      <c r="P2399">
        <v>31</v>
      </c>
      <c r="Q2399">
        <v>607</v>
      </c>
      <c r="R2399">
        <v>608</v>
      </c>
    </row>
    <row r="2400" spans="1:18" x14ac:dyDescent="0.25">
      <c r="A2400">
        <v>609</v>
      </c>
      <c r="B2400" s="1">
        <v>40571</v>
      </c>
      <c r="C2400">
        <v>1</v>
      </c>
      <c r="D2400">
        <v>0</v>
      </c>
      <c r="E2400">
        <v>1</v>
      </c>
      <c r="F2400">
        <v>14</v>
      </c>
      <c r="G2400" t="b">
        <v>0</v>
      </c>
      <c r="H2400">
        <v>5</v>
      </c>
      <c r="I2400">
        <v>3</v>
      </c>
      <c r="J2400">
        <v>0.22</v>
      </c>
      <c r="K2400">
        <v>0.2727</v>
      </c>
      <c r="L2400">
        <v>0.8</v>
      </c>
      <c r="M2400">
        <v>0</v>
      </c>
      <c r="N2400">
        <v>2</v>
      </c>
      <c r="O2400">
        <v>36</v>
      </c>
      <c r="P2400">
        <v>38</v>
      </c>
      <c r="Q2400">
        <v>608</v>
      </c>
      <c r="R2400">
        <v>609</v>
      </c>
    </row>
    <row r="2401" spans="1:18" x14ac:dyDescent="0.25">
      <c r="A2401">
        <v>610</v>
      </c>
      <c r="B2401" s="1">
        <v>40571</v>
      </c>
      <c r="C2401">
        <v>1</v>
      </c>
      <c r="D2401">
        <v>0</v>
      </c>
      <c r="E2401">
        <v>1</v>
      </c>
      <c r="F2401">
        <v>15</v>
      </c>
      <c r="G2401" t="b">
        <v>0</v>
      </c>
      <c r="H2401">
        <v>5</v>
      </c>
      <c r="I2401">
        <v>2</v>
      </c>
      <c r="J2401">
        <v>0.2</v>
      </c>
      <c r="K2401">
        <v>0.2576</v>
      </c>
      <c r="L2401">
        <v>0.86</v>
      </c>
      <c r="M2401">
        <v>0</v>
      </c>
      <c r="N2401">
        <v>1</v>
      </c>
      <c r="O2401">
        <v>40</v>
      </c>
      <c r="P2401">
        <v>41</v>
      </c>
      <c r="Q2401">
        <v>609</v>
      </c>
      <c r="R2401">
        <v>610</v>
      </c>
    </row>
    <row r="2402" spans="1:18" x14ac:dyDescent="0.25">
      <c r="B2402" s="1"/>
    </row>
    <row r="2403" spans="1:18" x14ac:dyDescent="0.25">
      <c r="A2403">
        <v>611</v>
      </c>
      <c r="B2403" s="1">
        <v>40571</v>
      </c>
      <c r="C2403">
        <v>1</v>
      </c>
      <c r="D2403">
        <v>0</v>
      </c>
      <c r="E2403">
        <v>1</v>
      </c>
      <c r="F2403">
        <v>16</v>
      </c>
      <c r="G2403" t="b">
        <v>0</v>
      </c>
      <c r="H2403">
        <v>5</v>
      </c>
      <c r="I2403">
        <v>1</v>
      </c>
      <c r="J2403">
        <v>0.22</v>
      </c>
      <c r="K2403">
        <v>0.2727</v>
      </c>
      <c r="L2403">
        <v>0.8</v>
      </c>
      <c r="M2403">
        <v>0</v>
      </c>
      <c r="N2403">
        <v>10</v>
      </c>
      <c r="O2403">
        <v>70</v>
      </c>
      <c r="P2403">
        <v>80</v>
      </c>
    </row>
    <row r="2404" spans="1:18" x14ac:dyDescent="0.25">
      <c r="A2404">
        <v>612</v>
      </c>
      <c r="B2404" s="1">
        <v>40571</v>
      </c>
      <c r="C2404">
        <v>1</v>
      </c>
      <c r="D2404">
        <v>0</v>
      </c>
      <c r="E2404">
        <v>1</v>
      </c>
      <c r="F2404">
        <v>17</v>
      </c>
      <c r="G2404" t="b">
        <v>0</v>
      </c>
      <c r="H2404">
        <v>5</v>
      </c>
      <c r="I2404">
        <v>1</v>
      </c>
      <c r="J2404">
        <v>0.24</v>
      </c>
      <c r="K2404">
        <v>0.2424</v>
      </c>
      <c r="L2404">
        <v>0.75</v>
      </c>
      <c r="M2404">
        <v>0.1343</v>
      </c>
      <c r="N2404">
        <v>2</v>
      </c>
      <c r="O2404">
        <v>147</v>
      </c>
      <c r="P2404">
        <v>149</v>
      </c>
    </row>
    <row r="2405" spans="1:18" x14ac:dyDescent="0.25">
      <c r="A2405">
        <v>613</v>
      </c>
      <c r="B2405" s="1">
        <v>40571</v>
      </c>
      <c r="C2405">
        <v>1</v>
      </c>
      <c r="D2405">
        <v>0</v>
      </c>
      <c r="E2405">
        <v>1</v>
      </c>
      <c r="F2405">
        <v>18</v>
      </c>
      <c r="G2405" t="b">
        <v>0</v>
      </c>
      <c r="H2405">
        <v>5</v>
      </c>
      <c r="I2405">
        <v>1</v>
      </c>
      <c r="J2405">
        <v>0.24</v>
      </c>
      <c r="K2405">
        <v>0.2273</v>
      </c>
      <c r="L2405">
        <v>0.75</v>
      </c>
      <c r="M2405">
        <v>0.19400000000000001</v>
      </c>
      <c r="N2405">
        <v>2</v>
      </c>
      <c r="O2405">
        <v>107</v>
      </c>
      <c r="P2405">
        <v>109</v>
      </c>
    </row>
    <row r="2406" spans="1:18" x14ac:dyDescent="0.25">
      <c r="A2406">
        <v>614</v>
      </c>
      <c r="B2406" s="1">
        <v>40571</v>
      </c>
      <c r="C2406">
        <v>1</v>
      </c>
      <c r="D2406">
        <v>0</v>
      </c>
      <c r="E2406">
        <v>1</v>
      </c>
      <c r="F2406">
        <v>19</v>
      </c>
      <c r="G2406" t="b">
        <v>0</v>
      </c>
      <c r="H2406">
        <v>5</v>
      </c>
      <c r="I2406">
        <v>2</v>
      </c>
      <c r="J2406">
        <v>0.24</v>
      </c>
      <c r="K2406">
        <v>0.2424</v>
      </c>
      <c r="L2406">
        <v>0.75</v>
      </c>
      <c r="M2406">
        <v>0.1343</v>
      </c>
      <c r="N2406">
        <v>5</v>
      </c>
      <c r="O2406">
        <v>84</v>
      </c>
      <c r="P2406">
        <v>89</v>
      </c>
    </row>
    <row r="2407" spans="1:18" x14ac:dyDescent="0.25">
      <c r="A2407">
        <v>615</v>
      </c>
      <c r="B2407" s="1">
        <v>40571</v>
      </c>
      <c r="C2407">
        <v>1</v>
      </c>
      <c r="D2407">
        <v>0</v>
      </c>
      <c r="E2407">
        <v>1</v>
      </c>
      <c r="F2407">
        <v>20</v>
      </c>
      <c r="G2407" t="b">
        <v>0</v>
      </c>
      <c r="H2407">
        <v>5</v>
      </c>
      <c r="I2407">
        <v>2</v>
      </c>
      <c r="J2407">
        <v>0.24</v>
      </c>
      <c r="K2407">
        <v>0.2273</v>
      </c>
      <c r="L2407">
        <v>0.7</v>
      </c>
      <c r="M2407">
        <v>0.19400000000000001</v>
      </c>
      <c r="N2407">
        <v>1</v>
      </c>
      <c r="O2407">
        <v>61</v>
      </c>
      <c r="P2407">
        <v>62</v>
      </c>
    </row>
    <row r="2408" spans="1:18" x14ac:dyDescent="0.25">
      <c r="A2408">
        <v>616</v>
      </c>
      <c r="B2408" s="1">
        <v>40571</v>
      </c>
      <c r="C2408">
        <v>1</v>
      </c>
      <c r="D2408">
        <v>0</v>
      </c>
      <c r="E2408">
        <v>1</v>
      </c>
      <c r="F2408">
        <v>21</v>
      </c>
      <c r="G2408" t="b">
        <v>0</v>
      </c>
      <c r="H2408">
        <v>5</v>
      </c>
      <c r="I2408">
        <v>2</v>
      </c>
      <c r="J2408">
        <v>0.22</v>
      </c>
      <c r="K2408">
        <v>0.2273</v>
      </c>
      <c r="L2408">
        <v>0.75</v>
      </c>
      <c r="M2408">
        <v>0.1343</v>
      </c>
      <c r="N2408">
        <v>1</v>
      </c>
      <c r="O2408">
        <v>57</v>
      </c>
      <c r="P2408">
        <v>58</v>
      </c>
    </row>
    <row r="2409" spans="1:18" x14ac:dyDescent="0.25">
      <c r="A2409">
        <v>617</v>
      </c>
      <c r="B2409" s="1">
        <v>40571</v>
      </c>
      <c r="C2409">
        <v>1</v>
      </c>
      <c r="D2409">
        <v>0</v>
      </c>
      <c r="E2409">
        <v>1</v>
      </c>
      <c r="F2409">
        <v>22</v>
      </c>
      <c r="G2409" t="b">
        <v>0</v>
      </c>
      <c r="H2409">
        <v>5</v>
      </c>
      <c r="I2409">
        <v>1</v>
      </c>
      <c r="J2409">
        <v>0.24</v>
      </c>
      <c r="K2409">
        <v>0.21210000000000001</v>
      </c>
      <c r="L2409">
        <v>0.65</v>
      </c>
      <c r="M2409">
        <v>0.35820000000000002</v>
      </c>
      <c r="N2409">
        <v>0</v>
      </c>
      <c r="O2409">
        <v>26</v>
      </c>
      <c r="P2409">
        <v>26</v>
      </c>
    </row>
    <row r="2410" spans="1:18" x14ac:dyDescent="0.25">
      <c r="A2410">
        <v>618</v>
      </c>
      <c r="B2410" s="1">
        <v>40571</v>
      </c>
      <c r="C2410">
        <v>1</v>
      </c>
      <c r="D2410">
        <v>0</v>
      </c>
      <c r="E2410">
        <v>1</v>
      </c>
      <c r="F2410">
        <v>23</v>
      </c>
      <c r="G2410" t="b">
        <v>0</v>
      </c>
      <c r="H2410">
        <v>5</v>
      </c>
      <c r="I2410">
        <v>1</v>
      </c>
      <c r="J2410">
        <v>0.24</v>
      </c>
      <c r="K2410">
        <v>0.2273</v>
      </c>
      <c r="L2410">
        <v>0.6</v>
      </c>
      <c r="M2410">
        <v>0.22389999999999999</v>
      </c>
      <c r="N2410">
        <v>1</v>
      </c>
      <c r="O2410">
        <v>22</v>
      </c>
      <c r="P2410">
        <v>23</v>
      </c>
    </row>
    <row r="2411" spans="1:18" x14ac:dyDescent="0.25">
      <c r="A2411">
        <v>619</v>
      </c>
      <c r="B2411" s="1">
        <v>40572</v>
      </c>
      <c r="C2411">
        <v>1</v>
      </c>
      <c r="D2411">
        <v>0</v>
      </c>
      <c r="E2411">
        <v>1</v>
      </c>
      <c r="F2411">
        <v>0</v>
      </c>
      <c r="G2411" t="b">
        <v>0</v>
      </c>
      <c r="H2411">
        <v>6</v>
      </c>
      <c r="I2411">
        <v>1</v>
      </c>
      <c r="J2411">
        <v>0.22</v>
      </c>
      <c r="K2411">
        <v>0.19700000000000001</v>
      </c>
      <c r="L2411">
        <v>0.64</v>
      </c>
      <c r="M2411">
        <v>0.35820000000000002</v>
      </c>
      <c r="N2411">
        <v>2</v>
      </c>
      <c r="O2411">
        <v>26</v>
      </c>
      <c r="P2411">
        <v>28</v>
      </c>
    </row>
    <row r="2412" spans="1:18" x14ac:dyDescent="0.25">
      <c r="A2412">
        <v>620</v>
      </c>
      <c r="B2412" s="1">
        <v>40572</v>
      </c>
      <c r="C2412">
        <v>1</v>
      </c>
      <c r="D2412">
        <v>0</v>
      </c>
      <c r="E2412">
        <v>1</v>
      </c>
      <c r="F2412">
        <v>1</v>
      </c>
      <c r="G2412" t="b">
        <v>0</v>
      </c>
      <c r="H2412">
        <v>6</v>
      </c>
      <c r="I2412">
        <v>1</v>
      </c>
      <c r="J2412">
        <v>0.22</v>
      </c>
      <c r="K2412">
        <v>0.2273</v>
      </c>
      <c r="L2412">
        <v>0.64</v>
      </c>
      <c r="M2412">
        <v>0.19400000000000001</v>
      </c>
      <c r="N2412">
        <v>0</v>
      </c>
      <c r="O2412">
        <v>20</v>
      </c>
      <c r="P2412">
        <v>20</v>
      </c>
    </row>
    <row r="2413" spans="1:18" x14ac:dyDescent="0.25">
      <c r="A2413">
        <v>621</v>
      </c>
      <c r="B2413" s="1">
        <v>40572</v>
      </c>
      <c r="C2413">
        <v>1</v>
      </c>
      <c r="D2413">
        <v>0</v>
      </c>
      <c r="E2413">
        <v>1</v>
      </c>
      <c r="F2413">
        <v>2</v>
      </c>
      <c r="G2413" t="b">
        <v>0</v>
      </c>
      <c r="H2413">
        <v>6</v>
      </c>
      <c r="I2413">
        <v>1</v>
      </c>
      <c r="J2413">
        <v>0.22</v>
      </c>
      <c r="K2413">
        <v>0.2273</v>
      </c>
      <c r="L2413">
        <v>0.64</v>
      </c>
      <c r="M2413">
        <v>0.16420000000000001</v>
      </c>
      <c r="N2413">
        <v>0</v>
      </c>
      <c r="O2413">
        <v>15</v>
      </c>
      <c r="P2413">
        <v>15</v>
      </c>
    </row>
    <row r="2414" spans="1:18" x14ac:dyDescent="0.25">
      <c r="A2414">
        <v>622</v>
      </c>
      <c r="B2414" s="1">
        <v>40572</v>
      </c>
      <c r="C2414">
        <v>1</v>
      </c>
      <c r="D2414">
        <v>0</v>
      </c>
      <c r="E2414">
        <v>1</v>
      </c>
      <c r="F2414">
        <v>3</v>
      </c>
      <c r="G2414" t="b">
        <v>0</v>
      </c>
      <c r="H2414">
        <v>6</v>
      </c>
      <c r="I2414">
        <v>1</v>
      </c>
      <c r="J2414">
        <v>0.2</v>
      </c>
      <c r="K2414">
        <v>0.21210000000000001</v>
      </c>
      <c r="L2414">
        <v>0.64</v>
      </c>
      <c r="M2414">
        <v>0.1343</v>
      </c>
      <c r="N2414">
        <v>3</v>
      </c>
      <c r="O2414">
        <v>5</v>
      </c>
      <c r="P2414">
        <v>8</v>
      </c>
    </row>
    <row r="2415" spans="1:18" x14ac:dyDescent="0.25">
      <c r="A2415">
        <v>623</v>
      </c>
      <c r="B2415" s="1">
        <v>40572</v>
      </c>
      <c r="C2415">
        <v>1</v>
      </c>
      <c r="D2415">
        <v>0</v>
      </c>
      <c r="E2415">
        <v>1</v>
      </c>
      <c r="F2415">
        <v>4</v>
      </c>
      <c r="G2415" t="b">
        <v>0</v>
      </c>
      <c r="H2415">
        <v>6</v>
      </c>
      <c r="I2415">
        <v>1</v>
      </c>
      <c r="J2415">
        <v>0.16</v>
      </c>
      <c r="K2415">
        <v>0.18179999999999999</v>
      </c>
      <c r="L2415">
        <v>0.69</v>
      </c>
      <c r="M2415">
        <v>0.1045</v>
      </c>
      <c r="N2415">
        <v>1</v>
      </c>
      <c r="O2415">
        <v>2</v>
      </c>
      <c r="P2415">
        <v>3</v>
      </c>
    </row>
    <row r="2416" spans="1:18" x14ac:dyDescent="0.25">
      <c r="A2416">
        <v>624</v>
      </c>
      <c r="B2416" s="1">
        <v>40572</v>
      </c>
      <c r="C2416">
        <v>1</v>
      </c>
      <c r="D2416">
        <v>0</v>
      </c>
      <c r="E2416">
        <v>1</v>
      </c>
      <c r="F2416">
        <v>6</v>
      </c>
      <c r="G2416" t="b">
        <v>0</v>
      </c>
      <c r="H2416">
        <v>6</v>
      </c>
      <c r="I2416">
        <v>1</v>
      </c>
      <c r="J2416">
        <v>0.16</v>
      </c>
      <c r="K2416">
        <v>0.18179999999999999</v>
      </c>
      <c r="L2416">
        <v>0.64</v>
      </c>
      <c r="M2416">
        <v>0.1343</v>
      </c>
      <c r="N2416">
        <v>0</v>
      </c>
      <c r="O2416">
        <v>2</v>
      </c>
      <c r="P2416">
        <v>2</v>
      </c>
    </row>
    <row r="2417" spans="1:16" x14ac:dyDescent="0.25">
      <c r="A2417">
        <v>625</v>
      </c>
      <c r="B2417" s="1">
        <v>40572</v>
      </c>
      <c r="C2417">
        <v>1</v>
      </c>
      <c r="D2417">
        <v>0</v>
      </c>
      <c r="E2417">
        <v>1</v>
      </c>
      <c r="F2417">
        <v>7</v>
      </c>
      <c r="G2417" t="b">
        <v>0</v>
      </c>
      <c r="H2417">
        <v>6</v>
      </c>
      <c r="I2417">
        <v>1</v>
      </c>
      <c r="J2417">
        <v>0.16</v>
      </c>
      <c r="K2417">
        <v>0.18179999999999999</v>
      </c>
      <c r="L2417">
        <v>0.59</v>
      </c>
      <c r="M2417">
        <v>0.1045</v>
      </c>
      <c r="N2417">
        <v>1</v>
      </c>
      <c r="O2417">
        <v>4</v>
      </c>
      <c r="P2417">
        <v>5</v>
      </c>
    </row>
    <row r="2418" spans="1:16" x14ac:dyDescent="0.25">
      <c r="A2418">
        <v>626</v>
      </c>
      <c r="B2418" s="1">
        <v>40572</v>
      </c>
      <c r="C2418">
        <v>1</v>
      </c>
      <c r="D2418">
        <v>0</v>
      </c>
      <c r="E2418">
        <v>1</v>
      </c>
      <c r="F2418">
        <v>8</v>
      </c>
      <c r="G2418" t="b">
        <v>0</v>
      </c>
      <c r="H2418">
        <v>6</v>
      </c>
      <c r="I2418">
        <v>1</v>
      </c>
      <c r="J2418">
        <v>0.18</v>
      </c>
      <c r="K2418">
        <v>0.19700000000000001</v>
      </c>
      <c r="L2418">
        <v>0.55000000000000004</v>
      </c>
      <c r="M2418">
        <v>0.16420000000000001</v>
      </c>
      <c r="N2418">
        <v>3</v>
      </c>
      <c r="O2418">
        <v>31</v>
      </c>
      <c r="P2418">
        <v>34</v>
      </c>
    </row>
    <row r="2419" spans="1:16" x14ac:dyDescent="0.25">
      <c r="A2419">
        <v>627</v>
      </c>
      <c r="B2419" s="1">
        <v>40572</v>
      </c>
      <c r="C2419">
        <v>1</v>
      </c>
      <c r="D2419">
        <v>0</v>
      </c>
      <c r="E2419">
        <v>1</v>
      </c>
      <c r="F2419">
        <v>9</v>
      </c>
      <c r="G2419" t="b">
        <v>0</v>
      </c>
      <c r="H2419">
        <v>6</v>
      </c>
      <c r="I2419">
        <v>1</v>
      </c>
      <c r="J2419">
        <v>0.18</v>
      </c>
      <c r="K2419">
        <v>0.21210000000000001</v>
      </c>
      <c r="L2419">
        <v>0.59</v>
      </c>
      <c r="M2419">
        <v>8.9599999999999999E-2</v>
      </c>
      <c r="N2419">
        <v>0</v>
      </c>
      <c r="O2419">
        <v>34</v>
      </c>
      <c r="P2419">
        <v>34</v>
      </c>
    </row>
    <row r="2420" spans="1:16" x14ac:dyDescent="0.25">
      <c r="A2420">
        <v>628</v>
      </c>
      <c r="B2420" s="1">
        <v>40572</v>
      </c>
      <c r="C2420">
        <v>1</v>
      </c>
      <c r="D2420">
        <v>0</v>
      </c>
      <c r="E2420">
        <v>1</v>
      </c>
      <c r="F2420">
        <v>10</v>
      </c>
      <c r="G2420" t="b">
        <v>0</v>
      </c>
      <c r="H2420">
        <v>6</v>
      </c>
      <c r="I2420">
        <v>2</v>
      </c>
      <c r="J2420">
        <v>0.18</v>
      </c>
      <c r="K2420">
        <v>0.21210000000000001</v>
      </c>
      <c r="L2420">
        <v>0.64</v>
      </c>
      <c r="M2420">
        <v>0.1045</v>
      </c>
      <c r="N2420">
        <v>4</v>
      </c>
      <c r="O2420">
        <v>51</v>
      </c>
      <c r="P2420">
        <v>55</v>
      </c>
    </row>
    <row r="2421" spans="1:16" x14ac:dyDescent="0.25">
      <c r="A2421">
        <v>629</v>
      </c>
      <c r="B2421" s="1">
        <v>40572</v>
      </c>
      <c r="C2421">
        <v>1</v>
      </c>
      <c r="D2421">
        <v>0</v>
      </c>
      <c r="E2421">
        <v>1</v>
      </c>
      <c r="F2421">
        <v>11</v>
      </c>
      <c r="G2421" t="b">
        <v>0</v>
      </c>
      <c r="H2421">
        <v>6</v>
      </c>
      <c r="I2421">
        <v>2</v>
      </c>
      <c r="J2421">
        <v>0.18</v>
      </c>
      <c r="K2421">
        <v>0.19700000000000001</v>
      </c>
      <c r="L2421">
        <v>0.64</v>
      </c>
      <c r="M2421">
        <v>0.1343</v>
      </c>
      <c r="N2421">
        <v>4</v>
      </c>
      <c r="O2421">
        <v>60</v>
      </c>
      <c r="P2421">
        <v>64</v>
      </c>
    </row>
    <row r="2422" spans="1:16" x14ac:dyDescent="0.25">
      <c r="A2422">
        <v>630</v>
      </c>
      <c r="B2422" s="1">
        <v>40572</v>
      </c>
      <c r="C2422">
        <v>1</v>
      </c>
      <c r="D2422">
        <v>0</v>
      </c>
      <c r="E2422">
        <v>1</v>
      </c>
      <c r="F2422">
        <v>12</v>
      </c>
      <c r="G2422" t="b">
        <v>0</v>
      </c>
      <c r="H2422">
        <v>6</v>
      </c>
      <c r="I2422">
        <v>2</v>
      </c>
      <c r="J2422">
        <v>0.2</v>
      </c>
      <c r="K2422">
        <v>0.19700000000000001</v>
      </c>
      <c r="L2422">
        <v>0.59</v>
      </c>
      <c r="M2422">
        <v>0.19400000000000001</v>
      </c>
      <c r="N2422">
        <v>12</v>
      </c>
      <c r="O2422">
        <v>66</v>
      </c>
      <c r="P2422">
        <v>78</v>
      </c>
    </row>
    <row r="2423" spans="1:16" x14ac:dyDescent="0.25">
      <c r="A2423">
        <v>631</v>
      </c>
      <c r="B2423" s="1">
        <v>40572</v>
      </c>
      <c r="C2423">
        <v>1</v>
      </c>
      <c r="D2423">
        <v>0</v>
      </c>
      <c r="E2423">
        <v>1</v>
      </c>
      <c r="F2423">
        <v>13</v>
      </c>
      <c r="G2423" t="b">
        <v>0</v>
      </c>
      <c r="H2423">
        <v>6</v>
      </c>
      <c r="I2423">
        <v>2</v>
      </c>
      <c r="J2423">
        <v>0.22</v>
      </c>
      <c r="K2423">
        <v>0.2273</v>
      </c>
      <c r="L2423">
        <v>0.55000000000000004</v>
      </c>
      <c r="M2423">
        <v>0.16420000000000001</v>
      </c>
      <c r="N2423">
        <v>9</v>
      </c>
      <c r="O2423">
        <v>56</v>
      </c>
      <c r="P2423">
        <v>65</v>
      </c>
    </row>
    <row r="2424" spans="1:16" x14ac:dyDescent="0.25">
      <c r="A2424">
        <v>632</v>
      </c>
      <c r="B2424" s="1">
        <v>40572</v>
      </c>
      <c r="C2424">
        <v>1</v>
      </c>
      <c r="D2424">
        <v>0</v>
      </c>
      <c r="E2424">
        <v>1</v>
      </c>
      <c r="F2424">
        <v>14</v>
      </c>
      <c r="G2424" t="b">
        <v>0</v>
      </c>
      <c r="H2424">
        <v>6</v>
      </c>
      <c r="I2424">
        <v>2</v>
      </c>
      <c r="J2424">
        <v>0.22</v>
      </c>
      <c r="K2424">
        <v>0.2273</v>
      </c>
      <c r="L2424">
        <v>0.6</v>
      </c>
      <c r="M2424">
        <v>0.1343</v>
      </c>
      <c r="N2424">
        <v>10</v>
      </c>
      <c r="O2424">
        <v>89</v>
      </c>
      <c r="P2424">
        <v>99</v>
      </c>
    </row>
    <row r="2425" spans="1:16" x14ac:dyDescent="0.25">
      <c r="A2425">
        <v>633</v>
      </c>
      <c r="B2425" s="1">
        <v>40572</v>
      </c>
      <c r="C2425">
        <v>1</v>
      </c>
      <c r="D2425">
        <v>0</v>
      </c>
      <c r="E2425">
        <v>1</v>
      </c>
      <c r="F2425">
        <v>15</v>
      </c>
      <c r="G2425" t="b">
        <v>0</v>
      </c>
      <c r="H2425">
        <v>6</v>
      </c>
      <c r="I2425">
        <v>1</v>
      </c>
      <c r="J2425">
        <v>0.22</v>
      </c>
      <c r="K2425">
        <v>0.21210000000000001</v>
      </c>
      <c r="L2425">
        <v>0.69</v>
      </c>
      <c r="M2425">
        <v>0.25369999999999998</v>
      </c>
      <c r="N2425">
        <v>22</v>
      </c>
      <c r="O2425">
        <v>98</v>
      </c>
      <c r="P2425">
        <v>120</v>
      </c>
    </row>
    <row r="2426" spans="1:16" x14ac:dyDescent="0.25">
      <c r="A2426">
        <v>634</v>
      </c>
      <c r="B2426" s="1">
        <v>40572</v>
      </c>
      <c r="C2426">
        <v>1</v>
      </c>
      <c r="D2426">
        <v>0</v>
      </c>
      <c r="E2426">
        <v>1</v>
      </c>
      <c r="F2426">
        <v>16</v>
      </c>
      <c r="G2426" t="b">
        <v>0</v>
      </c>
      <c r="H2426">
        <v>6</v>
      </c>
      <c r="I2426">
        <v>1</v>
      </c>
      <c r="J2426">
        <v>0.24</v>
      </c>
      <c r="K2426">
        <v>0.2424</v>
      </c>
      <c r="L2426">
        <v>0.6</v>
      </c>
      <c r="M2426">
        <v>0.16420000000000001</v>
      </c>
      <c r="N2426">
        <v>19</v>
      </c>
      <c r="O2426">
        <v>88</v>
      </c>
      <c r="P2426">
        <v>107</v>
      </c>
    </row>
    <row r="2427" spans="1:16" x14ac:dyDescent="0.25">
      <c r="A2427">
        <v>635</v>
      </c>
      <c r="B2427" s="1">
        <v>40572</v>
      </c>
      <c r="C2427">
        <v>1</v>
      </c>
      <c r="D2427">
        <v>0</v>
      </c>
      <c r="E2427">
        <v>1</v>
      </c>
      <c r="F2427">
        <v>17</v>
      </c>
      <c r="G2427" t="b">
        <v>0</v>
      </c>
      <c r="H2427">
        <v>6</v>
      </c>
      <c r="I2427">
        <v>1</v>
      </c>
      <c r="J2427">
        <v>0.24</v>
      </c>
      <c r="K2427">
        <v>0.28789999999999999</v>
      </c>
      <c r="L2427">
        <v>0.6</v>
      </c>
      <c r="M2427">
        <v>0</v>
      </c>
      <c r="N2427">
        <v>9</v>
      </c>
      <c r="O2427">
        <v>82</v>
      </c>
      <c r="P2427">
        <v>91</v>
      </c>
    </row>
    <row r="2428" spans="1:16" x14ac:dyDescent="0.25">
      <c r="A2428">
        <v>636</v>
      </c>
      <c r="B2428" s="1">
        <v>40572</v>
      </c>
      <c r="C2428">
        <v>1</v>
      </c>
      <c r="D2428">
        <v>0</v>
      </c>
      <c r="E2428">
        <v>1</v>
      </c>
      <c r="F2428">
        <v>18</v>
      </c>
      <c r="G2428" t="b">
        <v>0</v>
      </c>
      <c r="H2428">
        <v>6</v>
      </c>
      <c r="I2428">
        <v>1</v>
      </c>
      <c r="J2428">
        <v>0.22</v>
      </c>
      <c r="K2428">
        <v>0.2273</v>
      </c>
      <c r="L2428">
        <v>0.69</v>
      </c>
      <c r="M2428">
        <v>0.1343</v>
      </c>
      <c r="N2428">
        <v>9</v>
      </c>
      <c r="O2428">
        <v>59</v>
      </c>
      <c r="P2428">
        <v>68</v>
      </c>
    </row>
    <row r="2429" spans="1:16" x14ac:dyDescent="0.25">
      <c r="A2429">
        <v>637</v>
      </c>
      <c r="B2429" s="1">
        <v>40572</v>
      </c>
      <c r="C2429">
        <v>1</v>
      </c>
      <c r="D2429">
        <v>0</v>
      </c>
      <c r="E2429">
        <v>1</v>
      </c>
      <c r="F2429">
        <v>19</v>
      </c>
      <c r="G2429" t="b">
        <v>0</v>
      </c>
      <c r="H2429">
        <v>6</v>
      </c>
      <c r="I2429">
        <v>2</v>
      </c>
      <c r="J2429">
        <v>0.22</v>
      </c>
      <c r="K2429">
        <v>0.21210000000000001</v>
      </c>
      <c r="L2429">
        <v>0.69</v>
      </c>
      <c r="M2429">
        <v>0.25369999999999998</v>
      </c>
      <c r="N2429">
        <v>6</v>
      </c>
      <c r="O2429">
        <v>52</v>
      </c>
      <c r="P2429">
        <v>58</v>
      </c>
    </row>
    <row r="2430" spans="1:16" x14ac:dyDescent="0.25">
      <c r="A2430">
        <v>638</v>
      </c>
      <c r="B2430" s="1">
        <v>40572</v>
      </c>
      <c r="C2430">
        <v>1</v>
      </c>
      <c r="D2430">
        <v>0</v>
      </c>
      <c r="E2430">
        <v>1</v>
      </c>
      <c r="F2430">
        <v>20</v>
      </c>
      <c r="G2430" t="b">
        <v>0</v>
      </c>
      <c r="H2430">
        <v>6</v>
      </c>
      <c r="I2430">
        <v>1</v>
      </c>
      <c r="J2430">
        <v>0.18</v>
      </c>
      <c r="K2430">
        <v>0.21210000000000001</v>
      </c>
      <c r="L2430">
        <v>0.74</v>
      </c>
      <c r="M2430">
        <v>8.9599999999999999E-2</v>
      </c>
      <c r="N2430">
        <v>1</v>
      </c>
      <c r="O2430">
        <v>42</v>
      </c>
      <c r="P2430">
        <v>43</v>
      </c>
    </row>
    <row r="2431" spans="1:16" x14ac:dyDescent="0.25">
      <c r="A2431">
        <v>639</v>
      </c>
      <c r="B2431" s="1">
        <v>40572</v>
      </c>
      <c r="C2431">
        <v>1</v>
      </c>
      <c r="D2431">
        <v>0</v>
      </c>
      <c r="E2431">
        <v>1</v>
      </c>
      <c r="F2431">
        <v>21</v>
      </c>
      <c r="G2431" t="b">
        <v>0</v>
      </c>
      <c r="H2431">
        <v>6</v>
      </c>
      <c r="I2431">
        <v>1</v>
      </c>
      <c r="J2431">
        <v>0.18</v>
      </c>
      <c r="K2431">
        <v>0.21210000000000001</v>
      </c>
      <c r="L2431">
        <v>0.74</v>
      </c>
      <c r="M2431">
        <v>8.9599999999999999E-2</v>
      </c>
      <c r="N2431">
        <v>1</v>
      </c>
      <c r="O2431">
        <v>35</v>
      </c>
      <c r="P2431">
        <v>36</v>
      </c>
    </row>
    <row r="2432" spans="1:16" x14ac:dyDescent="0.25">
      <c r="A2432">
        <v>640</v>
      </c>
      <c r="B2432" s="1">
        <v>40572</v>
      </c>
      <c r="C2432">
        <v>1</v>
      </c>
      <c r="D2432">
        <v>0</v>
      </c>
      <c r="E2432">
        <v>1</v>
      </c>
      <c r="F2432">
        <v>22</v>
      </c>
      <c r="G2432" t="b">
        <v>0</v>
      </c>
      <c r="H2432">
        <v>6</v>
      </c>
      <c r="I2432">
        <v>1</v>
      </c>
      <c r="J2432">
        <v>0.16</v>
      </c>
      <c r="K2432">
        <v>0.19700000000000001</v>
      </c>
      <c r="L2432">
        <v>0.8</v>
      </c>
      <c r="M2432">
        <v>8.9599999999999999E-2</v>
      </c>
      <c r="N2432">
        <v>4</v>
      </c>
      <c r="O2432">
        <v>28</v>
      </c>
      <c r="P2432">
        <v>32</v>
      </c>
    </row>
    <row r="2433" spans="1:16" x14ac:dyDescent="0.25">
      <c r="A2433">
        <v>641</v>
      </c>
      <c r="B2433" s="1">
        <v>40572</v>
      </c>
      <c r="C2433">
        <v>1</v>
      </c>
      <c r="D2433">
        <v>0</v>
      </c>
      <c r="E2433">
        <v>1</v>
      </c>
      <c r="F2433">
        <v>23</v>
      </c>
      <c r="G2433" t="b">
        <v>0</v>
      </c>
      <c r="H2433">
        <v>6</v>
      </c>
      <c r="I2433">
        <v>1</v>
      </c>
      <c r="J2433">
        <v>0.16</v>
      </c>
      <c r="K2433">
        <v>0.19700000000000001</v>
      </c>
      <c r="L2433">
        <v>0.8</v>
      </c>
      <c r="M2433">
        <v>8.9599999999999999E-2</v>
      </c>
      <c r="N2433">
        <v>3</v>
      </c>
      <c r="O2433">
        <v>30</v>
      </c>
      <c r="P2433">
        <v>33</v>
      </c>
    </row>
    <row r="2434" spans="1:16" x14ac:dyDescent="0.25">
      <c r="A2434">
        <v>642</v>
      </c>
      <c r="B2434" s="1">
        <v>40573</v>
      </c>
      <c r="C2434">
        <v>1</v>
      </c>
      <c r="D2434">
        <v>0</v>
      </c>
      <c r="E2434">
        <v>1</v>
      </c>
      <c r="F2434">
        <v>0</v>
      </c>
      <c r="G2434" t="b">
        <v>0</v>
      </c>
      <c r="H2434">
        <v>0</v>
      </c>
      <c r="I2434">
        <v>1</v>
      </c>
      <c r="J2434">
        <v>0.16</v>
      </c>
      <c r="K2434">
        <v>0.18179999999999999</v>
      </c>
      <c r="L2434">
        <v>0.8</v>
      </c>
      <c r="M2434">
        <v>0.1045</v>
      </c>
      <c r="N2434">
        <v>0</v>
      </c>
      <c r="O2434">
        <v>33</v>
      </c>
      <c r="P2434">
        <v>33</v>
      </c>
    </row>
    <row r="2435" spans="1:16" x14ac:dyDescent="0.25">
      <c r="A2435">
        <v>643</v>
      </c>
      <c r="B2435" s="1">
        <v>40573</v>
      </c>
      <c r="C2435">
        <v>1</v>
      </c>
      <c r="D2435">
        <v>0</v>
      </c>
      <c r="E2435">
        <v>1</v>
      </c>
      <c r="F2435">
        <v>1</v>
      </c>
      <c r="G2435" t="b">
        <v>0</v>
      </c>
      <c r="H2435">
        <v>0</v>
      </c>
      <c r="I2435">
        <v>1</v>
      </c>
      <c r="J2435">
        <v>0.14000000000000001</v>
      </c>
      <c r="K2435">
        <v>0.21210000000000001</v>
      </c>
      <c r="L2435">
        <v>0.8</v>
      </c>
      <c r="M2435">
        <v>0</v>
      </c>
      <c r="N2435">
        <v>7</v>
      </c>
      <c r="O2435">
        <v>22</v>
      </c>
      <c r="P2435">
        <v>29</v>
      </c>
    </row>
    <row r="2436" spans="1:16" x14ac:dyDescent="0.25">
      <c r="A2436">
        <v>644</v>
      </c>
      <c r="B2436" s="1">
        <v>40573</v>
      </c>
      <c r="C2436">
        <v>1</v>
      </c>
      <c r="D2436">
        <v>0</v>
      </c>
      <c r="E2436">
        <v>1</v>
      </c>
      <c r="F2436">
        <v>2</v>
      </c>
      <c r="G2436" t="b">
        <v>0</v>
      </c>
      <c r="H2436">
        <v>0</v>
      </c>
      <c r="I2436">
        <v>1</v>
      </c>
      <c r="J2436">
        <v>0.16</v>
      </c>
      <c r="K2436">
        <v>0.2273</v>
      </c>
      <c r="L2436">
        <v>0.8</v>
      </c>
      <c r="M2436">
        <v>0</v>
      </c>
      <c r="N2436">
        <v>1</v>
      </c>
      <c r="O2436">
        <v>10</v>
      </c>
      <c r="P2436">
        <v>11</v>
      </c>
    </row>
    <row r="2437" spans="1:16" x14ac:dyDescent="0.25">
      <c r="A2437">
        <v>645</v>
      </c>
      <c r="B2437" s="1">
        <v>40573</v>
      </c>
      <c r="C2437">
        <v>1</v>
      </c>
      <c r="D2437">
        <v>0</v>
      </c>
      <c r="E2437">
        <v>1</v>
      </c>
      <c r="F2437">
        <v>3</v>
      </c>
      <c r="G2437" t="b">
        <v>0</v>
      </c>
      <c r="H2437">
        <v>0</v>
      </c>
      <c r="I2437">
        <v>1</v>
      </c>
      <c r="J2437">
        <v>0.14000000000000001</v>
      </c>
      <c r="K2437">
        <v>0.21210000000000001</v>
      </c>
      <c r="L2437">
        <v>0.93</v>
      </c>
      <c r="M2437">
        <v>0</v>
      </c>
      <c r="N2437">
        <v>1</v>
      </c>
      <c r="O2437">
        <v>7</v>
      </c>
      <c r="P2437">
        <v>8</v>
      </c>
    </row>
    <row r="2438" spans="1:16" x14ac:dyDescent="0.25">
      <c r="A2438">
        <v>646</v>
      </c>
      <c r="B2438" s="1">
        <v>40573</v>
      </c>
      <c r="C2438">
        <v>1</v>
      </c>
      <c r="D2438">
        <v>0</v>
      </c>
      <c r="E2438">
        <v>1</v>
      </c>
      <c r="F2438">
        <v>4</v>
      </c>
      <c r="G2438" t="b">
        <v>0</v>
      </c>
      <c r="H2438">
        <v>0</v>
      </c>
      <c r="I2438">
        <v>1</v>
      </c>
      <c r="J2438">
        <v>0.14000000000000001</v>
      </c>
      <c r="K2438">
        <v>0.21210000000000001</v>
      </c>
      <c r="L2438">
        <v>0.93</v>
      </c>
      <c r="M2438">
        <v>0</v>
      </c>
      <c r="N2438">
        <v>0</v>
      </c>
      <c r="O2438">
        <v>1</v>
      </c>
      <c r="P2438">
        <v>1</v>
      </c>
    </row>
    <row r="2439" spans="1:16" x14ac:dyDescent="0.25">
      <c r="A2439">
        <v>647</v>
      </c>
      <c r="B2439" s="1">
        <v>40573</v>
      </c>
      <c r="C2439">
        <v>1</v>
      </c>
      <c r="D2439">
        <v>0</v>
      </c>
      <c r="E2439">
        <v>1</v>
      </c>
      <c r="F2439">
        <v>5</v>
      </c>
      <c r="G2439" t="b">
        <v>0</v>
      </c>
      <c r="H2439">
        <v>0</v>
      </c>
      <c r="I2439">
        <v>1</v>
      </c>
      <c r="J2439">
        <v>0.14000000000000001</v>
      </c>
      <c r="K2439">
        <v>0.21210000000000001</v>
      </c>
      <c r="L2439">
        <v>0.86</v>
      </c>
      <c r="M2439">
        <v>0</v>
      </c>
      <c r="N2439">
        <v>0</v>
      </c>
      <c r="O2439">
        <v>3</v>
      </c>
      <c r="P2439">
        <v>3</v>
      </c>
    </row>
    <row r="2440" spans="1:16" x14ac:dyDescent="0.25">
      <c r="A2440">
        <v>648</v>
      </c>
      <c r="B2440" s="1">
        <v>40573</v>
      </c>
      <c r="C2440">
        <v>1</v>
      </c>
      <c r="D2440">
        <v>0</v>
      </c>
      <c r="E2440">
        <v>1</v>
      </c>
      <c r="F2440">
        <v>7</v>
      </c>
      <c r="G2440" t="b">
        <v>0</v>
      </c>
      <c r="H2440">
        <v>0</v>
      </c>
      <c r="I2440">
        <v>1</v>
      </c>
      <c r="J2440">
        <v>0.14000000000000001</v>
      </c>
      <c r="K2440">
        <v>0.21210000000000001</v>
      </c>
      <c r="L2440">
        <v>0.86</v>
      </c>
      <c r="M2440">
        <v>0</v>
      </c>
      <c r="N2440">
        <v>0</v>
      </c>
      <c r="O2440">
        <v>3</v>
      </c>
      <c r="P2440">
        <v>3</v>
      </c>
    </row>
    <row r="2441" spans="1:16" x14ac:dyDescent="0.25">
      <c r="A2441">
        <v>649</v>
      </c>
      <c r="B2441" s="1">
        <v>40573</v>
      </c>
      <c r="C2441">
        <v>1</v>
      </c>
      <c r="D2441">
        <v>0</v>
      </c>
      <c r="E2441">
        <v>1</v>
      </c>
      <c r="F2441">
        <v>8</v>
      </c>
      <c r="G2441" t="b">
        <v>0</v>
      </c>
      <c r="H2441">
        <v>0</v>
      </c>
      <c r="I2441">
        <v>2</v>
      </c>
      <c r="J2441">
        <v>0.14000000000000001</v>
      </c>
      <c r="K2441">
        <v>0.21210000000000001</v>
      </c>
      <c r="L2441">
        <v>0.86</v>
      </c>
      <c r="M2441">
        <v>0</v>
      </c>
      <c r="N2441">
        <v>1</v>
      </c>
      <c r="O2441">
        <v>11</v>
      </c>
      <c r="P2441">
        <v>12</v>
      </c>
    </row>
    <row r="2442" spans="1:16" x14ac:dyDescent="0.25">
      <c r="A2442">
        <v>650</v>
      </c>
      <c r="B2442" s="1">
        <v>40573</v>
      </c>
      <c r="C2442">
        <v>1</v>
      </c>
      <c r="D2442">
        <v>0</v>
      </c>
      <c r="E2442">
        <v>1</v>
      </c>
      <c r="F2442">
        <v>9</v>
      </c>
      <c r="G2442" t="b">
        <v>0</v>
      </c>
      <c r="H2442">
        <v>0</v>
      </c>
      <c r="I2442">
        <v>2</v>
      </c>
      <c r="J2442">
        <v>0.16</v>
      </c>
      <c r="K2442">
        <v>0.2273</v>
      </c>
      <c r="L2442">
        <v>0.8</v>
      </c>
      <c r="M2442">
        <v>0</v>
      </c>
      <c r="N2442">
        <v>4</v>
      </c>
      <c r="O2442">
        <v>34</v>
      </c>
      <c r="P2442">
        <v>38</v>
      </c>
    </row>
    <row r="2443" spans="1:16" x14ac:dyDescent="0.25">
      <c r="A2443">
        <v>651</v>
      </c>
      <c r="B2443" s="1">
        <v>40573</v>
      </c>
      <c r="C2443">
        <v>1</v>
      </c>
      <c r="D2443">
        <v>0</v>
      </c>
      <c r="E2443">
        <v>1</v>
      </c>
      <c r="F2443">
        <v>10</v>
      </c>
      <c r="G2443" t="b">
        <v>0</v>
      </c>
      <c r="H2443">
        <v>0</v>
      </c>
      <c r="I2443">
        <v>2</v>
      </c>
      <c r="J2443">
        <v>0.18</v>
      </c>
      <c r="K2443">
        <v>0.2424</v>
      </c>
      <c r="L2443">
        <v>0.8</v>
      </c>
      <c r="M2443">
        <v>0</v>
      </c>
      <c r="N2443">
        <v>7</v>
      </c>
      <c r="O2443">
        <v>57</v>
      </c>
      <c r="P2443">
        <v>64</v>
      </c>
    </row>
    <row r="2444" spans="1:16" x14ac:dyDescent="0.25">
      <c r="A2444">
        <v>652</v>
      </c>
      <c r="B2444" s="1">
        <v>40573</v>
      </c>
      <c r="C2444">
        <v>1</v>
      </c>
      <c r="D2444">
        <v>0</v>
      </c>
      <c r="E2444">
        <v>1</v>
      </c>
      <c r="F2444">
        <v>11</v>
      </c>
      <c r="G2444" t="b">
        <v>0</v>
      </c>
      <c r="H2444">
        <v>0</v>
      </c>
      <c r="I2444">
        <v>1</v>
      </c>
      <c r="J2444">
        <v>0.22</v>
      </c>
      <c r="K2444">
        <v>0.2727</v>
      </c>
      <c r="L2444">
        <v>0.75</v>
      </c>
      <c r="M2444">
        <v>0</v>
      </c>
      <c r="N2444">
        <v>9</v>
      </c>
      <c r="O2444">
        <v>50</v>
      </c>
      <c r="P2444">
        <v>59</v>
      </c>
    </row>
    <row r="2445" spans="1:16" x14ac:dyDescent="0.25">
      <c r="A2445">
        <v>653</v>
      </c>
      <c r="B2445" s="1">
        <v>40573</v>
      </c>
      <c r="C2445">
        <v>1</v>
      </c>
      <c r="D2445">
        <v>0</v>
      </c>
      <c r="E2445">
        <v>1</v>
      </c>
      <c r="F2445">
        <v>12</v>
      </c>
      <c r="G2445" t="b">
        <v>0</v>
      </c>
      <c r="H2445">
        <v>0</v>
      </c>
      <c r="I2445">
        <v>1</v>
      </c>
      <c r="J2445">
        <v>0.3</v>
      </c>
      <c r="K2445">
        <v>0.31819999999999998</v>
      </c>
      <c r="L2445">
        <v>0.52</v>
      </c>
      <c r="M2445">
        <v>0.1045</v>
      </c>
      <c r="N2445">
        <v>10</v>
      </c>
      <c r="O2445">
        <v>87</v>
      </c>
      <c r="P2445">
        <v>97</v>
      </c>
    </row>
    <row r="2446" spans="1:16" x14ac:dyDescent="0.25">
      <c r="A2446">
        <v>654</v>
      </c>
      <c r="B2446" s="1">
        <v>40573</v>
      </c>
      <c r="C2446">
        <v>1</v>
      </c>
      <c r="D2446">
        <v>0</v>
      </c>
      <c r="E2446">
        <v>1</v>
      </c>
      <c r="F2446">
        <v>13</v>
      </c>
      <c r="G2446" t="b">
        <v>0</v>
      </c>
      <c r="H2446">
        <v>0</v>
      </c>
      <c r="I2446">
        <v>1</v>
      </c>
      <c r="J2446">
        <v>0.28000000000000003</v>
      </c>
      <c r="K2446">
        <v>0.28789999999999999</v>
      </c>
      <c r="L2446">
        <v>0.61</v>
      </c>
      <c r="M2446">
        <v>0.1045</v>
      </c>
      <c r="N2446">
        <v>13</v>
      </c>
      <c r="O2446">
        <v>71</v>
      </c>
      <c r="P2446">
        <v>84</v>
      </c>
    </row>
    <row r="2447" spans="1:16" x14ac:dyDescent="0.25">
      <c r="A2447">
        <v>655</v>
      </c>
      <c r="B2447" s="1">
        <v>40573</v>
      </c>
      <c r="C2447">
        <v>1</v>
      </c>
      <c r="D2447">
        <v>0</v>
      </c>
      <c r="E2447">
        <v>1</v>
      </c>
      <c r="F2447">
        <v>14</v>
      </c>
      <c r="G2447" t="b">
        <v>0</v>
      </c>
      <c r="H2447">
        <v>0</v>
      </c>
      <c r="I2447">
        <v>1</v>
      </c>
      <c r="J2447">
        <v>0.28000000000000003</v>
      </c>
      <c r="K2447">
        <v>0.30299999999999999</v>
      </c>
      <c r="L2447">
        <v>0.61</v>
      </c>
      <c r="M2447">
        <v>8.9599999999999999E-2</v>
      </c>
      <c r="N2447">
        <v>18</v>
      </c>
      <c r="O2447">
        <v>104</v>
      </c>
      <c r="P2447">
        <v>122</v>
      </c>
    </row>
    <row r="2448" spans="1:16" x14ac:dyDescent="0.25">
      <c r="A2448">
        <v>656</v>
      </c>
      <c r="B2448" s="1">
        <v>40573</v>
      </c>
      <c r="C2448">
        <v>1</v>
      </c>
      <c r="D2448">
        <v>0</v>
      </c>
      <c r="E2448">
        <v>1</v>
      </c>
      <c r="F2448">
        <v>15</v>
      </c>
      <c r="G2448" t="b">
        <v>0</v>
      </c>
      <c r="H2448">
        <v>0</v>
      </c>
      <c r="I2448">
        <v>1</v>
      </c>
      <c r="J2448">
        <v>0.3</v>
      </c>
      <c r="K2448">
        <v>0.33329999999999999</v>
      </c>
      <c r="L2448">
        <v>0.56000000000000005</v>
      </c>
      <c r="M2448">
        <v>0</v>
      </c>
      <c r="N2448">
        <v>14</v>
      </c>
      <c r="O2448">
        <v>95</v>
      </c>
      <c r="P2448">
        <v>109</v>
      </c>
    </row>
    <row r="2449" spans="1:16" x14ac:dyDescent="0.25">
      <c r="A2449">
        <v>657</v>
      </c>
      <c r="B2449" s="1">
        <v>40573</v>
      </c>
      <c r="C2449">
        <v>1</v>
      </c>
      <c r="D2449">
        <v>0</v>
      </c>
      <c r="E2449">
        <v>1</v>
      </c>
      <c r="F2449">
        <v>16</v>
      </c>
      <c r="G2449" t="b">
        <v>0</v>
      </c>
      <c r="H2449">
        <v>0</v>
      </c>
      <c r="I2449">
        <v>1</v>
      </c>
      <c r="J2449">
        <v>0.3</v>
      </c>
      <c r="K2449">
        <v>0.33329999999999999</v>
      </c>
      <c r="L2449">
        <v>0.56000000000000005</v>
      </c>
      <c r="M2449">
        <v>0</v>
      </c>
      <c r="N2449">
        <v>19</v>
      </c>
      <c r="O2449">
        <v>104</v>
      </c>
      <c r="P2449">
        <v>123</v>
      </c>
    </row>
    <row r="2450" spans="1:16" x14ac:dyDescent="0.25">
      <c r="A2450">
        <v>658</v>
      </c>
      <c r="B2450" s="1">
        <v>40573</v>
      </c>
      <c r="C2450">
        <v>1</v>
      </c>
      <c r="D2450">
        <v>0</v>
      </c>
      <c r="E2450">
        <v>1</v>
      </c>
      <c r="F2450">
        <v>17</v>
      </c>
      <c r="G2450" t="b">
        <v>0</v>
      </c>
      <c r="H2450">
        <v>0</v>
      </c>
      <c r="I2450">
        <v>1</v>
      </c>
      <c r="J2450">
        <v>0.3</v>
      </c>
      <c r="K2450">
        <v>0.28789999999999999</v>
      </c>
      <c r="L2450">
        <v>0.56000000000000005</v>
      </c>
      <c r="M2450">
        <v>0.19400000000000001</v>
      </c>
      <c r="N2450">
        <v>6</v>
      </c>
      <c r="O2450">
        <v>71</v>
      </c>
      <c r="P2450">
        <v>77</v>
      </c>
    </row>
    <row r="2451" spans="1:16" x14ac:dyDescent="0.25">
      <c r="A2451">
        <v>659</v>
      </c>
      <c r="B2451" s="1">
        <v>40573</v>
      </c>
      <c r="C2451">
        <v>1</v>
      </c>
      <c r="D2451">
        <v>0</v>
      </c>
      <c r="E2451">
        <v>1</v>
      </c>
      <c r="F2451">
        <v>18</v>
      </c>
      <c r="G2451" t="b">
        <v>0</v>
      </c>
      <c r="H2451">
        <v>0</v>
      </c>
      <c r="I2451">
        <v>1</v>
      </c>
      <c r="J2451">
        <v>0.26</v>
      </c>
      <c r="K2451">
        <v>0.2576</v>
      </c>
      <c r="L2451">
        <v>0.65</v>
      </c>
      <c r="M2451">
        <v>0.16420000000000001</v>
      </c>
      <c r="N2451">
        <v>8</v>
      </c>
      <c r="O2451">
        <v>57</v>
      </c>
      <c r="P2451">
        <v>65</v>
      </c>
    </row>
    <row r="2452" spans="1:16" x14ac:dyDescent="0.25">
      <c r="A2452">
        <v>660</v>
      </c>
      <c r="B2452" s="1">
        <v>40573</v>
      </c>
      <c r="C2452">
        <v>1</v>
      </c>
      <c r="D2452">
        <v>0</v>
      </c>
      <c r="E2452">
        <v>1</v>
      </c>
      <c r="F2452">
        <v>19</v>
      </c>
      <c r="G2452" t="b">
        <v>0</v>
      </c>
      <c r="H2452">
        <v>0</v>
      </c>
      <c r="I2452">
        <v>1</v>
      </c>
      <c r="J2452">
        <v>0.26</v>
      </c>
      <c r="K2452">
        <v>0.2576</v>
      </c>
      <c r="L2452">
        <v>0.65</v>
      </c>
      <c r="M2452">
        <v>0.19400000000000001</v>
      </c>
      <c r="N2452">
        <v>9</v>
      </c>
      <c r="O2452">
        <v>46</v>
      </c>
      <c r="P2452">
        <v>55</v>
      </c>
    </row>
    <row r="2453" spans="1:16" x14ac:dyDescent="0.25">
      <c r="A2453">
        <v>661</v>
      </c>
      <c r="B2453" s="1">
        <v>40573</v>
      </c>
      <c r="C2453">
        <v>1</v>
      </c>
      <c r="D2453">
        <v>0</v>
      </c>
      <c r="E2453">
        <v>1</v>
      </c>
      <c r="F2453">
        <v>20</v>
      </c>
      <c r="G2453" t="b">
        <v>0</v>
      </c>
      <c r="H2453">
        <v>0</v>
      </c>
      <c r="I2453">
        <v>2</v>
      </c>
      <c r="J2453">
        <v>0.26</v>
      </c>
      <c r="K2453">
        <v>0.2727</v>
      </c>
      <c r="L2453">
        <v>0.65</v>
      </c>
      <c r="M2453">
        <v>0.1045</v>
      </c>
      <c r="N2453">
        <v>3</v>
      </c>
      <c r="O2453">
        <v>30</v>
      </c>
      <c r="P2453">
        <v>33</v>
      </c>
    </row>
    <row r="2454" spans="1:16" x14ac:dyDescent="0.25">
      <c r="A2454">
        <v>662</v>
      </c>
      <c r="B2454" s="1">
        <v>40573</v>
      </c>
      <c r="C2454">
        <v>1</v>
      </c>
      <c r="D2454">
        <v>0</v>
      </c>
      <c r="E2454">
        <v>1</v>
      </c>
      <c r="F2454">
        <v>21</v>
      </c>
      <c r="G2454" t="b">
        <v>0</v>
      </c>
      <c r="H2454">
        <v>0</v>
      </c>
      <c r="I2454">
        <v>2</v>
      </c>
      <c r="J2454">
        <v>0.24</v>
      </c>
      <c r="K2454">
        <v>0.2424</v>
      </c>
      <c r="L2454">
        <v>0.7</v>
      </c>
      <c r="M2454">
        <v>0.16420000000000001</v>
      </c>
      <c r="N2454">
        <v>3</v>
      </c>
      <c r="O2454">
        <v>25</v>
      </c>
      <c r="P2454">
        <v>28</v>
      </c>
    </row>
    <row r="2455" spans="1:16" x14ac:dyDescent="0.25">
      <c r="A2455">
        <v>663</v>
      </c>
      <c r="B2455" s="1">
        <v>40573</v>
      </c>
      <c r="C2455">
        <v>1</v>
      </c>
      <c r="D2455">
        <v>0</v>
      </c>
      <c r="E2455">
        <v>1</v>
      </c>
      <c r="F2455">
        <v>22</v>
      </c>
      <c r="G2455" t="b">
        <v>0</v>
      </c>
      <c r="H2455">
        <v>0</v>
      </c>
      <c r="I2455">
        <v>2</v>
      </c>
      <c r="J2455">
        <v>0.24</v>
      </c>
      <c r="K2455">
        <v>0.2273</v>
      </c>
      <c r="L2455">
        <v>0.7</v>
      </c>
      <c r="M2455">
        <v>0.19400000000000001</v>
      </c>
      <c r="N2455">
        <v>2</v>
      </c>
      <c r="O2455">
        <v>19</v>
      </c>
      <c r="P2455">
        <v>21</v>
      </c>
    </row>
    <row r="2456" spans="1:16" x14ac:dyDescent="0.25">
      <c r="A2456">
        <v>664</v>
      </c>
      <c r="B2456" s="1">
        <v>40573</v>
      </c>
      <c r="C2456">
        <v>1</v>
      </c>
      <c r="D2456">
        <v>0</v>
      </c>
      <c r="E2456">
        <v>1</v>
      </c>
      <c r="F2456">
        <v>23</v>
      </c>
      <c r="G2456" t="b">
        <v>0</v>
      </c>
      <c r="H2456">
        <v>0</v>
      </c>
      <c r="I2456">
        <v>2</v>
      </c>
      <c r="J2456">
        <v>0.24</v>
      </c>
      <c r="K2456">
        <v>0.21210000000000001</v>
      </c>
      <c r="L2456">
        <v>0.65</v>
      </c>
      <c r="M2456">
        <v>0.28360000000000002</v>
      </c>
      <c r="N2456">
        <v>5</v>
      </c>
      <c r="O2456">
        <v>16</v>
      </c>
      <c r="P2456">
        <v>21</v>
      </c>
    </row>
    <row r="2457" spans="1:16" x14ac:dyDescent="0.25">
      <c r="A2457">
        <v>665</v>
      </c>
      <c r="B2457" s="1">
        <v>40574</v>
      </c>
      <c r="C2457">
        <v>1</v>
      </c>
      <c r="D2457">
        <v>0</v>
      </c>
      <c r="E2457">
        <v>1</v>
      </c>
      <c r="F2457">
        <v>0</v>
      </c>
      <c r="G2457" t="b">
        <v>0</v>
      </c>
      <c r="H2457">
        <v>1</v>
      </c>
      <c r="I2457">
        <v>2</v>
      </c>
      <c r="J2457">
        <v>0.24</v>
      </c>
      <c r="K2457">
        <v>0.2273</v>
      </c>
      <c r="L2457">
        <v>0.65</v>
      </c>
      <c r="M2457">
        <v>0.22389999999999999</v>
      </c>
      <c r="N2457">
        <v>1</v>
      </c>
      <c r="O2457">
        <v>6</v>
      </c>
      <c r="P2457">
        <v>7</v>
      </c>
    </row>
    <row r="2458" spans="1:16" x14ac:dyDescent="0.25">
      <c r="A2458">
        <v>666</v>
      </c>
      <c r="B2458" s="1">
        <v>40574</v>
      </c>
      <c r="C2458">
        <v>1</v>
      </c>
      <c r="D2458">
        <v>0</v>
      </c>
      <c r="E2458">
        <v>1</v>
      </c>
      <c r="F2458">
        <v>1</v>
      </c>
      <c r="G2458" t="b">
        <v>0</v>
      </c>
      <c r="H2458">
        <v>1</v>
      </c>
      <c r="I2458">
        <v>1</v>
      </c>
      <c r="J2458">
        <v>0.22</v>
      </c>
      <c r="K2458">
        <v>0.21210000000000001</v>
      </c>
      <c r="L2458">
        <v>0.64</v>
      </c>
      <c r="M2458">
        <v>0.25369999999999998</v>
      </c>
      <c r="N2458">
        <v>2</v>
      </c>
      <c r="O2458">
        <v>5</v>
      </c>
      <c r="P2458">
        <v>7</v>
      </c>
    </row>
    <row r="2459" spans="1:16" x14ac:dyDescent="0.25">
      <c r="A2459">
        <v>667</v>
      </c>
      <c r="B2459" s="1">
        <v>40574</v>
      </c>
      <c r="C2459">
        <v>1</v>
      </c>
      <c r="D2459">
        <v>0</v>
      </c>
      <c r="E2459">
        <v>1</v>
      </c>
      <c r="F2459">
        <v>2</v>
      </c>
      <c r="G2459" t="b">
        <v>0</v>
      </c>
      <c r="H2459">
        <v>1</v>
      </c>
      <c r="I2459">
        <v>1</v>
      </c>
      <c r="J2459">
        <v>0.22</v>
      </c>
      <c r="K2459">
        <v>0.2273</v>
      </c>
      <c r="L2459">
        <v>0.64</v>
      </c>
      <c r="M2459">
        <v>0.19400000000000001</v>
      </c>
      <c r="N2459">
        <v>0</v>
      </c>
      <c r="O2459">
        <v>1</v>
      </c>
      <c r="P2459">
        <v>1</v>
      </c>
    </row>
    <row r="2460" spans="1:16" x14ac:dyDescent="0.25">
      <c r="A2460">
        <v>668</v>
      </c>
      <c r="B2460" s="1">
        <v>40574</v>
      </c>
      <c r="C2460">
        <v>1</v>
      </c>
      <c r="D2460">
        <v>0</v>
      </c>
      <c r="E2460">
        <v>1</v>
      </c>
      <c r="F2460">
        <v>3</v>
      </c>
      <c r="G2460" t="b">
        <v>0</v>
      </c>
      <c r="H2460">
        <v>1</v>
      </c>
      <c r="I2460">
        <v>1</v>
      </c>
      <c r="J2460">
        <v>0.22</v>
      </c>
      <c r="K2460">
        <v>0.2273</v>
      </c>
      <c r="L2460">
        <v>0.64</v>
      </c>
      <c r="M2460">
        <v>0.19400000000000001</v>
      </c>
      <c r="N2460">
        <v>0</v>
      </c>
      <c r="O2460">
        <v>2</v>
      </c>
      <c r="P2460">
        <v>2</v>
      </c>
    </row>
    <row r="2461" spans="1:16" x14ac:dyDescent="0.25">
      <c r="A2461">
        <v>669</v>
      </c>
      <c r="B2461" s="1">
        <v>40574</v>
      </c>
      <c r="C2461">
        <v>1</v>
      </c>
      <c r="D2461">
        <v>0</v>
      </c>
      <c r="E2461">
        <v>1</v>
      </c>
      <c r="F2461">
        <v>4</v>
      </c>
      <c r="G2461" t="b">
        <v>0</v>
      </c>
      <c r="H2461">
        <v>1</v>
      </c>
      <c r="I2461">
        <v>1</v>
      </c>
      <c r="J2461">
        <v>0.2</v>
      </c>
      <c r="K2461">
        <v>0.19700000000000001</v>
      </c>
      <c r="L2461">
        <v>0.59</v>
      </c>
      <c r="M2461">
        <v>0.22389999999999999</v>
      </c>
      <c r="N2461">
        <v>0</v>
      </c>
      <c r="O2461">
        <v>2</v>
      </c>
      <c r="P2461">
        <v>2</v>
      </c>
    </row>
    <row r="2462" spans="1:16" x14ac:dyDescent="0.25">
      <c r="A2462">
        <v>670</v>
      </c>
      <c r="B2462" s="1">
        <v>40574</v>
      </c>
      <c r="C2462">
        <v>1</v>
      </c>
      <c r="D2462">
        <v>0</v>
      </c>
      <c r="E2462">
        <v>1</v>
      </c>
      <c r="F2462">
        <v>5</v>
      </c>
      <c r="G2462" t="b">
        <v>0</v>
      </c>
      <c r="H2462">
        <v>1</v>
      </c>
      <c r="I2462">
        <v>1</v>
      </c>
      <c r="J2462">
        <v>0.18</v>
      </c>
      <c r="K2462">
        <v>0.16669999999999999</v>
      </c>
      <c r="L2462">
        <v>0.64</v>
      </c>
      <c r="M2462">
        <v>0.28360000000000002</v>
      </c>
      <c r="N2462">
        <v>0</v>
      </c>
      <c r="O2462">
        <v>8</v>
      </c>
      <c r="P2462">
        <v>8</v>
      </c>
    </row>
    <row r="2463" spans="1:16" x14ac:dyDescent="0.25">
      <c r="A2463">
        <v>671</v>
      </c>
      <c r="B2463" s="1">
        <v>40574</v>
      </c>
      <c r="C2463">
        <v>1</v>
      </c>
      <c r="D2463">
        <v>0</v>
      </c>
      <c r="E2463">
        <v>1</v>
      </c>
      <c r="F2463">
        <v>6</v>
      </c>
      <c r="G2463" t="b">
        <v>0</v>
      </c>
      <c r="H2463">
        <v>1</v>
      </c>
      <c r="I2463">
        <v>1</v>
      </c>
      <c r="J2463">
        <v>0.16</v>
      </c>
      <c r="K2463">
        <v>0.13639999999999999</v>
      </c>
      <c r="L2463">
        <v>0.69</v>
      </c>
      <c r="M2463">
        <v>0.32840000000000003</v>
      </c>
      <c r="N2463">
        <v>0</v>
      </c>
      <c r="O2463">
        <v>37</v>
      </c>
      <c r="P2463">
        <v>37</v>
      </c>
    </row>
    <row r="2464" spans="1:16" x14ac:dyDescent="0.25">
      <c r="A2464">
        <v>672</v>
      </c>
      <c r="B2464" s="1">
        <v>40574</v>
      </c>
      <c r="C2464">
        <v>1</v>
      </c>
      <c r="D2464">
        <v>0</v>
      </c>
      <c r="E2464">
        <v>1</v>
      </c>
      <c r="F2464">
        <v>7</v>
      </c>
      <c r="G2464" t="b">
        <v>0</v>
      </c>
      <c r="H2464">
        <v>1</v>
      </c>
      <c r="I2464">
        <v>2</v>
      </c>
      <c r="J2464">
        <v>0.16</v>
      </c>
      <c r="K2464">
        <v>0.13639999999999999</v>
      </c>
      <c r="L2464">
        <v>0.64</v>
      </c>
      <c r="M2464">
        <v>0.28360000000000002</v>
      </c>
      <c r="N2464">
        <v>1</v>
      </c>
      <c r="O2464">
        <v>71</v>
      </c>
      <c r="P2464">
        <v>72</v>
      </c>
    </row>
    <row r="2465" spans="1:16" x14ac:dyDescent="0.25">
      <c r="A2465">
        <v>673</v>
      </c>
      <c r="B2465" s="1">
        <v>40574</v>
      </c>
      <c r="C2465">
        <v>1</v>
      </c>
      <c r="D2465">
        <v>0</v>
      </c>
      <c r="E2465">
        <v>1</v>
      </c>
      <c r="F2465">
        <v>8</v>
      </c>
      <c r="G2465" t="b">
        <v>0</v>
      </c>
      <c r="H2465">
        <v>1</v>
      </c>
      <c r="I2465">
        <v>2</v>
      </c>
      <c r="J2465">
        <v>0.16</v>
      </c>
      <c r="K2465">
        <v>0.13639999999999999</v>
      </c>
      <c r="L2465">
        <v>0.59</v>
      </c>
      <c r="M2465">
        <v>0.28360000000000002</v>
      </c>
      <c r="N2465">
        <v>3</v>
      </c>
      <c r="O2465">
        <v>182</v>
      </c>
      <c r="P2465">
        <v>185</v>
      </c>
    </row>
    <row r="2466" spans="1:16" x14ac:dyDescent="0.25">
      <c r="A2466">
        <v>674</v>
      </c>
      <c r="B2466" s="1">
        <v>40574</v>
      </c>
      <c r="C2466">
        <v>1</v>
      </c>
      <c r="D2466">
        <v>0</v>
      </c>
      <c r="E2466">
        <v>1</v>
      </c>
      <c r="F2466">
        <v>9</v>
      </c>
      <c r="G2466" t="b">
        <v>0</v>
      </c>
      <c r="H2466">
        <v>1</v>
      </c>
      <c r="I2466">
        <v>2</v>
      </c>
      <c r="J2466">
        <v>0.16</v>
      </c>
      <c r="K2466">
        <v>0.13639999999999999</v>
      </c>
      <c r="L2466">
        <v>0.59</v>
      </c>
      <c r="M2466">
        <v>0.29849999999999999</v>
      </c>
      <c r="N2466">
        <v>0</v>
      </c>
      <c r="O2466">
        <v>112</v>
      </c>
      <c r="P2466">
        <v>112</v>
      </c>
    </row>
    <row r="2467" spans="1:16" x14ac:dyDescent="0.25">
      <c r="A2467">
        <v>675</v>
      </c>
      <c r="B2467" s="1">
        <v>40574</v>
      </c>
      <c r="C2467">
        <v>1</v>
      </c>
      <c r="D2467">
        <v>0</v>
      </c>
      <c r="E2467">
        <v>1</v>
      </c>
      <c r="F2467">
        <v>10</v>
      </c>
      <c r="G2467" t="b">
        <v>0</v>
      </c>
      <c r="H2467">
        <v>1</v>
      </c>
      <c r="I2467">
        <v>2</v>
      </c>
      <c r="J2467">
        <v>0.16</v>
      </c>
      <c r="K2467">
        <v>0.1515</v>
      </c>
      <c r="L2467">
        <v>0.59</v>
      </c>
      <c r="M2467">
        <v>0.19400000000000001</v>
      </c>
      <c r="N2467">
        <v>1</v>
      </c>
      <c r="O2467">
        <v>68</v>
      </c>
      <c r="P2467">
        <v>69</v>
      </c>
    </row>
    <row r="2468" spans="1:16" x14ac:dyDescent="0.25">
      <c r="A2468">
        <v>676</v>
      </c>
      <c r="B2468" s="1">
        <v>40574</v>
      </c>
      <c r="C2468">
        <v>1</v>
      </c>
      <c r="D2468">
        <v>0</v>
      </c>
      <c r="E2468">
        <v>1</v>
      </c>
      <c r="F2468">
        <v>11</v>
      </c>
      <c r="G2468" t="b">
        <v>0</v>
      </c>
      <c r="H2468">
        <v>1</v>
      </c>
      <c r="I2468">
        <v>2</v>
      </c>
      <c r="J2468">
        <v>0.16</v>
      </c>
      <c r="K2468">
        <v>0.1515</v>
      </c>
      <c r="L2468">
        <v>0.59</v>
      </c>
      <c r="M2468">
        <v>0.19400000000000001</v>
      </c>
      <c r="N2468">
        <v>2</v>
      </c>
      <c r="O2468">
        <v>46</v>
      </c>
      <c r="P2468">
        <v>48</v>
      </c>
    </row>
    <row r="2469" spans="1:16" x14ac:dyDescent="0.25">
      <c r="A2469">
        <v>677</v>
      </c>
      <c r="B2469" s="1">
        <v>40574</v>
      </c>
      <c r="C2469">
        <v>1</v>
      </c>
      <c r="D2469">
        <v>0</v>
      </c>
      <c r="E2469">
        <v>1</v>
      </c>
      <c r="F2469">
        <v>12</v>
      </c>
      <c r="G2469" t="b">
        <v>0</v>
      </c>
      <c r="H2469">
        <v>1</v>
      </c>
      <c r="I2469">
        <v>2</v>
      </c>
      <c r="J2469">
        <v>0.18</v>
      </c>
      <c r="K2469">
        <v>0.21210000000000001</v>
      </c>
      <c r="L2469">
        <v>0.55000000000000004</v>
      </c>
      <c r="M2469">
        <v>0.1045</v>
      </c>
      <c r="N2469">
        <v>6</v>
      </c>
      <c r="O2469">
        <v>62</v>
      </c>
      <c r="P2469">
        <v>68</v>
      </c>
    </row>
    <row r="2470" spans="1:16" x14ac:dyDescent="0.25">
      <c r="A2470">
        <v>678</v>
      </c>
      <c r="B2470" s="1">
        <v>40574</v>
      </c>
      <c r="C2470">
        <v>1</v>
      </c>
      <c r="D2470">
        <v>0</v>
      </c>
      <c r="E2470">
        <v>1</v>
      </c>
      <c r="F2470">
        <v>13</v>
      </c>
      <c r="G2470" t="b">
        <v>0</v>
      </c>
      <c r="H2470">
        <v>1</v>
      </c>
      <c r="I2470">
        <v>2</v>
      </c>
      <c r="J2470">
        <v>0.16</v>
      </c>
      <c r="K2470">
        <v>0.2273</v>
      </c>
      <c r="L2470">
        <v>0.59</v>
      </c>
      <c r="M2470">
        <v>0</v>
      </c>
      <c r="N2470">
        <v>2</v>
      </c>
      <c r="O2470">
        <v>52</v>
      </c>
      <c r="P2470">
        <v>54</v>
      </c>
    </row>
    <row r="2471" spans="1:16" x14ac:dyDescent="0.25">
      <c r="A2471">
        <v>679</v>
      </c>
      <c r="B2471" s="1">
        <v>40574</v>
      </c>
      <c r="C2471">
        <v>1</v>
      </c>
      <c r="D2471">
        <v>0</v>
      </c>
      <c r="E2471">
        <v>1</v>
      </c>
      <c r="F2471">
        <v>14</v>
      </c>
      <c r="G2471" t="b">
        <v>0</v>
      </c>
      <c r="H2471">
        <v>1</v>
      </c>
      <c r="I2471">
        <v>2</v>
      </c>
      <c r="J2471">
        <v>0.18</v>
      </c>
      <c r="K2471">
        <v>0.19700000000000001</v>
      </c>
      <c r="L2471">
        <v>0.55000000000000004</v>
      </c>
      <c r="M2471">
        <v>0.1343</v>
      </c>
      <c r="N2471">
        <v>1</v>
      </c>
      <c r="O2471">
        <v>85</v>
      </c>
      <c r="P2471">
        <v>86</v>
      </c>
    </row>
    <row r="2472" spans="1:16" x14ac:dyDescent="0.25">
      <c r="A2472">
        <v>680</v>
      </c>
      <c r="B2472" s="1">
        <v>40574</v>
      </c>
      <c r="C2472">
        <v>1</v>
      </c>
      <c r="D2472">
        <v>0</v>
      </c>
      <c r="E2472">
        <v>1</v>
      </c>
      <c r="F2472">
        <v>15</v>
      </c>
      <c r="G2472" t="b">
        <v>0</v>
      </c>
      <c r="H2472">
        <v>1</v>
      </c>
      <c r="I2472">
        <v>2</v>
      </c>
      <c r="J2472">
        <v>0.16</v>
      </c>
      <c r="K2472">
        <v>0.18179999999999999</v>
      </c>
      <c r="L2472">
        <v>0.59</v>
      </c>
      <c r="M2472">
        <v>0.1343</v>
      </c>
      <c r="N2472">
        <v>3</v>
      </c>
      <c r="O2472">
        <v>41</v>
      </c>
      <c r="P2472">
        <v>44</v>
      </c>
    </row>
    <row r="2473" spans="1:16" x14ac:dyDescent="0.25">
      <c r="A2473">
        <v>681</v>
      </c>
      <c r="B2473" s="1">
        <v>40574</v>
      </c>
      <c r="C2473">
        <v>1</v>
      </c>
      <c r="D2473">
        <v>0</v>
      </c>
      <c r="E2473">
        <v>1</v>
      </c>
      <c r="F2473">
        <v>16</v>
      </c>
      <c r="G2473" t="b">
        <v>0</v>
      </c>
      <c r="H2473">
        <v>1</v>
      </c>
      <c r="I2473">
        <v>2</v>
      </c>
      <c r="J2473">
        <v>0.16</v>
      </c>
      <c r="K2473">
        <v>0.18179999999999999</v>
      </c>
      <c r="L2473">
        <v>0.56000000000000005</v>
      </c>
      <c r="M2473">
        <v>0.19400000000000001</v>
      </c>
      <c r="N2473">
        <v>3</v>
      </c>
      <c r="O2473">
        <v>83</v>
      </c>
      <c r="P2473">
        <v>86</v>
      </c>
    </row>
    <row r="2474" spans="1:16" x14ac:dyDescent="0.25">
      <c r="A2474">
        <v>682</v>
      </c>
      <c r="B2474" s="1">
        <v>40574</v>
      </c>
      <c r="C2474">
        <v>1</v>
      </c>
      <c r="D2474">
        <v>0</v>
      </c>
      <c r="E2474">
        <v>1</v>
      </c>
      <c r="F2474">
        <v>17</v>
      </c>
      <c r="G2474" t="b">
        <v>0</v>
      </c>
      <c r="H2474">
        <v>1</v>
      </c>
      <c r="I2474">
        <v>2</v>
      </c>
      <c r="J2474">
        <v>0.16</v>
      </c>
      <c r="K2474">
        <v>0.1515</v>
      </c>
      <c r="L2474">
        <v>0.59</v>
      </c>
      <c r="M2474">
        <v>0.19400000000000001</v>
      </c>
      <c r="N2474">
        <v>6</v>
      </c>
      <c r="O2474">
        <v>155</v>
      </c>
      <c r="P2474">
        <v>161</v>
      </c>
    </row>
    <row r="2475" spans="1:16" x14ac:dyDescent="0.25">
      <c r="A2475">
        <v>683</v>
      </c>
      <c r="B2475" s="1">
        <v>40574</v>
      </c>
      <c r="C2475">
        <v>1</v>
      </c>
      <c r="D2475">
        <v>0</v>
      </c>
      <c r="E2475">
        <v>1</v>
      </c>
      <c r="F2475">
        <v>18</v>
      </c>
      <c r="G2475" t="b">
        <v>0</v>
      </c>
      <c r="H2475">
        <v>1</v>
      </c>
      <c r="I2475">
        <v>2</v>
      </c>
      <c r="J2475">
        <v>0.16</v>
      </c>
      <c r="K2475">
        <v>0.1515</v>
      </c>
      <c r="L2475">
        <v>0.55000000000000004</v>
      </c>
      <c r="M2475">
        <v>0.22389999999999999</v>
      </c>
      <c r="N2475">
        <v>3</v>
      </c>
      <c r="O2475">
        <v>153</v>
      </c>
      <c r="P2475">
        <v>156</v>
      </c>
    </row>
    <row r="2476" spans="1:16" x14ac:dyDescent="0.25">
      <c r="A2476">
        <v>684</v>
      </c>
      <c r="B2476" s="1">
        <v>40574</v>
      </c>
      <c r="C2476">
        <v>1</v>
      </c>
      <c r="D2476">
        <v>0</v>
      </c>
      <c r="E2476">
        <v>1</v>
      </c>
      <c r="F2476">
        <v>19</v>
      </c>
      <c r="G2476" t="b">
        <v>0</v>
      </c>
      <c r="H2476">
        <v>1</v>
      </c>
      <c r="I2476">
        <v>1</v>
      </c>
      <c r="J2476">
        <v>0.3</v>
      </c>
      <c r="K2476">
        <v>0.31819999999999998</v>
      </c>
      <c r="L2476">
        <v>0.61</v>
      </c>
      <c r="M2476">
        <v>0.1045</v>
      </c>
      <c r="N2476">
        <v>3</v>
      </c>
      <c r="O2476">
        <v>108</v>
      </c>
      <c r="P2476">
        <v>111</v>
      </c>
    </row>
    <row r="2477" spans="1:16" x14ac:dyDescent="0.25">
      <c r="A2477">
        <v>685</v>
      </c>
      <c r="B2477" s="1">
        <v>40574</v>
      </c>
      <c r="C2477">
        <v>1</v>
      </c>
      <c r="D2477">
        <v>0</v>
      </c>
      <c r="E2477">
        <v>1</v>
      </c>
      <c r="F2477">
        <v>20</v>
      </c>
      <c r="G2477" t="b">
        <v>0</v>
      </c>
      <c r="H2477">
        <v>1</v>
      </c>
      <c r="I2477">
        <v>3</v>
      </c>
      <c r="J2477">
        <v>0.16</v>
      </c>
      <c r="K2477">
        <v>0.16669999999999999</v>
      </c>
      <c r="L2477">
        <v>0.59</v>
      </c>
      <c r="M2477">
        <v>0.16420000000000001</v>
      </c>
      <c r="N2477">
        <v>0</v>
      </c>
      <c r="O2477">
        <v>78</v>
      </c>
      <c r="P2477">
        <v>78</v>
      </c>
    </row>
    <row r="2478" spans="1:16" x14ac:dyDescent="0.25">
      <c r="A2478">
        <v>686</v>
      </c>
      <c r="B2478" s="1">
        <v>40574</v>
      </c>
      <c r="C2478">
        <v>1</v>
      </c>
      <c r="D2478">
        <v>0</v>
      </c>
      <c r="E2478">
        <v>1</v>
      </c>
      <c r="F2478">
        <v>21</v>
      </c>
      <c r="G2478" t="b">
        <v>0</v>
      </c>
      <c r="H2478">
        <v>1</v>
      </c>
      <c r="I2478">
        <v>3</v>
      </c>
      <c r="J2478">
        <v>0.16</v>
      </c>
      <c r="K2478">
        <v>0.19700000000000001</v>
      </c>
      <c r="L2478">
        <v>0.59</v>
      </c>
      <c r="M2478">
        <v>8.9599999999999999E-2</v>
      </c>
      <c r="N2478">
        <v>3</v>
      </c>
      <c r="O2478">
        <v>53</v>
      </c>
      <c r="P2478">
        <v>56</v>
      </c>
    </row>
    <row r="2479" spans="1:16" x14ac:dyDescent="0.25">
      <c r="A2479">
        <v>687</v>
      </c>
      <c r="B2479" s="1">
        <v>40574</v>
      </c>
      <c r="C2479">
        <v>1</v>
      </c>
      <c r="D2479">
        <v>0</v>
      </c>
      <c r="E2479">
        <v>1</v>
      </c>
      <c r="F2479">
        <v>22</v>
      </c>
      <c r="G2479" t="b">
        <v>0</v>
      </c>
      <c r="H2479">
        <v>1</v>
      </c>
      <c r="I2479">
        <v>2</v>
      </c>
      <c r="J2479">
        <v>0.16</v>
      </c>
      <c r="K2479">
        <v>0.18179999999999999</v>
      </c>
      <c r="L2479">
        <v>0.59</v>
      </c>
      <c r="M2479">
        <v>0.1045</v>
      </c>
      <c r="N2479">
        <v>0</v>
      </c>
      <c r="O2479">
        <v>34</v>
      </c>
      <c r="P2479">
        <v>34</v>
      </c>
    </row>
    <row r="2480" spans="1:16" x14ac:dyDescent="0.25">
      <c r="A2480">
        <v>688</v>
      </c>
      <c r="B2480" s="1">
        <v>40574</v>
      </c>
      <c r="C2480">
        <v>1</v>
      </c>
      <c r="D2480">
        <v>0</v>
      </c>
      <c r="E2480">
        <v>1</v>
      </c>
      <c r="F2480">
        <v>23</v>
      </c>
      <c r="G2480" t="b">
        <v>0</v>
      </c>
      <c r="H2480">
        <v>1</v>
      </c>
      <c r="I2480">
        <v>2</v>
      </c>
      <c r="J2480">
        <v>0.16</v>
      </c>
      <c r="K2480">
        <v>0.19700000000000001</v>
      </c>
      <c r="L2480">
        <v>0.64</v>
      </c>
      <c r="M2480">
        <v>8.9599999999999999E-2</v>
      </c>
      <c r="N2480">
        <v>2</v>
      </c>
      <c r="O2480">
        <v>15</v>
      </c>
      <c r="P2480">
        <v>17</v>
      </c>
    </row>
    <row r="2481" spans="1:16" x14ac:dyDescent="0.25">
      <c r="A2481">
        <v>689</v>
      </c>
      <c r="B2481" s="1">
        <v>40575</v>
      </c>
      <c r="C2481">
        <v>1</v>
      </c>
      <c r="D2481">
        <v>0</v>
      </c>
      <c r="E2481">
        <v>2</v>
      </c>
      <c r="F2481">
        <v>0</v>
      </c>
      <c r="G2481" t="b">
        <v>0</v>
      </c>
      <c r="H2481">
        <v>2</v>
      </c>
      <c r="I2481">
        <v>2</v>
      </c>
      <c r="J2481">
        <v>0.16</v>
      </c>
      <c r="K2481">
        <v>0.18179999999999999</v>
      </c>
      <c r="L2481">
        <v>0.64</v>
      </c>
      <c r="M2481">
        <v>0.1045</v>
      </c>
      <c r="N2481">
        <v>2</v>
      </c>
      <c r="O2481">
        <v>6</v>
      </c>
      <c r="P2481">
        <v>8</v>
      </c>
    </row>
    <row r="2482" spans="1:16" x14ac:dyDescent="0.25">
      <c r="A2482">
        <v>690</v>
      </c>
      <c r="B2482" s="1">
        <v>40575</v>
      </c>
      <c r="C2482">
        <v>1</v>
      </c>
      <c r="D2482">
        <v>0</v>
      </c>
      <c r="E2482">
        <v>2</v>
      </c>
      <c r="F2482">
        <v>1</v>
      </c>
      <c r="G2482" t="b">
        <v>0</v>
      </c>
      <c r="H2482">
        <v>2</v>
      </c>
      <c r="I2482">
        <v>2</v>
      </c>
      <c r="J2482">
        <v>0.16</v>
      </c>
      <c r="K2482">
        <v>0.18179999999999999</v>
      </c>
      <c r="L2482">
        <v>0.69</v>
      </c>
      <c r="M2482">
        <v>0.1045</v>
      </c>
      <c r="N2482">
        <v>0</v>
      </c>
      <c r="O2482">
        <v>3</v>
      </c>
      <c r="P2482">
        <v>3</v>
      </c>
    </row>
    <row r="2483" spans="1:16" x14ac:dyDescent="0.25">
      <c r="A2483">
        <v>691</v>
      </c>
      <c r="B2483" s="1">
        <v>40575</v>
      </c>
      <c r="C2483">
        <v>1</v>
      </c>
      <c r="D2483">
        <v>0</v>
      </c>
      <c r="E2483">
        <v>2</v>
      </c>
      <c r="F2483">
        <v>2</v>
      </c>
      <c r="G2483" t="b">
        <v>0</v>
      </c>
      <c r="H2483">
        <v>2</v>
      </c>
      <c r="I2483">
        <v>2</v>
      </c>
      <c r="J2483">
        <v>0.16</v>
      </c>
      <c r="K2483">
        <v>0.2273</v>
      </c>
      <c r="L2483">
        <v>0.69</v>
      </c>
      <c r="M2483">
        <v>0</v>
      </c>
      <c r="N2483">
        <v>0</v>
      </c>
      <c r="O2483">
        <v>2</v>
      </c>
      <c r="P2483">
        <v>2</v>
      </c>
    </row>
    <row r="2484" spans="1:16" x14ac:dyDescent="0.25">
      <c r="A2484">
        <v>692</v>
      </c>
      <c r="B2484" s="1">
        <v>40575</v>
      </c>
      <c r="C2484">
        <v>1</v>
      </c>
      <c r="D2484">
        <v>0</v>
      </c>
      <c r="E2484">
        <v>2</v>
      </c>
      <c r="F2484">
        <v>3</v>
      </c>
      <c r="G2484" t="b">
        <v>0</v>
      </c>
      <c r="H2484">
        <v>2</v>
      </c>
      <c r="I2484">
        <v>2</v>
      </c>
      <c r="J2484">
        <v>0.16</v>
      </c>
      <c r="K2484">
        <v>0.2273</v>
      </c>
      <c r="L2484">
        <v>0.69</v>
      </c>
      <c r="M2484">
        <v>0</v>
      </c>
      <c r="N2484">
        <v>0</v>
      </c>
      <c r="O2484">
        <v>2</v>
      </c>
      <c r="P2484">
        <v>2</v>
      </c>
    </row>
    <row r="2485" spans="1:16" x14ac:dyDescent="0.25">
      <c r="A2485">
        <v>693</v>
      </c>
      <c r="B2485" s="1">
        <v>40575</v>
      </c>
      <c r="C2485">
        <v>1</v>
      </c>
      <c r="D2485">
        <v>0</v>
      </c>
      <c r="E2485">
        <v>2</v>
      </c>
      <c r="F2485">
        <v>5</v>
      </c>
      <c r="G2485" t="b">
        <v>0</v>
      </c>
      <c r="H2485">
        <v>2</v>
      </c>
      <c r="I2485">
        <v>3</v>
      </c>
      <c r="J2485">
        <v>0.14000000000000001</v>
      </c>
      <c r="K2485">
        <v>0.21210000000000001</v>
      </c>
      <c r="L2485">
        <v>0.93</v>
      </c>
      <c r="M2485">
        <v>0</v>
      </c>
      <c r="N2485">
        <v>0</v>
      </c>
      <c r="O2485">
        <v>3</v>
      </c>
      <c r="P2485">
        <v>3</v>
      </c>
    </row>
    <row r="2486" spans="1:16" x14ac:dyDescent="0.25">
      <c r="A2486">
        <v>694</v>
      </c>
      <c r="B2486" s="1">
        <v>40575</v>
      </c>
      <c r="C2486">
        <v>1</v>
      </c>
      <c r="D2486">
        <v>0</v>
      </c>
      <c r="E2486">
        <v>2</v>
      </c>
      <c r="F2486">
        <v>6</v>
      </c>
      <c r="G2486" t="b">
        <v>0</v>
      </c>
      <c r="H2486">
        <v>2</v>
      </c>
      <c r="I2486">
        <v>3</v>
      </c>
      <c r="J2486">
        <v>0.14000000000000001</v>
      </c>
      <c r="K2486">
        <v>0.21210000000000001</v>
      </c>
      <c r="L2486">
        <v>0.93</v>
      </c>
      <c r="M2486">
        <v>0</v>
      </c>
      <c r="N2486">
        <v>0</v>
      </c>
      <c r="O2486">
        <v>22</v>
      </c>
      <c r="P2486">
        <v>22</v>
      </c>
    </row>
    <row r="2487" spans="1:16" x14ac:dyDescent="0.25">
      <c r="A2487">
        <v>695</v>
      </c>
      <c r="B2487" s="1">
        <v>40575</v>
      </c>
      <c r="C2487">
        <v>1</v>
      </c>
      <c r="D2487">
        <v>0</v>
      </c>
      <c r="E2487">
        <v>2</v>
      </c>
      <c r="F2487">
        <v>7</v>
      </c>
      <c r="G2487" t="b">
        <v>0</v>
      </c>
      <c r="H2487">
        <v>2</v>
      </c>
      <c r="I2487">
        <v>3</v>
      </c>
      <c r="J2487">
        <v>0.16</v>
      </c>
      <c r="K2487">
        <v>0.2273</v>
      </c>
      <c r="L2487">
        <v>0.93</v>
      </c>
      <c r="M2487">
        <v>0</v>
      </c>
      <c r="N2487">
        <v>0</v>
      </c>
      <c r="O2487">
        <v>52</v>
      </c>
      <c r="P2487">
        <v>52</v>
      </c>
    </row>
    <row r="2488" spans="1:16" x14ac:dyDescent="0.25">
      <c r="A2488">
        <v>696</v>
      </c>
      <c r="B2488" s="1">
        <v>40575</v>
      </c>
      <c r="C2488">
        <v>1</v>
      </c>
      <c r="D2488">
        <v>0</v>
      </c>
      <c r="E2488">
        <v>2</v>
      </c>
      <c r="F2488">
        <v>8</v>
      </c>
      <c r="G2488" t="b">
        <v>0</v>
      </c>
      <c r="H2488">
        <v>2</v>
      </c>
      <c r="I2488">
        <v>3</v>
      </c>
      <c r="J2488">
        <v>0.16</v>
      </c>
      <c r="K2488">
        <v>0.2273</v>
      </c>
      <c r="L2488">
        <v>0.93</v>
      </c>
      <c r="M2488">
        <v>0</v>
      </c>
      <c r="N2488">
        <v>3</v>
      </c>
      <c r="O2488">
        <v>132</v>
      </c>
      <c r="P2488">
        <v>135</v>
      </c>
    </row>
    <row r="2489" spans="1:16" x14ac:dyDescent="0.25">
      <c r="A2489">
        <v>697</v>
      </c>
      <c r="B2489" s="1">
        <v>40575</v>
      </c>
      <c r="C2489">
        <v>1</v>
      </c>
      <c r="D2489">
        <v>0</v>
      </c>
      <c r="E2489">
        <v>2</v>
      </c>
      <c r="F2489">
        <v>9</v>
      </c>
      <c r="G2489" t="b">
        <v>0</v>
      </c>
      <c r="H2489">
        <v>2</v>
      </c>
      <c r="I2489">
        <v>2</v>
      </c>
      <c r="J2489">
        <v>0.16</v>
      </c>
      <c r="K2489">
        <v>0.2273</v>
      </c>
      <c r="L2489">
        <v>0.93</v>
      </c>
      <c r="M2489">
        <v>0</v>
      </c>
      <c r="N2489">
        <v>2</v>
      </c>
      <c r="O2489">
        <v>114</v>
      </c>
      <c r="P2489">
        <v>116</v>
      </c>
    </row>
    <row r="2490" spans="1:16" x14ac:dyDescent="0.25">
      <c r="A2490">
        <v>698</v>
      </c>
      <c r="B2490" s="1">
        <v>40575</v>
      </c>
      <c r="C2490">
        <v>1</v>
      </c>
      <c r="D2490">
        <v>0</v>
      </c>
      <c r="E2490">
        <v>2</v>
      </c>
      <c r="F2490">
        <v>10</v>
      </c>
      <c r="G2490" t="b">
        <v>0</v>
      </c>
      <c r="H2490">
        <v>2</v>
      </c>
      <c r="I2490">
        <v>2</v>
      </c>
      <c r="J2490">
        <v>0.16</v>
      </c>
      <c r="K2490">
        <v>0.2273</v>
      </c>
      <c r="L2490">
        <v>0.93</v>
      </c>
      <c r="M2490">
        <v>0</v>
      </c>
      <c r="N2490">
        <v>0</v>
      </c>
      <c r="O2490">
        <v>47</v>
      </c>
      <c r="P2490">
        <v>47</v>
      </c>
    </row>
    <row r="2491" spans="1:16" x14ac:dyDescent="0.25">
      <c r="A2491">
        <v>699</v>
      </c>
      <c r="B2491" s="1">
        <v>40575</v>
      </c>
      <c r="C2491">
        <v>1</v>
      </c>
      <c r="D2491">
        <v>0</v>
      </c>
      <c r="E2491">
        <v>2</v>
      </c>
      <c r="F2491">
        <v>11</v>
      </c>
      <c r="G2491" t="b">
        <v>0</v>
      </c>
      <c r="H2491">
        <v>2</v>
      </c>
      <c r="I2491">
        <v>2</v>
      </c>
      <c r="J2491">
        <v>0.18</v>
      </c>
      <c r="K2491">
        <v>0.2424</v>
      </c>
      <c r="L2491">
        <v>0.86</v>
      </c>
      <c r="M2491">
        <v>0</v>
      </c>
      <c r="N2491">
        <v>2</v>
      </c>
      <c r="O2491">
        <v>49</v>
      </c>
      <c r="P2491">
        <v>51</v>
      </c>
    </row>
    <row r="2492" spans="1:16" x14ac:dyDescent="0.25">
      <c r="A2492">
        <v>700</v>
      </c>
      <c r="B2492" s="1">
        <v>40575</v>
      </c>
      <c r="C2492">
        <v>1</v>
      </c>
      <c r="D2492">
        <v>0</v>
      </c>
      <c r="E2492">
        <v>2</v>
      </c>
      <c r="F2492">
        <v>12</v>
      </c>
      <c r="G2492" t="b">
        <v>0</v>
      </c>
      <c r="H2492">
        <v>2</v>
      </c>
      <c r="I2492">
        <v>2</v>
      </c>
      <c r="J2492">
        <v>0.2</v>
      </c>
      <c r="K2492">
        <v>0.2576</v>
      </c>
      <c r="L2492">
        <v>0.86</v>
      </c>
      <c r="M2492">
        <v>0</v>
      </c>
      <c r="N2492">
        <v>2</v>
      </c>
      <c r="O2492">
        <v>53</v>
      </c>
      <c r="P2492">
        <v>55</v>
      </c>
    </row>
    <row r="2493" spans="1:16" x14ac:dyDescent="0.25">
      <c r="A2493">
        <v>701</v>
      </c>
      <c r="B2493" s="1">
        <v>40575</v>
      </c>
      <c r="C2493">
        <v>1</v>
      </c>
      <c r="D2493">
        <v>0</v>
      </c>
      <c r="E2493">
        <v>2</v>
      </c>
      <c r="F2493">
        <v>13</v>
      </c>
      <c r="G2493" t="b">
        <v>0</v>
      </c>
      <c r="H2493">
        <v>2</v>
      </c>
      <c r="I2493">
        <v>2</v>
      </c>
      <c r="J2493">
        <v>0.2</v>
      </c>
      <c r="K2493">
        <v>0.2576</v>
      </c>
      <c r="L2493">
        <v>0.86</v>
      </c>
      <c r="M2493">
        <v>0</v>
      </c>
      <c r="N2493">
        <v>3</v>
      </c>
      <c r="O2493">
        <v>49</v>
      </c>
      <c r="P2493">
        <v>52</v>
      </c>
    </row>
    <row r="2494" spans="1:16" x14ac:dyDescent="0.25">
      <c r="A2494">
        <v>702</v>
      </c>
      <c r="B2494" s="1">
        <v>40575</v>
      </c>
      <c r="C2494">
        <v>1</v>
      </c>
      <c r="D2494">
        <v>0</v>
      </c>
      <c r="E2494">
        <v>2</v>
      </c>
      <c r="F2494">
        <v>14</v>
      </c>
      <c r="G2494" t="b">
        <v>0</v>
      </c>
      <c r="H2494">
        <v>2</v>
      </c>
      <c r="I2494">
        <v>2</v>
      </c>
      <c r="J2494">
        <v>0.22</v>
      </c>
      <c r="K2494">
        <v>0.2576</v>
      </c>
      <c r="L2494">
        <v>0.8</v>
      </c>
      <c r="M2494">
        <v>8.9599999999999999E-2</v>
      </c>
      <c r="N2494">
        <v>5</v>
      </c>
      <c r="O2494">
        <v>49</v>
      </c>
      <c r="P2494">
        <v>54</v>
      </c>
    </row>
    <row r="2495" spans="1:16" x14ac:dyDescent="0.25">
      <c r="A2495">
        <v>703</v>
      </c>
      <c r="B2495" s="1">
        <v>40575</v>
      </c>
      <c r="C2495">
        <v>1</v>
      </c>
      <c r="D2495">
        <v>0</v>
      </c>
      <c r="E2495">
        <v>2</v>
      </c>
      <c r="F2495">
        <v>15</v>
      </c>
      <c r="G2495" t="b">
        <v>0</v>
      </c>
      <c r="H2495">
        <v>2</v>
      </c>
      <c r="I2495">
        <v>2</v>
      </c>
      <c r="J2495">
        <v>0.24</v>
      </c>
      <c r="K2495">
        <v>0.28789999999999999</v>
      </c>
      <c r="L2495">
        <v>0.75</v>
      </c>
      <c r="M2495">
        <v>0</v>
      </c>
      <c r="N2495">
        <v>7</v>
      </c>
      <c r="O2495">
        <v>45</v>
      </c>
      <c r="P2495">
        <v>52</v>
      </c>
    </row>
    <row r="2496" spans="1:16" x14ac:dyDescent="0.25">
      <c r="A2496">
        <v>704</v>
      </c>
      <c r="B2496" s="1">
        <v>40575</v>
      </c>
      <c r="C2496">
        <v>1</v>
      </c>
      <c r="D2496">
        <v>0</v>
      </c>
      <c r="E2496">
        <v>2</v>
      </c>
      <c r="F2496">
        <v>16</v>
      </c>
      <c r="G2496" t="b">
        <v>0</v>
      </c>
      <c r="H2496">
        <v>2</v>
      </c>
      <c r="I2496">
        <v>2</v>
      </c>
      <c r="J2496">
        <v>0.24</v>
      </c>
      <c r="K2496">
        <v>0.2424</v>
      </c>
      <c r="L2496">
        <v>0.75</v>
      </c>
      <c r="M2496">
        <v>0.1343</v>
      </c>
      <c r="N2496">
        <v>3</v>
      </c>
      <c r="O2496">
        <v>61</v>
      </c>
      <c r="P2496">
        <v>64</v>
      </c>
    </row>
    <row r="2497" spans="1:16" x14ac:dyDescent="0.25">
      <c r="A2497">
        <v>705</v>
      </c>
      <c r="B2497" s="1">
        <v>40575</v>
      </c>
      <c r="C2497">
        <v>1</v>
      </c>
      <c r="D2497">
        <v>0</v>
      </c>
      <c r="E2497">
        <v>2</v>
      </c>
      <c r="F2497">
        <v>17</v>
      </c>
      <c r="G2497" t="b">
        <v>0</v>
      </c>
      <c r="H2497">
        <v>2</v>
      </c>
      <c r="I2497">
        <v>2</v>
      </c>
      <c r="J2497">
        <v>0.24</v>
      </c>
      <c r="K2497">
        <v>0.28789999999999999</v>
      </c>
      <c r="L2497">
        <v>0.75</v>
      </c>
      <c r="M2497">
        <v>0</v>
      </c>
      <c r="N2497">
        <v>4</v>
      </c>
      <c r="O2497">
        <v>172</v>
      </c>
      <c r="P2497">
        <v>176</v>
      </c>
    </row>
    <row r="2498" spans="1:16" x14ac:dyDescent="0.25">
      <c r="A2498">
        <v>706</v>
      </c>
      <c r="B2498" s="1">
        <v>40575</v>
      </c>
      <c r="C2498">
        <v>1</v>
      </c>
      <c r="D2498">
        <v>0</v>
      </c>
      <c r="E2498">
        <v>2</v>
      </c>
      <c r="F2498">
        <v>18</v>
      </c>
      <c r="G2498" t="b">
        <v>0</v>
      </c>
      <c r="H2498">
        <v>2</v>
      </c>
      <c r="I2498">
        <v>2</v>
      </c>
      <c r="J2498">
        <v>0.24</v>
      </c>
      <c r="K2498">
        <v>0.2576</v>
      </c>
      <c r="L2498">
        <v>0.81</v>
      </c>
      <c r="M2498">
        <v>0.1045</v>
      </c>
      <c r="N2498">
        <v>3</v>
      </c>
      <c r="O2498">
        <v>165</v>
      </c>
      <c r="P2498">
        <v>168</v>
      </c>
    </row>
    <row r="2499" spans="1:16" x14ac:dyDescent="0.25">
      <c r="A2499">
        <v>707</v>
      </c>
      <c r="B2499" s="1">
        <v>40575</v>
      </c>
      <c r="C2499">
        <v>1</v>
      </c>
      <c r="D2499">
        <v>0</v>
      </c>
      <c r="E2499">
        <v>2</v>
      </c>
      <c r="F2499">
        <v>19</v>
      </c>
      <c r="G2499" t="b">
        <v>0</v>
      </c>
      <c r="H2499">
        <v>2</v>
      </c>
      <c r="I2499">
        <v>2</v>
      </c>
      <c r="J2499">
        <v>0.24</v>
      </c>
      <c r="K2499">
        <v>0.2424</v>
      </c>
      <c r="L2499">
        <v>0.81</v>
      </c>
      <c r="M2499">
        <v>0.1343</v>
      </c>
      <c r="N2499">
        <v>3</v>
      </c>
      <c r="O2499">
        <v>105</v>
      </c>
      <c r="P2499">
        <v>108</v>
      </c>
    </row>
    <row r="2500" spans="1:16" x14ac:dyDescent="0.25">
      <c r="A2500">
        <v>708</v>
      </c>
      <c r="B2500" s="1">
        <v>40575</v>
      </c>
      <c r="C2500">
        <v>1</v>
      </c>
      <c r="D2500">
        <v>0</v>
      </c>
      <c r="E2500">
        <v>2</v>
      </c>
      <c r="F2500">
        <v>20</v>
      </c>
      <c r="G2500" t="b">
        <v>0</v>
      </c>
      <c r="H2500">
        <v>2</v>
      </c>
      <c r="I2500">
        <v>2</v>
      </c>
      <c r="J2500">
        <v>0.22</v>
      </c>
      <c r="K2500">
        <v>0.2273</v>
      </c>
      <c r="L2500">
        <v>0.87</v>
      </c>
      <c r="M2500">
        <v>0.1343</v>
      </c>
      <c r="N2500">
        <v>5</v>
      </c>
      <c r="O2500">
        <v>69</v>
      </c>
      <c r="P2500">
        <v>74</v>
      </c>
    </row>
    <row r="2501" spans="1:16" x14ac:dyDescent="0.25">
      <c r="A2501">
        <v>709</v>
      </c>
      <c r="B2501" s="1">
        <v>40575</v>
      </c>
      <c r="C2501">
        <v>1</v>
      </c>
      <c r="D2501">
        <v>0</v>
      </c>
      <c r="E2501">
        <v>2</v>
      </c>
      <c r="F2501">
        <v>21</v>
      </c>
      <c r="G2501" t="b">
        <v>0</v>
      </c>
      <c r="H2501">
        <v>2</v>
      </c>
      <c r="I2501">
        <v>2</v>
      </c>
      <c r="J2501">
        <v>0.22</v>
      </c>
      <c r="K2501">
        <v>0.2273</v>
      </c>
      <c r="L2501">
        <v>0.87</v>
      </c>
      <c r="M2501">
        <v>0.1343</v>
      </c>
      <c r="N2501">
        <v>0</v>
      </c>
      <c r="O2501">
        <v>64</v>
      </c>
      <c r="P2501">
        <v>64</v>
      </c>
    </row>
    <row r="2502" spans="1:16" x14ac:dyDescent="0.25">
      <c r="A2502">
        <v>710</v>
      </c>
      <c r="B2502" s="1">
        <v>40575</v>
      </c>
      <c r="C2502">
        <v>1</v>
      </c>
      <c r="D2502">
        <v>0</v>
      </c>
      <c r="E2502">
        <v>2</v>
      </c>
      <c r="F2502">
        <v>22</v>
      </c>
      <c r="G2502" t="b">
        <v>0</v>
      </c>
      <c r="H2502">
        <v>2</v>
      </c>
      <c r="I2502">
        <v>2</v>
      </c>
      <c r="J2502">
        <v>0.22</v>
      </c>
      <c r="K2502">
        <v>0.2576</v>
      </c>
      <c r="L2502">
        <v>0.87</v>
      </c>
      <c r="M2502">
        <v>8.9599999999999999E-2</v>
      </c>
      <c r="N2502">
        <v>2</v>
      </c>
      <c r="O2502">
        <v>34</v>
      </c>
      <c r="P2502">
        <v>36</v>
      </c>
    </row>
    <row r="2503" spans="1:16" x14ac:dyDescent="0.25">
      <c r="A2503">
        <v>711</v>
      </c>
      <c r="B2503" s="1">
        <v>40575</v>
      </c>
      <c r="C2503">
        <v>1</v>
      </c>
      <c r="D2503">
        <v>0</v>
      </c>
      <c r="E2503">
        <v>2</v>
      </c>
      <c r="F2503">
        <v>23</v>
      </c>
      <c r="G2503" t="b">
        <v>0</v>
      </c>
      <c r="H2503">
        <v>2</v>
      </c>
      <c r="I2503">
        <v>3</v>
      </c>
      <c r="J2503">
        <v>0.2</v>
      </c>
      <c r="K2503">
        <v>0.19700000000000001</v>
      </c>
      <c r="L2503">
        <v>0.93</v>
      </c>
      <c r="M2503">
        <v>0.19400000000000001</v>
      </c>
      <c r="N2503">
        <v>1</v>
      </c>
      <c r="O2503">
        <v>15</v>
      </c>
      <c r="P2503">
        <v>16</v>
      </c>
    </row>
    <row r="2504" spans="1:16" x14ac:dyDescent="0.25">
      <c r="A2504">
        <v>712</v>
      </c>
      <c r="B2504" s="1">
        <v>40576</v>
      </c>
      <c r="C2504">
        <v>1</v>
      </c>
      <c r="D2504">
        <v>0</v>
      </c>
      <c r="E2504">
        <v>2</v>
      </c>
      <c r="F2504">
        <v>0</v>
      </c>
      <c r="G2504" t="b">
        <v>0</v>
      </c>
      <c r="H2504">
        <v>3</v>
      </c>
      <c r="I2504">
        <v>3</v>
      </c>
      <c r="J2504">
        <v>0.22</v>
      </c>
      <c r="K2504">
        <v>0.2424</v>
      </c>
      <c r="L2504">
        <v>0.93</v>
      </c>
      <c r="M2504">
        <v>0.1045</v>
      </c>
      <c r="N2504">
        <v>0</v>
      </c>
      <c r="O2504">
        <v>2</v>
      </c>
      <c r="P2504">
        <v>2</v>
      </c>
    </row>
    <row r="2505" spans="1:16" x14ac:dyDescent="0.25">
      <c r="A2505">
        <v>713</v>
      </c>
      <c r="B2505" s="1">
        <v>40576</v>
      </c>
      <c r="C2505">
        <v>1</v>
      </c>
      <c r="D2505">
        <v>0</v>
      </c>
      <c r="E2505">
        <v>2</v>
      </c>
      <c r="F2505">
        <v>1</v>
      </c>
      <c r="G2505" t="b">
        <v>0</v>
      </c>
      <c r="H2505">
        <v>3</v>
      </c>
      <c r="I2505">
        <v>3</v>
      </c>
      <c r="J2505">
        <v>0.22</v>
      </c>
      <c r="K2505">
        <v>0.2273</v>
      </c>
      <c r="L2505">
        <v>0.93</v>
      </c>
      <c r="M2505">
        <v>0.19400000000000001</v>
      </c>
      <c r="N2505">
        <v>0</v>
      </c>
      <c r="O2505">
        <v>3</v>
      </c>
      <c r="P2505">
        <v>3</v>
      </c>
    </row>
    <row r="2506" spans="1:16" x14ac:dyDescent="0.25">
      <c r="A2506">
        <v>714</v>
      </c>
      <c r="B2506" s="1">
        <v>40576</v>
      </c>
      <c r="C2506">
        <v>1</v>
      </c>
      <c r="D2506">
        <v>0</v>
      </c>
      <c r="E2506">
        <v>2</v>
      </c>
      <c r="F2506">
        <v>2</v>
      </c>
      <c r="G2506" t="b">
        <v>0</v>
      </c>
      <c r="H2506">
        <v>3</v>
      </c>
      <c r="I2506">
        <v>3</v>
      </c>
      <c r="J2506">
        <v>0.22</v>
      </c>
      <c r="K2506">
        <v>0.2273</v>
      </c>
      <c r="L2506">
        <v>0.93</v>
      </c>
      <c r="M2506">
        <v>0.1343</v>
      </c>
      <c r="N2506">
        <v>4</v>
      </c>
      <c r="O2506">
        <v>0</v>
      </c>
      <c r="P2506">
        <v>4</v>
      </c>
    </row>
    <row r="2507" spans="1:16" x14ac:dyDescent="0.25">
      <c r="A2507">
        <v>715</v>
      </c>
      <c r="B2507" s="1">
        <v>40576</v>
      </c>
      <c r="C2507">
        <v>1</v>
      </c>
      <c r="D2507">
        <v>0</v>
      </c>
      <c r="E2507">
        <v>2</v>
      </c>
      <c r="F2507">
        <v>3</v>
      </c>
      <c r="G2507" t="b">
        <v>0</v>
      </c>
      <c r="H2507">
        <v>3</v>
      </c>
      <c r="I2507">
        <v>3</v>
      </c>
      <c r="J2507">
        <v>0.22</v>
      </c>
      <c r="K2507">
        <v>0.2273</v>
      </c>
      <c r="L2507">
        <v>0.93</v>
      </c>
      <c r="M2507">
        <v>0.1343</v>
      </c>
      <c r="N2507">
        <v>0</v>
      </c>
      <c r="O2507">
        <v>1</v>
      </c>
      <c r="P2507">
        <v>1</v>
      </c>
    </row>
    <row r="2508" spans="1:16" x14ac:dyDescent="0.25">
      <c r="A2508">
        <v>716</v>
      </c>
      <c r="B2508" s="1">
        <v>40576</v>
      </c>
      <c r="C2508">
        <v>1</v>
      </c>
      <c r="D2508">
        <v>0</v>
      </c>
      <c r="E2508">
        <v>2</v>
      </c>
      <c r="F2508">
        <v>4</v>
      </c>
      <c r="G2508" t="b">
        <v>0</v>
      </c>
      <c r="H2508">
        <v>3</v>
      </c>
      <c r="I2508">
        <v>3</v>
      </c>
      <c r="J2508">
        <v>0.22</v>
      </c>
      <c r="K2508">
        <v>0.21210000000000001</v>
      </c>
      <c r="L2508">
        <v>0.93</v>
      </c>
      <c r="M2508">
        <v>0.28360000000000002</v>
      </c>
      <c r="N2508">
        <v>0</v>
      </c>
      <c r="O2508">
        <v>1</v>
      </c>
      <c r="P2508">
        <v>1</v>
      </c>
    </row>
    <row r="2509" spans="1:16" x14ac:dyDescent="0.25">
      <c r="A2509">
        <v>717</v>
      </c>
      <c r="B2509" s="1">
        <v>40576</v>
      </c>
      <c r="C2509">
        <v>1</v>
      </c>
      <c r="D2509">
        <v>0</v>
      </c>
      <c r="E2509">
        <v>2</v>
      </c>
      <c r="F2509">
        <v>5</v>
      </c>
      <c r="G2509" t="b">
        <v>0</v>
      </c>
      <c r="H2509">
        <v>3</v>
      </c>
      <c r="I2509">
        <v>3</v>
      </c>
      <c r="J2509">
        <v>0.22</v>
      </c>
      <c r="K2509">
        <v>0.2424</v>
      </c>
      <c r="L2509">
        <v>0.93</v>
      </c>
      <c r="M2509">
        <v>0.1045</v>
      </c>
      <c r="N2509">
        <v>0</v>
      </c>
      <c r="O2509">
        <v>3</v>
      </c>
      <c r="P2509">
        <v>3</v>
      </c>
    </row>
    <row r="2510" spans="1:16" x14ac:dyDescent="0.25">
      <c r="A2510">
        <v>718</v>
      </c>
      <c r="B2510" s="1">
        <v>40576</v>
      </c>
      <c r="C2510">
        <v>1</v>
      </c>
      <c r="D2510">
        <v>0</v>
      </c>
      <c r="E2510">
        <v>2</v>
      </c>
      <c r="F2510">
        <v>6</v>
      </c>
      <c r="G2510" t="b">
        <v>0</v>
      </c>
      <c r="H2510">
        <v>3</v>
      </c>
      <c r="I2510">
        <v>3</v>
      </c>
      <c r="J2510">
        <v>0.22</v>
      </c>
      <c r="K2510">
        <v>0.2424</v>
      </c>
      <c r="L2510">
        <v>0.93</v>
      </c>
      <c r="M2510">
        <v>0.1045</v>
      </c>
      <c r="N2510">
        <v>1</v>
      </c>
      <c r="O2510">
        <v>17</v>
      </c>
      <c r="P2510">
        <v>18</v>
      </c>
    </row>
    <row r="2511" spans="1:16" x14ac:dyDescent="0.25">
      <c r="A2511">
        <v>719</v>
      </c>
      <c r="B2511" s="1">
        <v>40576</v>
      </c>
      <c r="C2511">
        <v>1</v>
      </c>
      <c r="D2511">
        <v>0</v>
      </c>
      <c r="E2511">
        <v>2</v>
      </c>
      <c r="F2511">
        <v>7</v>
      </c>
      <c r="G2511" t="b">
        <v>0</v>
      </c>
      <c r="H2511">
        <v>3</v>
      </c>
      <c r="I2511">
        <v>3</v>
      </c>
      <c r="J2511">
        <v>0.22</v>
      </c>
      <c r="K2511">
        <v>0.21210000000000001</v>
      </c>
      <c r="L2511">
        <v>0.93</v>
      </c>
      <c r="M2511">
        <v>0.22389999999999999</v>
      </c>
      <c r="N2511">
        <v>1</v>
      </c>
      <c r="O2511">
        <v>48</v>
      </c>
      <c r="P2511">
        <v>49</v>
      </c>
    </row>
    <row r="2512" spans="1:16" x14ac:dyDescent="0.25">
      <c r="A2512">
        <v>720</v>
      </c>
      <c r="B2512" s="1">
        <v>40576</v>
      </c>
      <c r="C2512">
        <v>1</v>
      </c>
      <c r="D2512">
        <v>0</v>
      </c>
      <c r="E2512">
        <v>2</v>
      </c>
      <c r="F2512">
        <v>8</v>
      </c>
      <c r="G2512" t="b">
        <v>0</v>
      </c>
      <c r="H2512">
        <v>3</v>
      </c>
      <c r="I2512">
        <v>3</v>
      </c>
      <c r="J2512">
        <v>0.22</v>
      </c>
      <c r="K2512">
        <v>0.21210000000000001</v>
      </c>
      <c r="L2512">
        <v>0.93</v>
      </c>
      <c r="M2512">
        <v>0.22389999999999999</v>
      </c>
      <c r="N2512">
        <v>1</v>
      </c>
      <c r="O2512">
        <v>154</v>
      </c>
      <c r="P2512">
        <v>155</v>
      </c>
    </row>
    <row r="2513" spans="1:16" x14ac:dyDescent="0.25">
      <c r="A2513">
        <v>721</v>
      </c>
      <c r="B2513" s="1">
        <v>40576</v>
      </c>
      <c r="C2513">
        <v>1</v>
      </c>
      <c r="D2513">
        <v>0</v>
      </c>
      <c r="E2513">
        <v>2</v>
      </c>
      <c r="F2513">
        <v>9</v>
      </c>
      <c r="G2513" t="b">
        <v>0</v>
      </c>
      <c r="H2513">
        <v>3</v>
      </c>
      <c r="I2513">
        <v>2</v>
      </c>
      <c r="J2513">
        <v>0.24</v>
      </c>
      <c r="K2513">
        <v>0.2576</v>
      </c>
      <c r="L2513">
        <v>0.93</v>
      </c>
      <c r="M2513">
        <v>8.9599999999999999E-2</v>
      </c>
      <c r="N2513">
        <v>4</v>
      </c>
      <c r="O2513">
        <v>119</v>
      </c>
      <c r="P2513">
        <v>123</v>
      </c>
    </row>
    <row r="2514" spans="1:16" x14ac:dyDescent="0.25">
      <c r="A2514">
        <v>722</v>
      </c>
      <c r="B2514" s="1">
        <v>40576</v>
      </c>
      <c r="C2514">
        <v>1</v>
      </c>
      <c r="D2514">
        <v>0</v>
      </c>
      <c r="E2514">
        <v>2</v>
      </c>
      <c r="F2514">
        <v>10</v>
      </c>
      <c r="G2514" t="b">
        <v>0</v>
      </c>
      <c r="H2514">
        <v>3</v>
      </c>
      <c r="I2514">
        <v>2</v>
      </c>
      <c r="J2514">
        <v>0.22</v>
      </c>
      <c r="K2514">
        <v>0.2727</v>
      </c>
      <c r="L2514">
        <v>1</v>
      </c>
      <c r="M2514">
        <v>0</v>
      </c>
      <c r="N2514">
        <v>2</v>
      </c>
      <c r="O2514">
        <v>59</v>
      </c>
      <c r="P2514">
        <v>61</v>
      </c>
    </row>
    <row r="2515" spans="1:16" x14ac:dyDescent="0.25">
      <c r="A2515">
        <v>723</v>
      </c>
      <c r="B2515" s="1">
        <v>40576</v>
      </c>
      <c r="C2515">
        <v>1</v>
      </c>
      <c r="D2515">
        <v>0</v>
      </c>
      <c r="E2515">
        <v>2</v>
      </c>
      <c r="F2515">
        <v>11</v>
      </c>
      <c r="G2515" t="b">
        <v>0</v>
      </c>
      <c r="H2515">
        <v>3</v>
      </c>
      <c r="I2515">
        <v>2</v>
      </c>
      <c r="J2515">
        <v>0.24</v>
      </c>
      <c r="K2515">
        <v>0.2273</v>
      </c>
      <c r="L2515">
        <v>0.93</v>
      </c>
      <c r="M2515">
        <v>0.19400000000000001</v>
      </c>
      <c r="N2515">
        <v>5</v>
      </c>
      <c r="O2515">
        <v>47</v>
      </c>
      <c r="P2515">
        <v>52</v>
      </c>
    </row>
    <row r="2516" spans="1:16" x14ac:dyDescent="0.25">
      <c r="A2516">
        <v>724</v>
      </c>
      <c r="B2516" s="1">
        <v>40576</v>
      </c>
      <c r="C2516">
        <v>1</v>
      </c>
      <c r="D2516">
        <v>0</v>
      </c>
      <c r="E2516">
        <v>2</v>
      </c>
      <c r="F2516">
        <v>12</v>
      </c>
      <c r="G2516" t="b">
        <v>0</v>
      </c>
      <c r="H2516">
        <v>3</v>
      </c>
      <c r="I2516">
        <v>2</v>
      </c>
      <c r="J2516">
        <v>0.24</v>
      </c>
      <c r="K2516">
        <v>0.2273</v>
      </c>
      <c r="L2516">
        <v>0.93</v>
      </c>
      <c r="M2516">
        <v>0.22389999999999999</v>
      </c>
      <c r="N2516">
        <v>3</v>
      </c>
      <c r="O2516">
        <v>61</v>
      </c>
      <c r="P2516">
        <v>64</v>
      </c>
    </row>
    <row r="2517" spans="1:16" x14ac:dyDescent="0.25">
      <c r="A2517">
        <v>725</v>
      </c>
      <c r="B2517" s="1">
        <v>40576</v>
      </c>
      <c r="C2517">
        <v>1</v>
      </c>
      <c r="D2517">
        <v>0</v>
      </c>
      <c r="E2517">
        <v>2</v>
      </c>
      <c r="F2517">
        <v>13</v>
      </c>
      <c r="G2517" t="b">
        <v>0</v>
      </c>
      <c r="H2517">
        <v>3</v>
      </c>
      <c r="I2517">
        <v>1</v>
      </c>
      <c r="J2517">
        <v>0.34</v>
      </c>
      <c r="K2517">
        <v>0.33329999999999999</v>
      </c>
      <c r="L2517">
        <v>0.93</v>
      </c>
      <c r="M2517">
        <v>0.16420000000000001</v>
      </c>
      <c r="N2517">
        <v>1</v>
      </c>
      <c r="O2517">
        <v>74</v>
      </c>
      <c r="P2517">
        <v>75</v>
      </c>
    </row>
    <row r="2518" spans="1:16" x14ac:dyDescent="0.25">
      <c r="A2518">
        <v>726</v>
      </c>
      <c r="B2518" s="1">
        <v>40576</v>
      </c>
      <c r="C2518">
        <v>1</v>
      </c>
      <c r="D2518">
        <v>0</v>
      </c>
      <c r="E2518">
        <v>2</v>
      </c>
      <c r="F2518">
        <v>14</v>
      </c>
      <c r="G2518" t="b">
        <v>0</v>
      </c>
      <c r="H2518">
        <v>3</v>
      </c>
      <c r="I2518">
        <v>1</v>
      </c>
      <c r="J2518">
        <v>0.38</v>
      </c>
      <c r="K2518">
        <v>0.39389999999999997</v>
      </c>
      <c r="L2518">
        <v>0.82</v>
      </c>
      <c r="M2518">
        <v>0.3881</v>
      </c>
      <c r="N2518">
        <v>2</v>
      </c>
      <c r="O2518">
        <v>61</v>
      </c>
      <c r="P2518">
        <v>63</v>
      </c>
    </row>
    <row r="2519" spans="1:16" x14ac:dyDescent="0.25">
      <c r="A2519">
        <v>727</v>
      </c>
      <c r="B2519" s="1">
        <v>40576</v>
      </c>
      <c r="C2519">
        <v>1</v>
      </c>
      <c r="D2519">
        <v>0</v>
      </c>
      <c r="E2519">
        <v>2</v>
      </c>
      <c r="F2519">
        <v>15</v>
      </c>
      <c r="G2519" t="b">
        <v>0</v>
      </c>
      <c r="H2519">
        <v>3</v>
      </c>
      <c r="I2519">
        <v>1</v>
      </c>
      <c r="J2519">
        <v>0.38</v>
      </c>
      <c r="K2519">
        <v>0.39389999999999997</v>
      </c>
      <c r="L2519">
        <v>0.76</v>
      </c>
      <c r="M2519">
        <v>0.32840000000000003</v>
      </c>
      <c r="N2519">
        <v>10</v>
      </c>
      <c r="O2519">
        <v>66</v>
      </c>
      <c r="P2519">
        <v>76</v>
      </c>
    </row>
    <row r="2520" spans="1:16" x14ac:dyDescent="0.25">
      <c r="A2520">
        <v>728</v>
      </c>
      <c r="B2520" s="1">
        <v>40576</v>
      </c>
      <c r="C2520">
        <v>1</v>
      </c>
      <c r="D2520">
        <v>0</v>
      </c>
      <c r="E2520">
        <v>2</v>
      </c>
      <c r="F2520">
        <v>16</v>
      </c>
      <c r="G2520" t="b">
        <v>0</v>
      </c>
      <c r="H2520">
        <v>3</v>
      </c>
      <c r="I2520">
        <v>1</v>
      </c>
      <c r="J2520">
        <v>0.36</v>
      </c>
      <c r="K2520">
        <v>0.33329999999999999</v>
      </c>
      <c r="L2520">
        <v>0.71</v>
      </c>
      <c r="M2520">
        <v>0.29849999999999999</v>
      </c>
      <c r="N2520">
        <v>8</v>
      </c>
      <c r="O2520">
        <v>95</v>
      </c>
      <c r="P2520">
        <v>103</v>
      </c>
    </row>
    <row r="2521" spans="1:16" x14ac:dyDescent="0.25">
      <c r="A2521">
        <v>729</v>
      </c>
      <c r="B2521" s="1">
        <v>40576</v>
      </c>
      <c r="C2521">
        <v>1</v>
      </c>
      <c r="D2521">
        <v>0</v>
      </c>
      <c r="E2521">
        <v>2</v>
      </c>
      <c r="F2521">
        <v>17</v>
      </c>
      <c r="G2521" t="b">
        <v>0</v>
      </c>
      <c r="H2521">
        <v>3</v>
      </c>
      <c r="I2521">
        <v>1</v>
      </c>
      <c r="J2521">
        <v>0.36</v>
      </c>
      <c r="K2521">
        <v>0.31819999999999998</v>
      </c>
      <c r="L2521">
        <v>0.53</v>
      </c>
      <c r="M2521">
        <v>0.52239999999999998</v>
      </c>
      <c r="N2521">
        <v>7</v>
      </c>
      <c r="O2521">
        <v>183</v>
      </c>
      <c r="P2521">
        <v>190</v>
      </c>
    </row>
    <row r="2522" spans="1:16" x14ac:dyDescent="0.25">
      <c r="A2522">
        <v>730</v>
      </c>
      <c r="B2522" s="1">
        <v>40576</v>
      </c>
      <c r="C2522">
        <v>1</v>
      </c>
      <c r="D2522">
        <v>0</v>
      </c>
      <c r="E2522">
        <v>2</v>
      </c>
      <c r="F2522">
        <v>18</v>
      </c>
      <c r="G2522" t="b">
        <v>0</v>
      </c>
      <c r="H2522">
        <v>3</v>
      </c>
      <c r="I2522">
        <v>1</v>
      </c>
      <c r="J2522">
        <v>0.34</v>
      </c>
      <c r="K2522">
        <v>0.28789999999999999</v>
      </c>
      <c r="L2522">
        <v>0.42</v>
      </c>
      <c r="M2522">
        <v>0.55220000000000002</v>
      </c>
      <c r="N2522">
        <v>7</v>
      </c>
      <c r="O2522">
        <v>175</v>
      </c>
      <c r="P2522">
        <v>182</v>
      </c>
    </row>
    <row r="2523" spans="1:16" x14ac:dyDescent="0.25">
      <c r="A2523">
        <v>731</v>
      </c>
      <c r="B2523" s="1">
        <v>40576</v>
      </c>
      <c r="C2523">
        <v>1</v>
      </c>
      <c r="D2523">
        <v>0</v>
      </c>
      <c r="E2523">
        <v>2</v>
      </c>
      <c r="F2523">
        <v>19</v>
      </c>
      <c r="G2523" t="b">
        <v>0</v>
      </c>
      <c r="H2523">
        <v>3</v>
      </c>
      <c r="I2523">
        <v>1</v>
      </c>
      <c r="J2523">
        <v>0.28000000000000003</v>
      </c>
      <c r="K2523">
        <v>0.2424</v>
      </c>
      <c r="L2523">
        <v>0.45</v>
      </c>
      <c r="M2523">
        <v>0.49249999999999999</v>
      </c>
      <c r="N2523">
        <v>3</v>
      </c>
      <c r="O2523">
        <v>88</v>
      </c>
      <c r="P2523">
        <v>91</v>
      </c>
    </row>
    <row r="2524" spans="1:16" x14ac:dyDescent="0.25">
      <c r="A2524">
        <v>732</v>
      </c>
      <c r="B2524" s="1">
        <v>40576</v>
      </c>
      <c r="C2524">
        <v>1</v>
      </c>
      <c r="D2524">
        <v>0</v>
      </c>
      <c r="E2524">
        <v>2</v>
      </c>
      <c r="F2524">
        <v>20</v>
      </c>
      <c r="G2524" t="b">
        <v>0</v>
      </c>
      <c r="H2524">
        <v>3</v>
      </c>
      <c r="I2524">
        <v>1</v>
      </c>
      <c r="J2524">
        <v>0.24</v>
      </c>
      <c r="K2524">
        <v>0.19700000000000001</v>
      </c>
      <c r="L2524">
        <v>0.48</v>
      </c>
      <c r="M2524">
        <v>0.55220000000000002</v>
      </c>
      <c r="N2524">
        <v>4</v>
      </c>
      <c r="O2524">
        <v>71</v>
      </c>
      <c r="P2524">
        <v>75</v>
      </c>
    </row>
    <row r="2525" spans="1:16" x14ac:dyDescent="0.25">
      <c r="A2525">
        <v>733</v>
      </c>
      <c r="B2525" s="1">
        <v>40576</v>
      </c>
      <c r="C2525">
        <v>1</v>
      </c>
      <c r="D2525">
        <v>0</v>
      </c>
      <c r="E2525">
        <v>2</v>
      </c>
      <c r="F2525">
        <v>21</v>
      </c>
      <c r="G2525" t="b">
        <v>0</v>
      </c>
      <c r="H2525">
        <v>3</v>
      </c>
      <c r="I2525">
        <v>1</v>
      </c>
      <c r="J2525">
        <v>0.22</v>
      </c>
      <c r="K2525">
        <v>0.19700000000000001</v>
      </c>
      <c r="L2525">
        <v>0.47</v>
      </c>
      <c r="M2525">
        <v>0.32840000000000003</v>
      </c>
      <c r="N2525">
        <v>1</v>
      </c>
      <c r="O2525">
        <v>62</v>
      </c>
      <c r="P2525">
        <v>63</v>
      </c>
    </row>
    <row r="2526" spans="1:16" x14ac:dyDescent="0.25">
      <c r="A2526">
        <v>734</v>
      </c>
      <c r="B2526" s="1">
        <v>40576</v>
      </c>
      <c r="C2526">
        <v>1</v>
      </c>
      <c r="D2526">
        <v>0</v>
      </c>
      <c r="E2526">
        <v>2</v>
      </c>
      <c r="F2526">
        <v>22</v>
      </c>
      <c r="G2526" t="b">
        <v>0</v>
      </c>
      <c r="H2526">
        <v>3</v>
      </c>
      <c r="I2526">
        <v>1</v>
      </c>
      <c r="J2526">
        <v>0.22</v>
      </c>
      <c r="K2526">
        <v>0.21210000000000001</v>
      </c>
      <c r="L2526">
        <v>0.44</v>
      </c>
      <c r="M2526">
        <v>0.25369999999999998</v>
      </c>
      <c r="N2526">
        <v>5</v>
      </c>
      <c r="O2526">
        <v>35</v>
      </c>
      <c r="P2526">
        <v>40</v>
      </c>
    </row>
    <row r="2527" spans="1:16" x14ac:dyDescent="0.25">
      <c r="A2527">
        <v>735</v>
      </c>
      <c r="B2527" s="1">
        <v>40576</v>
      </c>
      <c r="C2527">
        <v>1</v>
      </c>
      <c r="D2527">
        <v>0</v>
      </c>
      <c r="E2527">
        <v>2</v>
      </c>
      <c r="F2527">
        <v>23</v>
      </c>
      <c r="G2527" t="b">
        <v>0</v>
      </c>
      <c r="H2527">
        <v>3</v>
      </c>
      <c r="I2527">
        <v>1</v>
      </c>
      <c r="J2527">
        <v>0.2</v>
      </c>
      <c r="K2527">
        <v>0.16669999999999999</v>
      </c>
      <c r="L2527">
        <v>0.44</v>
      </c>
      <c r="M2527">
        <v>0.44779999999999998</v>
      </c>
      <c r="N2527">
        <v>3</v>
      </c>
      <c r="O2527">
        <v>29</v>
      </c>
      <c r="P2527">
        <v>32</v>
      </c>
    </row>
    <row r="2528" spans="1:16" x14ac:dyDescent="0.25">
      <c r="A2528">
        <v>736</v>
      </c>
      <c r="B2528" s="1">
        <v>40577</v>
      </c>
      <c r="C2528">
        <v>1</v>
      </c>
      <c r="D2528">
        <v>0</v>
      </c>
      <c r="E2528">
        <v>2</v>
      </c>
      <c r="F2528">
        <v>0</v>
      </c>
      <c r="G2528" t="b">
        <v>0</v>
      </c>
      <c r="H2528">
        <v>4</v>
      </c>
      <c r="I2528">
        <v>1</v>
      </c>
      <c r="J2528">
        <v>0.2</v>
      </c>
      <c r="K2528">
        <v>0.16669999999999999</v>
      </c>
      <c r="L2528">
        <v>0.4</v>
      </c>
      <c r="M2528">
        <v>0.44779999999999998</v>
      </c>
      <c r="N2528">
        <v>1</v>
      </c>
      <c r="O2528">
        <v>11</v>
      </c>
      <c r="P2528">
        <v>12</v>
      </c>
    </row>
    <row r="2529" spans="1:16" x14ac:dyDescent="0.25">
      <c r="A2529">
        <v>737</v>
      </c>
      <c r="B2529" s="1">
        <v>40577</v>
      </c>
      <c r="C2529">
        <v>1</v>
      </c>
      <c r="D2529">
        <v>0</v>
      </c>
      <c r="E2529">
        <v>2</v>
      </c>
      <c r="F2529">
        <v>1</v>
      </c>
      <c r="G2529" t="b">
        <v>0</v>
      </c>
      <c r="H2529">
        <v>4</v>
      </c>
      <c r="I2529">
        <v>1</v>
      </c>
      <c r="J2529">
        <v>0.2</v>
      </c>
      <c r="K2529">
        <v>0.1515</v>
      </c>
      <c r="L2529">
        <v>0.44</v>
      </c>
      <c r="M2529">
        <v>0.52239999999999998</v>
      </c>
      <c r="N2529">
        <v>0</v>
      </c>
      <c r="O2529">
        <v>5</v>
      </c>
      <c r="P2529">
        <v>5</v>
      </c>
    </row>
    <row r="2530" spans="1:16" x14ac:dyDescent="0.25">
      <c r="A2530">
        <v>738</v>
      </c>
      <c r="B2530" s="1">
        <v>40577</v>
      </c>
      <c r="C2530">
        <v>1</v>
      </c>
      <c r="D2530">
        <v>0</v>
      </c>
      <c r="E2530">
        <v>2</v>
      </c>
      <c r="F2530">
        <v>2</v>
      </c>
      <c r="G2530" t="b">
        <v>0</v>
      </c>
      <c r="H2530">
        <v>4</v>
      </c>
      <c r="I2530">
        <v>1</v>
      </c>
      <c r="J2530">
        <v>0.18</v>
      </c>
      <c r="K2530">
        <v>0.16669999999999999</v>
      </c>
      <c r="L2530">
        <v>0.43</v>
      </c>
      <c r="M2530">
        <v>0.25369999999999998</v>
      </c>
      <c r="N2530">
        <v>0</v>
      </c>
      <c r="O2530">
        <v>2</v>
      </c>
      <c r="P2530">
        <v>2</v>
      </c>
    </row>
    <row r="2531" spans="1:16" x14ac:dyDescent="0.25">
      <c r="A2531">
        <v>739</v>
      </c>
      <c r="B2531" s="1">
        <v>40577</v>
      </c>
      <c r="C2531">
        <v>1</v>
      </c>
      <c r="D2531">
        <v>0</v>
      </c>
      <c r="E2531">
        <v>2</v>
      </c>
      <c r="F2531">
        <v>3</v>
      </c>
      <c r="G2531" t="b">
        <v>0</v>
      </c>
      <c r="H2531">
        <v>4</v>
      </c>
      <c r="I2531">
        <v>1</v>
      </c>
      <c r="J2531">
        <v>0.18</v>
      </c>
      <c r="K2531">
        <v>0.16669999999999999</v>
      </c>
      <c r="L2531">
        <v>0.43</v>
      </c>
      <c r="M2531">
        <v>0.25369999999999998</v>
      </c>
      <c r="N2531">
        <v>0</v>
      </c>
      <c r="O2531">
        <v>1</v>
      </c>
      <c r="P2531">
        <v>1</v>
      </c>
    </row>
    <row r="2532" spans="1:16" x14ac:dyDescent="0.25">
      <c r="A2532">
        <v>740</v>
      </c>
      <c r="B2532" s="1">
        <v>40577</v>
      </c>
      <c r="C2532">
        <v>1</v>
      </c>
      <c r="D2532">
        <v>0</v>
      </c>
      <c r="E2532">
        <v>2</v>
      </c>
      <c r="F2532">
        <v>5</v>
      </c>
      <c r="G2532" t="b">
        <v>0</v>
      </c>
      <c r="H2532">
        <v>4</v>
      </c>
      <c r="I2532">
        <v>1</v>
      </c>
      <c r="J2532">
        <v>0.16</v>
      </c>
      <c r="K2532">
        <v>0.13639999999999999</v>
      </c>
      <c r="L2532">
        <v>0.5</v>
      </c>
      <c r="M2532">
        <v>0.29849999999999999</v>
      </c>
      <c r="N2532">
        <v>0</v>
      </c>
      <c r="O2532">
        <v>2</v>
      </c>
      <c r="P2532">
        <v>2</v>
      </c>
    </row>
    <row r="2533" spans="1:16" x14ac:dyDescent="0.25">
      <c r="A2533">
        <v>741</v>
      </c>
      <c r="B2533" s="1">
        <v>40577</v>
      </c>
      <c r="C2533">
        <v>1</v>
      </c>
      <c r="D2533">
        <v>0</v>
      </c>
      <c r="E2533">
        <v>2</v>
      </c>
      <c r="F2533">
        <v>6</v>
      </c>
      <c r="G2533" t="b">
        <v>0</v>
      </c>
      <c r="H2533">
        <v>4</v>
      </c>
      <c r="I2533">
        <v>1</v>
      </c>
      <c r="J2533">
        <v>0.16</v>
      </c>
      <c r="K2533">
        <v>0.13639999999999999</v>
      </c>
      <c r="L2533">
        <v>0.43</v>
      </c>
      <c r="M2533">
        <v>0.35820000000000002</v>
      </c>
      <c r="N2533">
        <v>0</v>
      </c>
      <c r="O2533">
        <v>39</v>
      </c>
      <c r="P2533">
        <v>39</v>
      </c>
    </row>
    <row r="2534" spans="1:16" x14ac:dyDescent="0.25">
      <c r="A2534">
        <v>742</v>
      </c>
      <c r="B2534" s="1">
        <v>40577</v>
      </c>
      <c r="C2534">
        <v>1</v>
      </c>
      <c r="D2534">
        <v>0</v>
      </c>
      <c r="E2534">
        <v>2</v>
      </c>
      <c r="F2534">
        <v>7</v>
      </c>
      <c r="G2534" t="b">
        <v>0</v>
      </c>
      <c r="H2534">
        <v>4</v>
      </c>
      <c r="I2534">
        <v>1</v>
      </c>
      <c r="J2534">
        <v>0.14000000000000001</v>
      </c>
      <c r="K2534">
        <v>0.1212</v>
      </c>
      <c r="L2534">
        <v>0.5</v>
      </c>
      <c r="M2534">
        <v>0.32840000000000003</v>
      </c>
      <c r="N2534">
        <v>1</v>
      </c>
      <c r="O2534">
        <v>86</v>
      </c>
      <c r="P2534">
        <v>87</v>
      </c>
    </row>
    <row r="2535" spans="1:16" x14ac:dyDescent="0.25">
      <c r="A2535">
        <v>743</v>
      </c>
      <c r="B2535" s="1">
        <v>40577</v>
      </c>
      <c r="C2535">
        <v>1</v>
      </c>
      <c r="D2535">
        <v>0</v>
      </c>
      <c r="E2535">
        <v>2</v>
      </c>
      <c r="F2535">
        <v>8</v>
      </c>
      <c r="G2535" t="b">
        <v>0</v>
      </c>
      <c r="H2535">
        <v>4</v>
      </c>
      <c r="I2535">
        <v>1</v>
      </c>
      <c r="J2535">
        <v>0.14000000000000001</v>
      </c>
      <c r="K2535">
        <v>0.1212</v>
      </c>
      <c r="L2535">
        <v>0.5</v>
      </c>
      <c r="M2535">
        <v>0.35820000000000002</v>
      </c>
      <c r="N2535">
        <v>4</v>
      </c>
      <c r="O2535">
        <v>184</v>
      </c>
      <c r="P2535">
        <v>188</v>
      </c>
    </row>
    <row r="2536" spans="1:16" x14ac:dyDescent="0.25">
      <c r="A2536">
        <v>744</v>
      </c>
      <c r="B2536" s="1">
        <v>40577</v>
      </c>
      <c r="C2536">
        <v>1</v>
      </c>
      <c r="D2536">
        <v>0</v>
      </c>
      <c r="E2536">
        <v>2</v>
      </c>
      <c r="F2536">
        <v>9</v>
      </c>
      <c r="G2536" t="b">
        <v>0</v>
      </c>
      <c r="H2536">
        <v>4</v>
      </c>
      <c r="I2536">
        <v>1</v>
      </c>
      <c r="J2536">
        <v>0.16</v>
      </c>
      <c r="K2536">
        <v>0.13639999999999999</v>
      </c>
      <c r="L2536">
        <v>0.47</v>
      </c>
      <c r="M2536">
        <v>0.29849999999999999</v>
      </c>
      <c r="N2536">
        <v>6</v>
      </c>
      <c r="O2536">
        <v>127</v>
      </c>
      <c r="P2536">
        <v>133</v>
      </c>
    </row>
    <row r="2537" spans="1:16" x14ac:dyDescent="0.25">
      <c r="A2537">
        <v>745</v>
      </c>
      <c r="B2537" s="1">
        <v>40577</v>
      </c>
      <c r="C2537">
        <v>1</v>
      </c>
      <c r="D2537">
        <v>0</v>
      </c>
      <c r="E2537">
        <v>2</v>
      </c>
      <c r="F2537">
        <v>10</v>
      </c>
      <c r="G2537" t="b">
        <v>0</v>
      </c>
      <c r="H2537">
        <v>4</v>
      </c>
      <c r="I2537">
        <v>1</v>
      </c>
      <c r="J2537">
        <v>0.18</v>
      </c>
      <c r="K2537">
        <v>0.1515</v>
      </c>
      <c r="L2537">
        <v>0.43</v>
      </c>
      <c r="M2537">
        <v>0.32840000000000003</v>
      </c>
      <c r="N2537">
        <v>2</v>
      </c>
      <c r="O2537">
        <v>50</v>
      </c>
      <c r="P2537">
        <v>52</v>
      </c>
    </row>
    <row r="2538" spans="1:16" x14ac:dyDescent="0.25">
      <c r="A2538">
        <v>746</v>
      </c>
      <c r="B2538" s="1">
        <v>40577</v>
      </c>
      <c r="C2538">
        <v>1</v>
      </c>
      <c r="D2538">
        <v>0</v>
      </c>
      <c r="E2538">
        <v>2</v>
      </c>
      <c r="F2538">
        <v>11</v>
      </c>
      <c r="G2538" t="b">
        <v>0</v>
      </c>
      <c r="H2538">
        <v>4</v>
      </c>
      <c r="I2538">
        <v>1</v>
      </c>
      <c r="J2538">
        <v>0.18</v>
      </c>
      <c r="K2538">
        <v>0.13639999999999999</v>
      </c>
      <c r="L2538">
        <v>0.43</v>
      </c>
      <c r="M2538">
        <v>0.44779999999999998</v>
      </c>
      <c r="N2538">
        <v>9</v>
      </c>
      <c r="O2538">
        <v>55</v>
      </c>
      <c r="P2538">
        <v>64</v>
      </c>
    </row>
    <row r="2539" spans="1:16" x14ac:dyDescent="0.25">
      <c r="A2539">
        <v>747</v>
      </c>
      <c r="B2539" s="1">
        <v>40577</v>
      </c>
      <c r="C2539">
        <v>1</v>
      </c>
      <c r="D2539">
        <v>0</v>
      </c>
      <c r="E2539">
        <v>2</v>
      </c>
      <c r="F2539">
        <v>12</v>
      </c>
      <c r="G2539" t="b">
        <v>0</v>
      </c>
      <c r="H2539">
        <v>4</v>
      </c>
      <c r="I2539">
        <v>1</v>
      </c>
      <c r="J2539">
        <v>0.2</v>
      </c>
      <c r="K2539">
        <v>0.18179999999999999</v>
      </c>
      <c r="L2539">
        <v>0.4</v>
      </c>
      <c r="M2539">
        <v>0.35820000000000002</v>
      </c>
      <c r="N2539">
        <v>2</v>
      </c>
      <c r="O2539">
        <v>67</v>
      </c>
      <c r="P2539">
        <v>69</v>
      </c>
    </row>
    <row r="2540" spans="1:16" x14ac:dyDescent="0.25">
      <c r="A2540">
        <v>748</v>
      </c>
      <c r="B2540" s="1">
        <v>40577</v>
      </c>
      <c r="C2540">
        <v>1</v>
      </c>
      <c r="D2540">
        <v>0</v>
      </c>
      <c r="E2540">
        <v>2</v>
      </c>
      <c r="F2540">
        <v>13</v>
      </c>
      <c r="G2540" t="b">
        <v>0</v>
      </c>
      <c r="H2540">
        <v>4</v>
      </c>
      <c r="I2540">
        <v>1</v>
      </c>
      <c r="J2540">
        <v>0.2</v>
      </c>
      <c r="K2540">
        <v>0.16669999999999999</v>
      </c>
      <c r="L2540">
        <v>0.4</v>
      </c>
      <c r="M2540">
        <v>0.41789999999999999</v>
      </c>
      <c r="N2540">
        <v>4</v>
      </c>
      <c r="O2540">
        <v>47</v>
      </c>
      <c r="P2540">
        <v>51</v>
      </c>
    </row>
    <row r="2541" spans="1:16" x14ac:dyDescent="0.25">
      <c r="A2541">
        <v>749</v>
      </c>
      <c r="B2541" s="1">
        <v>40577</v>
      </c>
      <c r="C2541">
        <v>1</v>
      </c>
      <c r="D2541">
        <v>0</v>
      </c>
      <c r="E2541">
        <v>2</v>
      </c>
      <c r="F2541">
        <v>14</v>
      </c>
      <c r="G2541" t="b">
        <v>0</v>
      </c>
      <c r="H2541">
        <v>4</v>
      </c>
      <c r="I2541">
        <v>1</v>
      </c>
      <c r="J2541">
        <v>0.22</v>
      </c>
      <c r="K2541">
        <v>0.19700000000000001</v>
      </c>
      <c r="L2541">
        <v>0.37</v>
      </c>
      <c r="M2541">
        <v>0.3881</v>
      </c>
      <c r="N2541">
        <v>4</v>
      </c>
      <c r="O2541">
        <v>43</v>
      </c>
      <c r="P2541">
        <v>47</v>
      </c>
    </row>
    <row r="2542" spans="1:16" x14ac:dyDescent="0.25">
      <c r="A2542">
        <v>750</v>
      </c>
      <c r="B2542" s="1">
        <v>40577</v>
      </c>
      <c r="C2542">
        <v>1</v>
      </c>
      <c r="D2542">
        <v>0</v>
      </c>
      <c r="E2542">
        <v>2</v>
      </c>
      <c r="F2542">
        <v>15</v>
      </c>
      <c r="G2542" t="b">
        <v>0</v>
      </c>
      <c r="H2542">
        <v>4</v>
      </c>
      <c r="I2542">
        <v>1</v>
      </c>
      <c r="J2542">
        <v>0.22</v>
      </c>
      <c r="K2542">
        <v>0.19700000000000001</v>
      </c>
      <c r="L2542">
        <v>0.37</v>
      </c>
      <c r="M2542">
        <v>0.32840000000000003</v>
      </c>
      <c r="N2542">
        <v>4</v>
      </c>
      <c r="O2542">
        <v>56</v>
      </c>
      <c r="P2542">
        <v>60</v>
      </c>
    </row>
    <row r="2543" spans="1:16" x14ac:dyDescent="0.25">
      <c r="A2543">
        <v>751</v>
      </c>
      <c r="B2543" s="1">
        <v>40577</v>
      </c>
      <c r="C2543">
        <v>1</v>
      </c>
      <c r="D2543">
        <v>0</v>
      </c>
      <c r="E2543">
        <v>2</v>
      </c>
      <c r="F2543">
        <v>16</v>
      </c>
      <c r="G2543" t="b">
        <v>0</v>
      </c>
      <c r="H2543">
        <v>4</v>
      </c>
      <c r="I2543">
        <v>1</v>
      </c>
      <c r="J2543">
        <v>0.22</v>
      </c>
      <c r="K2543">
        <v>0.21210000000000001</v>
      </c>
      <c r="L2543">
        <v>0.37</v>
      </c>
      <c r="M2543">
        <v>0.25369999999999998</v>
      </c>
      <c r="N2543">
        <v>5</v>
      </c>
      <c r="O2543">
        <v>73</v>
      </c>
      <c r="P2543">
        <v>78</v>
      </c>
    </row>
    <row r="2544" spans="1:16" x14ac:dyDescent="0.25">
      <c r="A2544">
        <v>752</v>
      </c>
      <c r="B2544" s="1">
        <v>40577</v>
      </c>
      <c r="C2544">
        <v>1</v>
      </c>
      <c r="D2544">
        <v>0</v>
      </c>
      <c r="E2544">
        <v>2</v>
      </c>
      <c r="F2544">
        <v>17</v>
      </c>
      <c r="G2544" t="b">
        <v>0</v>
      </c>
      <c r="H2544">
        <v>4</v>
      </c>
      <c r="I2544">
        <v>1</v>
      </c>
      <c r="J2544">
        <v>0.2</v>
      </c>
      <c r="K2544">
        <v>0.19700000000000001</v>
      </c>
      <c r="L2544">
        <v>0.4</v>
      </c>
      <c r="M2544">
        <v>0.19400000000000001</v>
      </c>
      <c r="N2544">
        <v>5</v>
      </c>
      <c r="O2544">
        <v>170</v>
      </c>
      <c r="P2544">
        <v>175</v>
      </c>
    </row>
    <row r="2545" spans="1:16" x14ac:dyDescent="0.25">
      <c r="A2545">
        <v>753</v>
      </c>
      <c r="B2545" s="1">
        <v>40577</v>
      </c>
      <c r="C2545">
        <v>1</v>
      </c>
      <c r="D2545">
        <v>0</v>
      </c>
      <c r="E2545">
        <v>2</v>
      </c>
      <c r="F2545">
        <v>18</v>
      </c>
      <c r="G2545" t="b">
        <v>0</v>
      </c>
      <c r="H2545">
        <v>4</v>
      </c>
      <c r="I2545">
        <v>1</v>
      </c>
      <c r="J2545">
        <v>0.2</v>
      </c>
      <c r="K2545">
        <v>0.21210000000000001</v>
      </c>
      <c r="L2545">
        <v>0.4</v>
      </c>
      <c r="M2545">
        <v>0.16420000000000001</v>
      </c>
      <c r="N2545">
        <v>2</v>
      </c>
      <c r="O2545">
        <v>145</v>
      </c>
      <c r="P2545">
        <v>147</v>
      </c>
    </row>
    <row r="2546" spans="1:16" x14ac:dyDescent="0.25">
      <c r="A2546">
        <v>754</v>
      </c>
      <c r="B2546" s="1">
        <v>40577</v>
      </c>
      <c r="C2546">
        <v>1</v>
      </c>
      <c r="D2546">
        <v>0</v>
      </c>
      <c r="E2546">
        <v>2</v>
      </c>
      <c r="F2546">
        <v>19</v>
      </c>
      <c r="G2546" t="b">
        <v>0</v>
      </c>
      <c r="H2546">
        <v>4</v>
      </c>
      <c r="I2546">
        <v>1</v>
      </c>
      <c r="J2546">
        <v>0.2</v>
      </c>
      <c r="K2546">
        <v>0.2576</v>
      </c>
      <c r="L2546">
        <v>0.4</v>
      </c>
      <c r="M2546">
        <v>0</v>
      </c>
      <c r="N2546">
        <v>4</v>
      </c>
      <c r="O2546">
        <v>92</v>
      </c>
      <c r="P2546">
        <v>96</v>
      </c>
    </row>
    <row r="2547" spans="1:16" x14ac:dyDescent="0.25">
      <c r="A2547">
        <v>755</v>
      </c>
      <c r="B2547" s="1">
        <v>40577</v>
      </c>
      <c r="C2547">
        <v>1</v>
      </c>
      <c r="D2547">
        <v>0</v>
      </c>
      <c r="E2547">
        <v>2</v>
      </c>
      <c r="F2547">
        <v>20</v>
      </c>
      <c r="G2547" t="b">
        <v>0</v>
      </c>
      <c r="H2547">
        <v>4</v>
      </c>
      <c r="I2547">
        <v>1</v>
      </c>
      <c r="J2547">
        <v>0.2</v>
      </c>
      <c r="K2547">
        <v>0.2273</v>
      </c>
      <c r="L2547">
        <v>0.47</v>
      </c>
      <c r="M2547">
        <v>8.9599999999999999E-2</v>
      </c>
      <c r="N2547">
        <v>1</v>
      </c>
      <c r="O2547">
        <v>108</v>
      </c>
      <c r="P2547">
        <v>109</v>
      </c>
    </row>
    <row r="2548" spans="1:16" x14ac:dyDescent="0.25">
      <c r="A2548">
        <v>756</v>
      </c>
      <c r="B2548" s="1">
        <v>40577</v>
      </c>
      <c r="C2548">
        <v>1</v>
      </c>
      <c r="D2548">
        <v>0</v>
      </c>
      <c r="E2548">
        <v>2</v>
      </c>
      <c r="F2548">
        <v>21</v>
      </c>
      <c r="G2548" t="b">
        <v>0</v>
      </c>
      <c r="H2548">
        <v>4</v>
      </c>
      <c r="I2548">
        <v>1</v>
      </c>
      <c r="J2548">
        <v>0.18</v>
      </c>
      <c r="K2548">
        <v>0.21210000000000001</v>
      </c>
      <c r="L2548">
        <v>0.55000000000000004</v>
      </c>
      <c r="M2548">
        <v>0.1045</v>
      </c>
      <c r="N2548">
        <v>1</v>
      </c>
      <c r="O2548">
        <v>53</v>
      </c>
      <c r="P2548">
        <v>54</v>
      </c>
    </row>
    <row r="2549" spans="1:16" x14ac:dyDescent="0.25">
      <c r="A2549">
        <v>757</v>
      </c>
      <c r="B2549" s="1">
        <v>40577</v>
      </c>
      <c r="C2549">
        <v>1</v>
      </c>
      <c r="D2549">
        <v>0</v>
      </c>
      <c r="E2549">
        <v>2</v>
      </c>
      <c r="F2549">
        <v>22</v>
      </c>
      <c r="G2549" t="b">
        <v>0</v>
      </c>
      <c r="H2549">
        <v>4</v>
      </c>
      <c r="I2549">
        <v>1</v>
      </c>
      <c r="J2549">
        <v>0.18</v>
      </c>
      <c r="K2549">
        <v>0.21210000000000001</v>
      </c>
      <c r="L2549">
        <v>0.51</v>
      </c>
      <c r="M2549">
        <v>8.9599999999999999E-2</v>
      </c>
      <c r="N2549">
        <v>2</v>
      </c>
      <c r="O2549">
        <v>39</v>
      </c>
      <c r="P2549">
        <v>41</v>
      </c>
    </row>
    <row r="2550" spans="1:16" x14ac:dyDescent="0.25">
      <c r="A2550">
        <v>758</v>
      </c>
      <c r="B2550" s="1">
        <v>40577</v>
      </c>
      <c r="C2550">
        <v>1</v>
      </c>
      <c r="D2550">
        <v>0</v>
      </c>
      <c r="E2550">
        <v>2</v>
      </c>
      <c r="F2550">
        <v>23</v>
      </c>
      <c r="G2550" t="b">
        <v>0</v>
      </c>
      <c r="H2550">
        <v>4</v>
      </c>
      <c r="I2550">
        <v>1</v>
      </c>
      <c r="J2550">
        <v>0.2</v>
      </c>
      <c r="K2550">
        <v>0.2273</v>
      </c>
      <c r="L2550">
        <v>0.47</v>
      </c>
      <c r="M2550">
        <v>0.1045</v>
      </c>
      <c r="N2550">
        <v>4</v>
      </c>
      <c r="O2550">
        <v>34</v>
      </c>
      <c r="P2550">
        <v>38</v>
      </c>
    </row>
    <row r="2551" spans="1:16" x14ac:dyDescent="0.25">
      <c r="A2551">
        <v>759</v>
      </c>
      <c r="B2551" s="1">
        <v>40578</v>
      </c>
      <c r="C2551">
        <v>1</v>
      </c>
      <c r="D2551">
        <v>0</v>
      </c>
      <c r="E2551">
        <v>2</v>
      </c>
      <c r="F2551">
        <v>0</v>
      </c>
      <c r="G2551" t="b">
        <v>0</v>
      </c>
      <c r="H2551">
        <v>5</v>
      </c>
      <c r="I2551">
        <v>2</v>
      </c>
      <c r="J2551">
        <v>0.2</v>
      </c>
      <c r="K2551">
        <v>0.2576</v>
      </c>
      <c r="L2551">
        <v>0.44</v>
      </c>
      <c r="M2551">
        <v>0</v>
      </c>
      <c r="N2551">
        <v>3</v>
      </c>
      <c r="O2551">
        <v>10</v>
      </c>
      <c r="P2551">
        <v>13</v>
      </c>
    </row>
    <row r="2552" spans="1:16" x14ac:dyDescent="0.25">
      <c r="A2552">
        <v>760</v>
      </c>
      <c r="B2552" s="1">
        <v>40578</v>
      </c>
      <c r="C2552">
        <v>1</v>
      </c>
      <c r="D2552">
        <v>0</v>
      </c>
      <c r="E2552">
        <v>2</v>
      </c>
      <c r="F2552">
        <v>1</v>
      </c>
      <c r="G2552" t="b">
        <v>0</v>
      </c>
      <c r="H2552">
        <v>5</v>
      </c>
      <c r="I2552">
        <v>2</v>
      </c>
      <c r="J2552">
        <v>0.16</v>
      </c>
      <c r="K2552">
        <v>0.2273</v>
      </c>
      <c r="L2552">
        <v>0.59</v>
      </c>
      <c r="M2552">
        <v>0</v>
      </c>
      <c r="N2552">
        <v>0</v>
      </c>
      <c r="O2552">
        <v>7</v>
      </c>
      <c r="P2552">
        <v>7</v>
      </c>
    </row>
    <row r="2553" spans="1:16" x14ac:dyDescent="0.25">
      <c r="A2553">
        <v>761</v>
      </c>
      <c r="B2553" s="1">
        <v>40578</v>
      </c>
      <c r="C2553">
        <v>1</v>
      </c>
      <c r="D2553">
        <v>0</v>
      </c>
      <c r="E2553">
        <v>2</v>
      </c>
      <c r="F2553">
        <v>2</v>
      </c>
      <c r="G2553" t="b">
        <v>0</v>
      </c>
      <c r="H2553">
        <v>5</v>
      </c>
      <c r="I2553">
        <v>2</v>
      </c>
      <c r="J2553">
        <v>0.14000000000000001</v>
      </c>
      <c r="K2553">
        <v>0.16669999999999999</v>
      </c>
      <c r="L2553">
        <v>0.63</v>
      </c>
      <c r="M2553">
        <v>0.1045</v>
      </c>
      <c r="N2553">
        <v>0</v>
      </c>
      <c r="O2553">
        <v>1</v>
      </c>
      <c r="P2553">
        <v>1</v>
      </c>
    </row>
    <row r="2554" spans="1:16" x14ac:dyDescent="0.25">
      <c r="A2554">
        <v>762</v>
      </c>
      <c r="B2554" s="1">
        <v>40578</v>
      </c>
      <c r="C2554">
        <v>1</v>
      </c>
      <c r="D2554">
        <v>0</v>
      </c>
      <c r="E2554">
        <v>2</v>
      </c>
      <c r="F2554">
        <v>3</v>
      </c>
      <c r="G2554" t="b">
        <v>0</v>
      </c>
      <c r="H2554">
        <v>5</v>
      </c>
      <c r="I2554">
        <v>2</v>
      </c>
      <c r="J2554">
        <v>0.14000000000000001</v>
      </c>
      <c r="K2554">
        <v>0.16669999999999999</v>
      </c>
      <c r="L2554">
        <v>0.63</v>
      </c>
      <c r="M2554">
        <v>0.1045</v>
      </c>
      <c r="N2554">
        <v>0</v>
      </c>
      <c r="O2554">
        <v>1</v>
      </c>
      <c r="P2554">
        <v>1</v>
      </c>
    </row>
    <row r="2555" spans="1:16" x14ac:dyDescent="0.25">
      <c r="A2555">
        <v>763</v>
      </c>
      <c r="B2555" s="1">
        <v>40578</v>
      </c>
      <c r="C2555">
        <v>1</v>
      </c>
      <c r="D2555">
        <v>0</v>
      </c>
      <c r="E2555">
        <v>2</v>
      </c>
      <c r="F2555">
        <v>5</v>
      </c>
      <c r="G2555" t="b">
        <v>0</v>
      </c>
      <c r="H2555">
        <v>5</v>
      </c>
      <c r="I2555">
        <v>2</v>
      </c>
      <c r="J2555">
        <v>0.14000000000000001</v>
      </c>
      <c r="K2555">
        <v>0.1515</v>
      </c>
      <c r="L2555">
        <v>0.63</v>
      </c>
      <c r="M2555">
        <v>0.1343</v>
      </c>
      <c r="N2555">
        <v>0</v>
      </c>
      <c r="O2555">
        <v>7</v>
      </c>
      <c r="P2555">
        <v>7</v>
      </c>
    </row>
    <row r="2556" spans="1:16" x14ac:dyDescent="0.25">
      <c r="A2556">
        <v>764</v>
      </c>
      <c r="B2556" s="1">
        <v>40578</v>
      </c>
      <c r="C2556">
        <v>1</v>
      </c>
      <c r="D2556">
        <v>0</v>
      </c>
      <c r="E2556">
        <v>2</v>
      </c>
      <c r="F2556">
        <v>6</v>
      </c>
      <c r="G2556" t="b">
        <v>0</v>
      </c>
      <c r="H2556">
        <v>5</v>
      </c>
      <c r="I2556">
        <v>2</v>
      </c>
      <c r="J2556">
        <v>0.16</v>
      </c>
      <c r="K2556">
        <v>0.2273</v>
      </c>
      <c r="L2556">
        <v>0.55000000000000004</v>
      </c>
      <c r="M2556">
        <v>0</v>
      </c>
      <c r="N2556">
        <v>2</v>
      </c>
      <c r="O2556">
        <v>26</v>
      </c>
      <c r="P2556">
        <v>28</v>
      </c>
    </row>
    <row r="2557" spans="1:16" x14ac:dyDescent="0.25">
      <c r="A2557">
        <v>765</v>
      </c>
      <c r="B2557" s="1">
        <v>40578</v>
      </c>
      <c r="C2557">
        <v>1</v>
      </c>
      <c r="D2557">
        <v>0</v>
      </c>
      <c r="E2557">
        <v>2</v>
      </c>
      <c r="F2557">
        <v>7</v>
      </c>
      <c r="G2557" t="b">
        <v>0</v>
      </c>
      <c r="H2557">
        <v>5</v>
      </c>
      <c r="I2557">
        <v>1</v>
      </c>
      <c r="J2557">
        <v>0.14000000000000001</v>
      </c>
      <c r="K2557">
        <v>0.21210000000000001</v>
      </c>
      <c r="L2557">
        <v>0.59</v>
      </c>
      <c r="M2557">
        <v>0</v>
      </c>
      <c r="N2557">
        <v>0</v>
      </c>
      <c r="O2557">
        <v>87</v>
      </c>
      <c r="P2557">
        <v>87</v>
      </c>
    </row>
    <row r="2558" spans="1:16" x14ac:dyDescent="0.25">
      <c r="A2558">
        <v>766</v>
      </c>
      <c r="B2558" s="1">
        <v>40578</v>
      </c>
      <c r="C2558">
        <v>1</v>
      </c>
      <c r="D2558">
        <v>0</v>
      </c>
      <c r="E2558">
        <v>2</v>
      </c>
      <c r="F2558">
        <v>8</v>
      </c>
      <c r="G2558" t="b">
        <v>0</v>
      </c>
      <c r="H2558">
        <v>5</v>
      </c>
      <c r="I2558">
        <v>1</v>
      </c>
      <c r="J2558">
        <v>0.14000000000000001</v>
      </c>
      <c r="K2558">
        <v>0.1515</v>
      </c>
      <c r="L2558">
        <v>0.74</v>
      </c>
      <c r="M2558">
        <v>0.1343</v>
      </c>
      <c r="N2558">
        <v>3</v>
      </c>
      <c r="O2558">
        <v>217</v>
      </c>
      <c r="P2558">
        <v>220</v>
      </c>
    </row>
    <row r="2559" spans="1:16" x14ac:dyDescent="0.25">
      <c r="A2559">
        <v>767</v>
      </c>
      <c r="B2559" s="1">
        <v>40578</v>
      </c>
      <c r="C2559">
        <v>1</v>
      </c>
      <c r="D2559">
        <v>0</v>
      </c>
      <c r="E2559">
        <v>2</v>
      </c>
      <c r="F2559">
        <v>9</v>
      </c>
      <c r="G2559" t="b">
        <v>0</v>
      </c>
      <c r="H2559">
        <v>5</v>
      </c>
      <c r="I2559">
        <v>2</v>
      </c>
      <c r="J2559">
        <v>0.16</v>
      </c>
      <c r="K2559">
        <v>0.18179999999999999</v>
      </c>
      <c r="L2559">
        <v>0.8</v>
      </c>
      <c r="M2559">
        <v>0.1343</v>
      </c>
      <c r="N2559">
        <v>3</v>
      </c>
      <c r="O2559">
        <v>124</v>
      </c>
      <c r="P2559">
        <v>127</v>
      </c>
    </row>
    <row r="2560" spans="1:16" x14ac:dyDescent="0.25">
      <c r="A2560">
        <v>768</v>
      </c>
      <c r="B2560" s="1">
        <v>40578</v>
      </c>
      <c r="C2560">
        <v>1</v>
      </c>
      <c r="D2560">
        <v>0</v>
      </c>
      <c r="E2560">
        <v>2</v>
      </c>
      <c r="F2560">
        <v>10</v>
      </c>
      <c r="G2560" t="b">
        <v>0</v>
      </c>
      <c r="H2560">
        <v>5</v>
      </c>
      <c r="I2560">
        <v>2</v>
      </c>
      <c r="J2560">
        <v>0.2</v>
      </c>
      <c r="K2560">
        <v>0.21210000000000001</v>
      </c>
      <c r="L2560">
        <v>0.51</v>
      </c>
      <c r="M2560">
        <v>0.1343</v>
      </c>
      <c r="N2560">
        <v>5</v>
      </c>
      <c r="O2560">
        <v>46</v>
      </c>
      <c r="P2560">
        <v>51</v>
      </c>
    </row>
    <row r="2561" spans="1:16" x14ac:dyDescent="0.25">
      <c r="A2561">
        <v>769</v>
      </c>
      <c r="B2561" s="1">
        <v>40578</v>
      </c>
      <c r="C2561">
        <v>1</v>
      </c>
      <c r="D2561">
        <v>0</v>
      </c>
      <c r="E2561">
        <v>2</v>
      </c>
      <c r="F2561">
        <v>11</v>
      </c>
      <c r="G2561" t="b">
        <v>0</v>
      </c>
      <c r="H2561">
        <v>5</v>
      </c>
      <c r="I2561">
        <v>1</v>
      </c>
      <c r="J2561">
        <v>0.22</v>
      </c>
      <c r="K2561">
        <v>0.2273</v>
      </c>
      <c r="L2561">
        <v>0.51</v>
      </c>
      <c r="M2561">
        <v>0.16420000000000001</v>
      </c>
      <c r="N2561">
        <v>3</v>
      </c>
      <c r="O2561">
        <v>61</v>
      </c>
      <c r="P2561">
        <v>64</v>
      </c>
    </row>
    <row r="2562" spans="1:16" x14ac:dyDescent="0.25">
      <c r="A2562">
        <v>770</v>
      </c>
      <c r="B2562" s="1">
        <v>40578</v>
      </c>
      <c r="C2562">
        <v>1</v>
      </c>
      <c r="D2562">
        <v>0</v>
      </c>
      <c r="E2562">
        <v>2</v>
      </c>
      <c r="F2562">
        <v>12</v>
      </c>
      <c r="G2562" t="b">
        <v>0</v>
      </c>
      <c r="H2562">
        <v>5</v>
      </c>
      <c r="I2562">
        <v>2</v>
      </c>
      <c r="J2562">
        <v>0.24</v>
      </c>
      <c r="K2562">
        <v>0.2424</v>
      </c>
      <c r="L2562">
        <v>0.48</v>
      </c>
      <c r="M2562">
        <v>0.16420000000000001</v>
      </c>
      <c r="N2562">
        <v>8</v>
      </c>
      <c r="O2562">
        <v>78</v>
      </c>
      <c r="P2562">
        <v>86</v>
      </c>
    </row>
    <row r="2563" spans="1:16" x14ac:dyDescent="0.25">
      <c r="A2563">
        <v>771</v>
      </c>
      <c r="B2563" s="1">
        <v>40578</v>
      </c>
      <c r="C2563">
        <v>1</v>
      </c>
      <c r="D2563">
        <v>0</v>
      </c>
      <c r="E2563">
        <v>2</v>
      </c>
      <c r="F2563">
        <v>13</v>
      </c>
      <c r="G2563" t="b">
        <v>0</v>
      </c>
      <c r="H2563">
        <v>5</v>
      </c>
      <c r="I2563">
        <v>2</v>
      </c>
      <c r="J2563">
        <v>0.26</v>
      </c>
      <c r="K2563">
        <v>0.2576</v>
      </c>
      <c r="L2563">
        <v>0.5</v>
      </c>
      <c r="M2563">
        <v>0.22389999999999999</v>
      </c>
      <c r="N2563">
        <v>9</v>
      </c>
      <c r="O2563">
        <v>73</v>
      </c>
      <c r="P2563">
        <v>82</v>
      </c>
    </row>
    <row r="2564" spans="1:16" x14ac:dyDescent="0.25">
      <c r="A2564">
        <v>772</v>
      </c>
      <c r="B2564" s="1">
        <v>40578</v>
      </c>
      <c r="C2564">
        <v>1</v>
      </c>
      <c r="D2564">
        <v>0</v>
      </c>
      <c r="E2564">
        <v>2</v>
      </c>
      <c r="F2564">
        <v>14</v>
      </c>
      <c r="G2564" t="b">
        <v>0</v>
      </c>
      <c r="H2564">
        <v>5</v>
      </c>
      <c r="I2564">
        <v>2</v>
      </c>
      <c r="J2564">
        <v>0.28000000000000003</v>
      </c>
      <c r="K2564">
        <v>0.2727</v>
      </c>
      <c r="L2564">
        <v>0.45</v>
      </c>
      <c r="M2564">
        <v>0.16420000000000001</v>
      </c>
      <c r="N2564">
        <v>15</v>
      </c>
      <c r="O2564">
        <v>76</v>
      </c>
      <c r="P2564">
        <v>91</v>
      </c>
    </row>
    <row r="2565" spans="1:16" x14ac:dyDescent="0.25">
      <c r="A2565">
        <v>773</v>
      </c>
      <c r="B2565" s="1">
        <v>40578</v>
      </c>
      <c r="C2565">
        <v>1</v>
      </c>
      <c r="D2565">
        <v>0</v>
      </c>
      <c r="E2565">
        <v>2</v>
      </c>
      <c r="F2565">
        <v>15</v>
      </c>
      <c r="G2565" t="b">
        <v>0</v>
      </c>
      <c r="H2565">
        <v>5</v>
      </c>
      <c r="I2565">
        <v>2</v>
      </c>
      <c r="J2565">
        <v>0.28000000000000003</v>
      </c>
      <c r="K2565">
        <v>0.2727</v>
      </c>
      <c r="L2565">
        <v>0.48</v>
      </c>
      <c r="M2565">
        <v>0.25369999999999998</v>
      </c>
      <c r="N2565">
        <v>9</v>
      </c>
      <c r="O2565">
        <v>81</v>
      </c>
      <c r="P2565">
        <v>90</v>
      </c>
    </row>
    <row r="2566" spans="1:16" x14ac:dyDescent="0.25">
      <c r="A2566">
        <v>774</v>
      </c>
      <c r="B2566" s="1">
        <v>40578</v>
      </c>
      <c r="C2566">
        <v>1</v>
      </c>
      <c r="D2566">
        <v>0</v>
      </c>
      <c r="E2566">
        <v>2</v>
      </c>
      <c r="F2566">
        <v>16</v>
      </c>
      <c r="G2566" t="b">
        <v>0</v>
      </c>
      <c r="H2566">
        <v>5</v>
      </c>
      <c r="I2566">
        <v>2</v>
      </c>
      <c r="J2566">
        <v>0.3</v>
      </c>
      <c r="K2566">
        <v>0.28789999999999999</v>
      </c>
      <c r="L2566">
        <v>0.42</v>
      </c>
      <c r="M2566">
        <v>0.22389999999999999</v>
      </c>
      <c r="N2566">
        <v>8</v>
      </c>
      <c r="O2566">
        <v>91</v>
      </c>
      <c r="P2566">
        <v>99</v>
      </c>
    </row>
    <row r="2567" spans="1:16" x14ac:dyDescent="0.25">
      <c r="A2567">
        <v>775</v>
      </c>
      <c r="B2567" s="1">
        <v>40578</v>
      </c>
      <c r="C2567">
        <v>1</v>
      </c>
      <c r="D2567">
        <v>0</v>
      </c>
      <c r="E2567">
        <v>2</v>
      </c>
      <c r="F2567">
        <v>17</v>
      </c>
      <c r="G2567" t="b">
        <v>0</v>
      </c>
      <c r="H2567">
        <v>5</v>
      </c>
      <c r="I2567">
        <v>2</v>
      </c>
      <c r="J2567">
        <v>0.26</v>
      </c>
      <c r="K2567">
        <v>0.2727</v>
      </c>
      <c r="L2567">
        <v>0.56000000000000005</v>
      </c>
      <c r="M2567">
        <v>0.1343</v>
      </c>
      <c r="N2567">
        <v>10</v>
      </c>
      <c r="O2567">
        <v>195</v>
      </c>
      <c r="P2567">
        <v>205</v>
      </c>
    </row>
    <row r="2568" spans="1:16" x14ac:dyDescent="0.25">
      <c r="A2568">
        <v>776</v>
      </c>
      <c r="B2568" s="1">
        <v>40578</v>
      </c>
      <c r="C2568">
        <v>1</v>
      </c>
      <c r="D2568">
        <v>0</v>
      </c>
      <c r="E2568">
        <v>2</v>
      </c>
      <c r="F2568">
        <v>18</v>
      </c>
      <c r="G2568" t="b">
        <v>0</v>
      </c>
      <c r="H2568">
        <v>5</v>
      </c>
      <c r="I2568">
        <v>2</v>
      </c>
      <c r="J2568">
        <v>0.24</v>
      </c>
      <c r="K2568">
        <v>0.2576</v>
      </c>
      <c r="L2568">
        <v>0.6</v>
      </c>
      <c r="M2568">
        <v>0.1045</v>
      </c>
      <c r="N2568">
        <v>3</v>
      </c>
      <c r="O2568">
        <v>152</v>
      </c>
      <c r="P2568">
        <v>155</v>
      </c>
    </row>
    <row r="2569" spans="1:16" x14ac:dyDescent="0.25">
      <c r="A2569">
        <v>777</v>
      </c>
      <c r="B2569" s="1">
        <v>40578</v>
      </c>
      <c r="C2569">
        <v>1</v>
      </c>
      <c r="D2569">
        <v>0</v>
      </c>
      <c r="E2569">
        <v>2</v>
      </c>
      <c r="F2569">
        <v>19</v>
      </c>
      <c r="G2569" t="b">
        <v>0</v>
      </c>
      <c r="H2569">
        <v>5</v>
      </c>
      <c r="I2569">
        <v>2</v>
      </c>
      <c r="J2569">
        <v>0.24</v>
      </c>
      <c r="K2569">
        <v>0.2424</v>
      </c>
      <c r="L2569">
        <v>0.65</v>
      </c>
      <c r="M2569">
        <v>0.1343</v>
      </c>
      <c r="N2569">
        <v>1</v>
      </c>
      <c r="O2569">
        <v>102</v>
      </c>
      <c r="P2569">
        <v>103</v>
      </c>
    </row>
    <row r="2570" spans="1:16" x14ac:dyDescent="0.25">
      <c r="A2570">
        <v>778</v>
      </c>
      <c r="B2570" s="1">
        <v>40578</v>
      </c>
      <c r="C2570">
        <v>1</v>
      </c>
      <c r="D2570">
        <v>0</v>
      </c>
      <c r="E2570">
        <v>2</v>
      </c>
      <c r="F2570">
        <v>20</v>
      </c>
      <c r="G2570" t="b">
        <v>0</v>
      </c>
      <c r="H2570">
        <v>5</v>
      </c>
      <c r="I2570">
        <v>2</v>
      </c>
      <c r="J2570">
        <v>0.24</v>
      </c>
      <c r="K2570">
        <v>0.2424</v>
      </c>
      <c r="L2570">
        <v>0.65</v>
      </c>
      <c r="M2570">
        <v>0.16420000000000001</v>
      </c>
      <c r="N2570">
        <v>2</v>
      </c>
      <c r="O2570">
        <v>69</v>
      </c>
      <c r="P2570">
        <v>71</v>
      </c>
    </row>
    <row r="2571" spans="1:16" x14ac:dyDescent="0.25">
      <c r="A2571">
        <v>779</v>
      </c>
      <c r="B2571" s="1">
        <v>40578</v>
      </c>
      <c r="C2571">
        <v>1</v>
      </c>
      <c r="D2571">
        <v>0</v>
      </c>
      <c r="E2571">
        <v>2</v>
      </c>
      <c r="F2571">
        <v>21</v>
      </c>
      <c r="G2571" t="b">
        <v>0</v>
      </c>
      <c r="H2571">
        <v>5</v>
      </c>
      <c r="I2571">
        <v>2</v>
      </c>
      <c r="J2571">
        <v>0.24</v>
      </c>
      <c r="K2571">
        <v>0.2424</v>
      </c>
      <c r="L2571">
        <v>0.7</v>
      </c>
      <c r="M2571">
        <v>0.16420000000000001</v>
      </c>
      <c r="N2571">
        <v>2</v>
      </c>
      <c r="O2571">
        <v>41</v>
      </c>
      <c r="P2571">
        <v>43</v>
      </c>
    </row>
    <row r="2572" spans="1:16" x14ac:dyDescent="0.25">
      <c r="A2572">
        <v>780</v>
      </c>
      <c r="B2572" s="1">
        <v>40578</v>
      </c>
      <c r="C2572">
        <v>1</v>
      </c>
      <c r="D2572">
        <v>0</v>
      </c>
      <c r="E2572">
        <v>2</v>
      </c>
      <c r="F2572">
        <v>22</v>
      </c>
      <c r="G2572" t="b">
        <v>0</v>
      </c>
      <c r="H2572">
        <v>5</v>
      </c>
      <c r="I2572">
        <v>2</v>
      </c>
      <c r="J2572">
        <v>0.24</v>
      </c>
      <c r="K2572">
        <v>0.2424</v>
      </c>
      <c r="L2572">
        <v>0.65</v>
      </c>
      <c r="M2572">
        <v>0.16420000000000001</v>
      </c>
      <c r="N2572">
        <v>1</v>
      </c>
      <c r="O2572">
        <v>45</v>
      </c>
      <c r="P2572">
        <v>46</v>
      </c>
    </row>
    <row r="2573" spans="1:16" x14ac:dyDescent="0.25">
      <c r="A2573">
        <v>781</v>
      </c>
      <c r="B2573" s="1">
        <v>40578</v>
      </c>
      <c r="C2573">
        <v>1</v>
      </c>
      <c r="D2573">
        <v>0</v>
      </c>
      <c r="E2573">
        <v>2</v>
      </c>
      <c r="F2573">
        <v>23</v>
      </c>
      <c r="G2573" t="b">
        <v>0</v>
      </c>
      <c r="H2573">
        <v>5</v>
      </c>
      <c r="I2573">
        <v>2</v>
      </c>
      <c r="J2573">
        <v>0.24</v>
      </c>
      <c r="K2573">
        <v>0.2424</v>
      </c>
      <c r="L2573">
        <v>0.7</v>
      </c>
      <c r="M2573">
        <v>0.1343</v>
      </c>
      <c r="N2573">
        <v>1</v>
      </c>
      <c r="O2573">
        <v>30</v>
      </c>
      <c r="P2573">
        <v>31</v>
      </c>
    </row>
    <row r="2574" spans="1:16" x14ac:dyDescent="0.25">
      <c r="A2574">
        <v>782</v>
      </c>
      <c r="B2574" s="1">
        <v>40579</v>
      </c>
      <c r="C2574">
        <v>1</v>
      </c>
      <c r="D2574">
        <v>0</v>
      </c>
      <c r="E2574">
        <v>2</v>
      </c>
      <c r="F2574">
        <v>0</v>
      </c>
      <c r="G2574" t="b">
        <v>0</v>
      </c>
      <c r="H2574">
        <v>6</v>
      </c>
      <c r="I2574">
        <v>2</v>
      </c>
      <c r="J2574">
        <v>0.24</v>
      </c>
      <c r="K2574">
        <v>0.2424</v>
      </c>
      <c r="L2574">
        <v>0.7</v>
      </c>
      <c r="M2574">
        <v>0.16420000000000001</v>
      </c>
      <c r="N2574">
        <v>3</v>
      </c>
      <c r="O2574">
        <v>36</v>
      </c>
      <c r="P2574">
        <v>39</v>
      </c>
    </row>
    <row r="2575" spans="1:16" x14ac:dyDescent="0.25">
      <c r="A2575">
        <v>783</v>
      </c>
      <c r="B2575" s="1">
        <v>40579</v>
      </c>
      <c r="C2575">
        <v>1</v>
      </c>
      <c r="D2575">
        <v>0</v>
      </c>
      <c r="E2575">
        <v>2</v>
      </c>
      <c r="F2575">
        <v>1</v>
      </c>
      <c r="G2575" t="b">
        <v>0</v>
      </c>
      <c r="H2575">
        <v>6</v>
      </c>
      <c r="I2575">
        <v>2</v>
      </c>
      <c r="J2575">
        <v>0.24</v>
      </c>
      <c r="K2575">
        <v>0.2424</v>
      </c>
      <c r="L2575">
        <v>0.65</v>
      </c>
      <c r="M2575">
        <v>0.16420000000000001</v>
      </c>
      <c r="N2575">
        <v>1</v>
      </c>
      <c r="O2575">
        <v>17</v>
      </c>
      <c r="P2575">
        <v>18</v>
      </c>
    </row>
    <row r="2576" spans="1:16" x14ac:dyDescent="0.25">
      <c r="A2576">
        <v>784</v>
      </c>
      <c r="B2576" s="1">
        <v>40579</v>
      </c>
      <c r="C2576">
        <v>1</v>
      </c>
      <c r="D2576">
        <v>0</v>
      </c>
      <c r="E2576">
        <v>2</v>
      </c>
      <c r="F2576">
        <v>2</v>
      </c>
      <c r="G2576" t="b">
        <v>0</v>
      </c>
      <c r="H2576">
        <v>6</v>
      </c>
      <c r="I2576">
        <v>2</v>
      </c>
      <c r="J2576">
        <v>0.24</v>
      </c>
      <c r="K2576">
        <v>0.2424</v>
      </c>
      <c r="L2576">
        <v>0.75</v>
      </c>
      <c r="M2576">
        <v>0.16420000000000001</v>
      </c>
      <c r="N2576">
        <v>5</v>
      </c>
      <c r="O2576">
        <v>12</v>
      </c>
      <c r="P2576">
        <v>17</v>
      </c>
    </row>
    <row r="2577" spans="1:16" x14ac:dyDescent="0.25">
      <c r="A2577">
        <v>785</v>
      </c>
      <c r="B2577" s="1">
        <v>40579</v>
      </c>
      <c r="C2577">
        <v>1</v>
      </c>
      <c r="D2577">
        <v>0</v>
      </c>
      <c r="E2577">
        <v>2</v>
      </c>
      <c r="F2577">
        <v>3</v>
      </c>
      <c r="G2577" t="b">
        <v>0</v>
      </c>
      <c r="H2577">
        <v>6</v>
      </c>
      <c r="I2577">
        <v>2</v>
      </c>
      <c r="J2577">
        <v>0.24</v>
      </c>
      <c r="K2577">
        <v>0.2424</v>
      </c>
      <c r="L2577">
        <v>0.75</v>
      </c>
      <c r="M2577">
        <v>0.16420000000000001</v>
      </c>
      <c r="N2577">
        <v>1</v>
      </c>
      <c r="O2577">
        <v>10</v>
      </c>
      <c r="P2577">
        <v>11</v>
      </c>
    </row>
    <row r="2578" spans="1:16" x14ac:dyDescent="0.25">
      <c r="A2578">
        <v>786</v>
      </c>
      <c r="B2578" s="1">
        <v>40579</v>
      </c>
      <c r="C2578">
        <v>1</v>
      </c>
      <c r="D2578">
        <v>0</v>
      </c>
      <c r="E2578">
        <v>2</v>
      </c>
      <c r="F2578">
        <v>4</v>
      </c>
      <c r="G2578" t="b">
        <v>0</v>
      </c>
      <c r="H2578">
        <v>6</v>
      </c>
      <c r="I2578">
        <v>3</v>
      </c>
      <c r="J2578">
        <v>0.22</v>
      </c>
      <c r="K2578">
        <v>0.2273</v>
      </c>
      <c r="L2578">
        <v>0.93</v>
      </c>
      <c r="M2578">
        <v>0.1343</v>
      </c>
      <c r="N2578">
        <v>0</v>
      </c>
      <c r="O2578">
        <v>8</v>
      </c>
      <c r="P2578">
        <v>8</v>
      </c>
    </row>
    <row r="2579" spans="1:16" x14ac:dyDescent="0.25">
      <c r="A2579">
        <v>787</v>
      </c>
      <c r="B2579" s="1">
        <v>40579</v>
      </c>
      <c r="C2579">
        <v>1</v>
      </c>
      <c r="D2579">
        <v>0</v>
      </c>
      <c r="E2579">
        <v>2</v>
      </c>
      <c r="F2579">
        <v>5</v>
      </c>
      <c r="G2579" t="b">
        <v>0</v>
      </c>
      <c r="H2579">
        <v>6</v>
      </c>
      <c r="I2579">
        <v>3</v>
      </c>
      <c r="J2579">
        <v>0.2</v>
      </c>
      <c r="K2579">
        <v>0.2273</v>
      </c>
      <c r="L2579">
        <v>1</v>
      </c>
      <c r="M2579">
        <v>8.9599999999999999E-2</v>
      </c>
      <c r="N2579">
        <v>0</v>
      </c>
      <c r="O2579">
        <v>9</v>
      </c>
      <c r="P2579">
        <v>9</v>
      </c>
    </row>
    <row r="2580" spans="1:16" x14ac:dyDescent="0.25">
      <c r="A2580">
        <v>788</v>
      </c>
      <c r="B2580" s="1">
        <v>40579</v>
      </c>
      <c r="C2580">
        <v>1</v>
      </c>
      <c r="D2580">
        <v>0</v>
      </c>
      <c r="E2580">
        <v>2</v>
      </c>
      <c r="F2580">
        <v>6</v>
      </c>
      <c r="G2580" t="b">
        <v>0</v>
      </c>
      <c r="H2580">
        <v>6</v>
      </c>
      <c r="I2580">
        <v>3</v>
      </c>
      <c r="J2580">
        <v>0.2</v>
      </c>
      <c r="K2580">
        <v>0.2576</v>
      </c>
      <c r="L2580">
        <v>1</v>
      </c>
      <c r="M2580">
        <v>0</v>
      </c>
      <c r="N2580">
        <v>0</v>
      </c>
      <c r="O2580">
        <v>4</v>
      </c>
      <c r="P2580">
        <v>4</v>
      </c>
    </row>
    <row r="2581" spans="1:16" x14ac:dyDescent="0.25">
      <c r="A2581">
        <v>789</v>
      </c>
      <c r="B2581" s="1">
        <v>40579</v>
      </c>
      <c r="C2581">
        <v>1</v>
      </c>
      <c r="D2581">
        <v>0</v>
      </c>
      <c r="E2581">
        <v>2</v>
      </c>
      <c r="F2581">
        <v>7</v>
      </c>
      <c r="G2581" t="b">
        <v>0</v>
      </c>
      <c r="H2581">
        <v>6</v>
      </c>
      <c r="I2581">
        <v>3</v>
      </c>
      <c r="J2581">
        <v>0.22</v>
      </c>
      <c r="K2581">
        <v>0.2576</v>
      </c>
      <c r="L2581">
        <v>0.93</v>
      </c>
      <c r="M2581">
        <v>8.9599999999999999E-2</v>
      </c>
      <c r="N2581">
        <v>0</v>
      </c>
      <c r="O2581">
        <v>4</v>
      </c>
      <c r="P2581">
        <v>4</v>
      </c>
    </row>
    <row r="2582" spans="1:16" x14ac:dyDescent="0.25">
      <c r="A2582">
        <v>790</v>
      </c>
      <c r="B2582" s="1">
        <v>40579</v>
      </c>
      <c r="C2582">
        <v>1</v>
      </c>
      <c r="D2582">
        <v>0</v>
      </c>
      <c r="E2582">
        <v>2</v>
      </c>
      <c r="F2582">
        <v>8</v>
      </c>
      <c r="G2582" t="b">
        <v>0</v>
      </c>
      <c r="H2582">
        <v>6</v>
      </c>
      <c r="I2582">
        <v>3</v>
      </c>
      <c r="J2582">
        <v>0.2</v>
      </c>
      <c r="K2582">
        <v>0.2273</v>
      </c>
      <c r="L2582">
        <v>1</v>
      </c>
      <c r="M2582">
        <v>8.9599999999999999E-2</v>
      </c>
      <c r="N2582">
        <v>0</v>
      </c>
      <c r="O2582">
        <v>10</v>
      </c>
      <c r="P2582">
        <v>10</v>
      </c>
    </row>
    <row r="2583" spans="1:16" x14ac:dyDescent="0.25">
      <c r="A2583">
        <v>791</v>
      </c>
      <c r="B2583" s="1">
        <v>40579</v>
      </c>
      <c r="C2583">
        <v>1</v>
      </c>
      <c r="D2583">
        <v>0</v>
      </c>
      <c r="E2583">
        <v>2</v>
      </c>
      <c r="F2583">
        <v>9</v>
      </c>
      <c r="G2583" t="b">
        <v>0</v>
      </c>
      <c r="H2583">
        <v>6</v>
      </c>
      <c r="I2583">
        <v>3</v>
      </c>
      <c r="J2583">
        <v>0.2</v>
      </c>
      <c r="K2583">
        <v>0.2273</v>
      </c>
      <c r="L2583">
        <v>1</v>
      </c>
      <c r="M2583">
        <v>8.9599999999999999E-2</v>
      </c>
      <c r="N2583">
        <v>3</v>
      </c>
      <c r="O2583">
        <v>17</v>
      </c>
      <c r="P2583">
        <v>20</v>
      </c>
    </row>
    <row r="2584" spans="1:16" x14ac:dyDescent="0.25">
      <c r="A2584">
        <v>792</v>
      </c>
      <c r="B2584" s="1">
        <v>40579</v>
      </c>
      <c r="C2584">
        <v>1</v>
      </c>
      <c r="D2584">
        <v>0</v>
      </c>
      <c r="E2584">
        <v>2</v>
      </c>
      <c r="F2584">
        <v>10</v>
      </c>
      <c r="G2584" t="b">
        <v>0</v>
      </c>
      <c r="H2584">
        <v>6</v>
      </c>
      <c r="I2584">
        <v>3</v>
      </c>
      <c r="J2584">
        <v>0.2</v>
      </c>
      <c r="K2584">
        <v>0.21210000000000001</v>
      </c>
      <c r="L2584">
        <v>1</v>
      </c>
      <c r="M2584">
        <v>0.1343</v>
      </c>
      <c r="N2584">
        <v>3</v>
      </c>
      <c r="O2584">
        <v>31</v>
      </c>
      <c r="P2584">
        <v>34</v>
      </c>
    </row>
    <row r="2585" spans="1:16" x14ac:dyDescent="0.25">
      <c r="A2585">
        <v>793</v>
      </c>
      <c r="B2585" s="1">
        <v>40579</v>
      </c>
      <c r="C2585">
        <v>1</v>
      </c>
      <c r="D2585">
        <v>0</v>
      </c>
      <c r="E2585">
        <v>2</v>
      </c>
      <c r="F2585">
        <v>11</v>
      </c>
      <c r="G2585" t="b">
        <v>0</v>
      </c>
      <c r="H2585">
        <v>6</v>
      </c>
      <c r="I2585">
        <v>3</v>
      </c>
      <c r="J2585">
        <v>0.22</v>
      </c>
      <c r="K2585">
        <v>0.2273</v>
      </c>
      <c r="L2585">
        <v>1</v>
      </c>
      <c r="M2585">
        <v>0.1343</v>
      </c>
      <c r="N2585">
        <v>1</v>
      </c>
      <c r="O2585">
        <v>46</v>
      </c>
      <c r="P2585">
        <v>47</v>
      </c>
    </row>
    <row r="2586" spans="1:16" x14ac:dyDescent="0.25">
      <c r="A2586">
        <v>794</v>
      </c>
      <c r="B2586" s="1">
        <v>40579</v>
      </c>
      <c r="C2586">
        <v>1</v>
      </c>
      <c r="D2586">
        <v>0</v>
      </c>
      <c r="E2586">
        <v>2</v>
      </c>
      <c r="F2586">
        <v>12</v>
      </c>
      <c r="G2586" t="b">
        <v>0</v>
      </c>
      <c r="H2586">
        <v>6</v>
      </c>
      <c r="I2586">
        <v>3</v>
      </c>
      <c r="J2586">
        <v>0.22</v>
      </c>
      <c r="K2586">
        <v>0.2273</v>
      </c>
      <c r="L2586">
        <v>1</v>
      </c>
      <c r="M2586">
        <v>0.16420000000000001</v>
      </c>
      <c r="N2586">
        <v>10</v>
      </c>
      <c r="O2586">
        <v>42</v>
      </c>
      <c r="P2586">
        <v>52</v>
      </c>
    </row>
    <row r="2587" spans="1:16" x14ac:dyDescent="0.25">
      <c r="A2587">
        <v>795</v>
      </c>
      <c r="B2587" s="1">
        <v>40579</v>
      </c>
      <c r="C2587">
        <v>1</v>
      </c>
      <c r="D2587">
        <v>0</v>
      </c>
      <c r="E2587">
        <v>2</v>
      </c>
      <c r="F2587">
        <v>13</v>
      </c>
      <c r="G2587" t="b">
        <v>0</v>
      </c>
      <c r="H2587">
        <v>6</v>
      </c>
      <c r="I2587">
        <v>3</v>
      </c>
      <c r="J2587">
        <v>0.22</v>
      </c>
      <c r="K2587">
        <v>0.2273</v>
      </c>
      <c r="L2587">
        <v>1</v>
      </c>
      <c r="M2587">
        <v>0.16420000000000001</v>
      </c>
      <c r="N2587">
        <v>10</v>
      </c>
      <c r="O2587">
        <v>62</v>
      </c>
      <c r="P2587">
        <v>72</v>
      </c>
    </row>
    <row r="2588" spans="1:16" x14ac:dyDescent="0.25">
      <c r="A2588">
        <v>796</v>
      </c>
      <c r="B2588" s="1">
        <v>40579</v>
      </c>
      <c r="C2588">
        <v>1</v>
      </c>
      <c r="D2588">
        <v>0</v>
      </c>
      <c r="E2588">
        <v>2</v>
      </c>
      <c r="F2588">
        <v>14</v>
      </c>
      <c r="G2588" t="b">
        <v>0</v>
      </c>
      <c r="H2588">
        <v>6</v>
      </c>
      <c r="I2588">
        <v>3</v>
      </c>
      <c r="J2588">
        <v>0.22</v>
      </c>
      <c r="K2588">
        <v>0.2727</v>
      </c>
      <c r="L2588">
        <v>1</v>
      </c>
      <c r="M2588">
        <v>0</v>
      </c>
      <c r="N2588">
        <v>5</v>
      </c>
      <c r="O2588">
        <v>50</v>
      </c>
      <c r="P2588">
        <v>55</v>
      </c>
    </row>
    <row r="2589" spans="1:16" x14ac:dyDescent="0.25">
      <c r="A2589">
        <v>797</v>
      </c>
      <c r="B2589" s="1">
        <v>40579</v>
      </c>
      <c r="C2589">
        <v>1</v>
      </c>
      <c r="D2589">
        <v>0</v>
      </c>
      <c r="E2589">
        <v>2</v>
      </c>
      <c r="F2589">
        <v>15</v>
      </c>
      <c r="G2589" t="b">
        <v>0</v>
      </c>
      <c r="H2589">
        <v>6</v>
      </c>
      <c r="I2589">
        <v>3</v>
      </c>
      <c r="J2589">
        <v>0.22</v>
      </c>
      <c r="K2589">
        <v>0.2727</v>
      </c>
      <c r="L2589">
        <v>1</v>
      </c>
      <c r="M2589">
        <v>0</v>
      </c>
      <c r="N2589">
        <v>11</v>
      </c>
      <c r="O2589">
        <v>49</v>
      </c>
      <c r="P2589">
        <v>60</v>
      </c>
    </row>
    <row r="2590" spans="1:16" x14ac:dyDescent="0.25">
      <c r="A2590">
        <v>798</v>
      </c>
      <c r="B2590" s="1">
        <v>40579</v>
      </c>
      <c r="C2590">
        <v>1</v>
      </c>
      <c r="D2590">
        <v>0</v>
      </c>
      <c r="E2590">
        <v>2</v>
      </c>
      <c r="F2590">
        <v>16</v>
      </c>
      <c r="G2590" t="b">
        <v>0</v>
      </c>
      <c r="H2590">
        <v>6</v>
      </c>
      <c r="I2590">
        <v>3</v>
      </c>
      <c r="J2590">
        <v>0.22</v>
      </c>
      <c r="K2590">
        <v>0.2273</v>
      </c>
      <c r="L2590">
        <v>1</v>
      </c>
      <c r="M2590">
        <v>0.1343</v>
      </c>
      <c r="N2590">
        <v>8</v>
      </c>
      <c r="O2590">
        <v>63</v>
      </c>
      <c r="P2590">
        <v>71</v>
      </c>
    </row>
    <row r="2591" spans="1:16" x14ac:dyDescent="0.25">
      <c r="A2591">
        <v>799</v>
      </c>
      <c r="B2591" s="1">
        <v>40579</v>
      </c>
      <c r="C2591">
        <v>1</v>
      </c>
      <c r="D2591">
        <v>0</v>
      </c>
      <c r="E2591">
        <v>2</v>
      </c>
      <c r="F2591">
        <v>17</v>
      </c>
      <c r="G2591" t="b">
        <v>0</v>
      </c>
      <c r="H2591">
        <v>6</v>
      </c>
      <c r="I2591">
        <v>2</v>
      </c>
      <c r="J2591">
        <v>0.24</v>
      </c>
      <c r="K2591">
        <v>0.21210000000000001</v>
      </c>
      <c r="L2591">
        <v>1</v>
      </c>
      <c r="M2591">
        <v>0.28360000000000002</v>
      </c>
      <c r="N2591">
        <v>14</v>
      </c>
      <c r="O2591">
        <v>64</v>
      </c>
      <c r="P2591">
        <v>78</v>
      </c>
    </row>
    <row r="2592" spans="1:16" x14ac:dyDescent="0.25">
      <c r="A2592">
        <v>800</v>
      </c>
      <c r="B2592" s="1">
        <v>40579</v>
      </c>
      <c r="C2592">
        <v>1</v>
      </c>
      <c r="D2592">
        <v>0</v>
      </c>
      <c r="E2592">
        <v>2</v>
      </c>
      <c r="F2592">
        <v>18</v>
      </c>
      <c r="G2592" t="b">
        <v>0</v>
      </c>
      <c r="H2592">
        <v>6</v>
      </c>
      <c r="I2592">
        <v>2</v>
      </c>
      <c r="J2592">
        <v>0.28000000000000003</v>
      </c>
      <c r="K2592">
        <v>0.2424</v>
      </c>
      <c r="L2592">
        <v>0.93</v>
      </c>
      <c r="M2592">
        <v>0.44779999999999998</v>
      </c>
      <c r="N2592">
        <v>2</v>
      </c>
      <c r="O2592">
        <v>81</v>
      </c>
      <c r="P2592">
        <v>83</v>
      </c>
    </row>
    <row r="2593" spans="1:16" x14ac:dyDescent="0.25">
      <c r="A2593">
        <v>801</v>
      </c>
      <c r="B2593" s="1">
        <v>40579</v>
      </c>
      <c r="C2593">
        <v>1</v>
      </c>
      <c r="D2593">
        <v>0</v>
      </c>
      <c r="E2593">
        <v>2</v>
      </c>
      <c r="F2593">
        <v>19</v>
      </c>
      <c r="G2593" t="b">
        <v>0</v>
      </c>
      <c r="H2593">
        <v>6</v>
      </c>
      <c r="I2593">
        <v>2</v>
      </c>
      <c r="J2593">
        <v>0.28000000000000003</v>
      </c>
      <c r="K2593">
        <v>0.2424</v>
      </c>
      <c r="L2593">
        <v>0.93</v>
      </c>
      <c r="M2593">
        <v>0.44779999999999998</v>
      </c>
      <c r="N2593">
        <v>6</v>
      </c>
      <c r="O2593">
        <v>78</v>
      </c>
      <c r="P2593">
        <v>84</v>
      </c>
    </row>
    <row r="2594" spans="1:16" x14ac:dyDescent="0.25">
      <c r="A2594">
        <v>802</v>
      </c>
      <c r="B2594" s="1">
        <v>40579</v>
      </c>
      <c r="C2594">
        <v>1</v>
      </c>
      <c r="D2594">
        <v>0</v>
      </c>
      <c r="E2594">
        <v>2</v>
      </c>
      <c r="F2594">
        <v>20</v>
      </c>
      <c r="G2594" t="b">
        <v>0</v>
      </c>
      <c r="H2594">
        <v>6</v>
      </c>
      <c r="I2594">
        <v>1</v>
      </c>
      <c r="J2594">
        <v>0.3</v>
      </c>
      <c r="K2594">
        <v>0.28789999999999999</v>
      </c>
      <c r="L2594">
        <v>0.87</v>
      </c>
      <c r="M2594">
        <v>0.25369999999999998</v>
      </c>
      <c r="N2594">
        <v>5</v>
      </c>
      <c r="O2594">
        <v>64</v>
      </c>
      <c r="P2594">
        <v>69</v>
      </c>
    </row>
    <row r="2595" spans="1:16" x14ac:dyDescent="0.25">
      <c r="A2595">
        <v>803</v>
      </c>
      <c r="B2595" s="1">
        <v>40579</v>
      </c>
      <c r="C2595">
        <v>1</v>
      </c>
      <c r="D2595">
        <v>0</v>
      </c>
      <c r="E2595">
        <v>2</v>
      </c>
      <c r="F2595">
        <v>21</v>
      </c>
      <c r="G2595" t="b">
        <v>0</v>
      </c>
      <c r="H2595">
        <v>6</v>
      </c>
      <c r="I2595">
        <v>1</v>
      </c>
      <c r="J2595">
        <v>0.26</v>
      </c>
      <c r="K2595">
        <v>0.2576</v>
      </c>
      <c r="L2595">
        <v>1</v>
      </c>
      <c r="M2595">
        <v>0.19400000000000001</v>
      </c>
      <c r="N2595">
        <v>3</v>
      </c>
      <c r="O2595">
        <v>53</v>
      </c>
      <c r="P2595">
        <v>56</v>
      </c>
    </row>
    <row r="2596" spans="1:16" x14ac:dyDescent="0.25">
      <c r="A2596">
        <v>804</v>
      </c>
      <c r="B2596" s="1">
        <v>40579</v>
      </c>
      <c r="C2596">
        <v>1</v>
      </c>
      <c r="D2596">
        <v>0</v>
      </c>
      <c r="E2596">
        <v>2</v>
      </c>
      <c r="F2596">
        <v>22</v>
      </c>
      <c r="G2596" t="b">
        <v>0</v>
      </c>
      <c r="H2596">
        <v>6</v>
      </c>
      <c r="I2596">
        <v>1</v>
      </c>
      <c r="J2596">
        <v>0.26</v>
      </c>
      <c r="K2596">
        <v>0.2727</v>
      </c>
      <c r="L2596">
        <v>0.93</v>
      </c>
      <c r="M2596">
        <v>0.1343</v>
      </c>
      <c r="N2596">
        <v>2</v>
      </c>
      <c r="O2596">
        <v>43</v>
      </c>
      <c r="P2596">
        <v>45</v>
      </c>
    </row>
    <row r="2597" spans="1:16" x14ac:dyDescent="0.25">
      <c r="A2597">
        <v>805</v>
      </c>
      <c r="B2597" s="1">
        <v>40579</v>
      </c>
      <c r="C2597">
        <v>1</v>
      </c>
      <c r="D2597">
        <v>0</v>
      </c>
      <c r="E2597">
        <v>2</v>
      </c>
      <c r="F2597">
        <v>23</v>
      </c>
      <c r="G2597" t="b">
        <v>0</v>
      </c>
      <c r="H2597">
        <v>6</v>
      </c>
      <c r="I2597">
        <v>1</v>
      </c>
      <c r="J2597">
        <v>0.26</v>
      </c>
      <c r="K2597">
        <v>0.2576</v>
      </c>
      <c r="L2597">
        <v>0.93</v>
      </c>
      <c r="M2597">
        <v>0.22389999999999999</v>
      </c>
      <c r="N2597">
        <v>7</v>
      </c>
      <c r="O2597">
        <v>52</v>
      </c>
      <c r="P2597">
        <v>59</v>
      </c>
    </row>
    <row r="2598" spans="1:16" x14ac:dyDescent="0.25">
      <c r="A2598">
        <v>806</v>
      </c>
      <c r="B2598" s="1">
        <v>40580</v>
      </c>
      <c r="C2598">
        <v>1</v>
      </c>
      <c r="D2598">
        <v>0</v>
      </c>
      <c r="E2598">
        <v>2</v>
      </c>
      <c r="F2598">
        <v>0</v>
      </c>
      <c r="G2598" t="b">
        <v>0</v>
      </c>
      <c r="H2598">
        <v>0</v>
      </c>
      <c r="I2598">
        <v>1</v>
      </c>
      <c r="J2598">
        <v>0.26</v>
      </c>
      <c r="K2598">
        <v>0.2576</v>
      </c>
      <c r="L2598">
        <v>0.7</v>
      </c>
      <c r="M2598">
        <v>0.19400000000000001</v>
      </c>
      <c r="N2598">
        <v>2</v>
      </c>
      <c r="O2598">
        <v>37</v>
      </c>
      <c r="P2598">
        <v>39</v>
      </c>
    </row>
    <row r="2599" spans="1:16" x14ac:dyDescent="0.25">
      <c r="A2599">
        <v>807</v>
      </c>
      <c r="B2599" s="1">
        <v>40580</v>
      </c>
      <c r="C2599">
        <v>1</v>
      </c>
      <c r="D2599">
        <v>0</v>
      </c>
      <c r="E2599">
        <v>2</v>
      </c>
      <c r="F2599">
        <v>1</v>
      </c>
      <c r="G2599" t="b">
        <v>0</v>
      </c>
      <c r="H2599">
        <v>0</v>
      </c>
      <c r="I2599">
        <v>1</v>
      </c>
      <c r="J2599">
        <v>0.26</v>
      </c>
      <c r="K2599">
        <v>0.2273</v>
      </c>
      <c r="L2599">
        <v>0.65</v>
      </c>
      <c r="M2599">
        <v>0.41789999999999999</v>
      </c>
      <c r="N2599">
        <v>4</v>
      </c>
      <c r="O2599">
        <v>40</v>
      </c>
      <c r="P2599">
        <v>44</v>
      </c>
    </row>
    <row r="2600" spans="1:16" x14ac:dyDescent="0.25">
      <c r="A2600">
        <v>808</v>
      </c>
      <c r="B2600" s="1">
        <v>40580</v>
      </c>
      <c r="C2600">
        <v>1</v>
      </c>
      <c r="D2600">
        <v>0</v>
      </c>
      <c r="E2600">
        <v>2</v>
      </c>
      <c r="F2600">
        <v>2</v>
      </c>
      <c r="G2600" t="b">
        <v>0</v>
      </c>
      <c r="H2600">
        <v>0</v>
      </c>
      <c r="I2600">
        <v>1</v>
      </c>
      <c r="J2600">
        <v>0.26</v>
      </c>
      <c r="K2600">
        <v>0.2273</v>
      </c>
      <c r="L2600">
        <v>0.6</v>
      </c>
      <c r="M2600">
        <v>0.32840000000000003</v>
      </c>
      <c r="N2600">
        <v>0</v>
      </c>
      <c r="O2600">
        <v>20</v>
      </c>
      <c r="P2600">
        <v>20</v>
      </c>
    </row>
    <row r="2601" spans="1:16" x14ac:dyDescent="0.25">
      <c r="A2601">
        <v>809</v>
      </c>
      <c r="B2601" s="1">
        <v>40580</v>
      </c>
      <c r="C2601">
        <v>1</v>
      </c>
      <c r="D2601">
        <v>0</v>
      </c>
      <c r="E2601">
        <v>2</v>
      </c>
      <c r="F2601">
        <v>3</v>
      </c>
      <c r="G2601" t="b">
        <v>0</v>
      </c>
      <c r="H2601">
        <v>0</v>
      </c>
      <c r="I2601">
        <v>1</v>
      </c>
      <c r="J2601">
        <v>0.26</v>
      </c>
      <c r="K2601">
        <v>0.28789999999999999</v>
      </c>
      <c r="L2601">
        <v>0.6</v>
      </c>
      <c r="M2601">
        <v>8.9599999999999999E-2</v>
      </c>
      <c r="N2601">
        <v>3</v>
      </c>
      <c r="O2601">
        <v>10</v>
      </c>
      <c r="P2601">
        <v>13</v>
      </c>
    </row>
    <row r="2602" spans="1:16" x14ac:dyDescent="0.25">
      <c r="A2602">
        <v>810</v>
      </c>
      <c r="B2602" s="1">
        <v>40580</v>
      </c>
      <c r="C2602">
        <v>1</v>
      </c>
      <c r="D2602">
        <v>0</v>
      </c>
      <c r="E2602">
        <v>2</v>
      </c>
      <c r="F2602">
        <v>4</v>
      </c>
      <c r="G2602" t="b">
        <v>0</v>
      </c>
      <c r="H2602">
        <v>0</v>
      </c>
      <c r="I2602">
        <v>1</v>
      </c>
      <c r="J2602">
        <v>0.26</v>
      </c>
      <c r="K2602">
        <v>0.2273</v>
      </c>
      <c r="L2602">
        <v>0.6</v>
      </c>
      <c r="M2602">
        <v>0.35820000000000002</v>
      </c>
      <c r="N2602">
        <v>0</v>
      </c>
      <c r="O2602">
        <v>2</v>
      </c>
      <c r="P2602">
        <v>2</v>
      </c>
    </row>
    <row r="2603" spans="1:16" x14ac:dyDescent="0.25">
      <c r="A2603">
        <v>811</v>
      </c>
      <c r="B2603" s="1">
        <v>40580</v>
      </c>
      <c r="C2603">
        <v>1</v>
      </c>
      <c r="D2603">
        <v>0</v>
      </c>
      <c r="E2603">
        <v>2</v>
      </c>
      <c r="F2603">
        <v>5</v>
      </c>
      <c r="G2603" t="b">
        <v>0</v>
      </c>
      <c r="H2603">
        <v>0</v>
      </c>
      <c r="I2603">
        <v>1</v>
      </c>
      <c r="J2603">
        <v>0.26</v>
      </c>
      <c r="K2603">
        <v>0.2576</v>
      </c>
      <c r="L2603">
        <v>0.6</v>
      </c>
      <c r="M2603">
        <v>0.22389999999999999</v>
      </c>
      <c r="N2603">
        <v>0</v>
      </c>
      <c r="O2603">
        <v>1</v>
      </c>
      <c r="P2603">
        <v>1</v>
      </c>
    </row>
    <row r="2604" spans="1:16" x14ac:dyDescent="0.25">
      <c r="A2604">
        <v>812</v>
      </c>
      <c r="B2604" s="1">
        <v>40580</v>
      </c>
      <c r="C2604">
        <v>1</v>
      </c>
      <c r="D2604">
        <v>0</v>
      </c>
      <c r="E2604">
        <v>2</v>
      </c>
      <c r="F2604">
        <v>6</v>
      </c>
      <c r="G2604" t="b">
        <v>0</v>
      </c>
      <c r="H2604">
        <v>0</v>
      </c>
      <c r="I2604">
        <v>1</v>
      </c>
      <c r="J2604">
        <v>0.26</v>
      </c>
      <c r="K2604">
        <v>0.2576</v>
      </c>
      <c r="L2604">
        <v>0.6</v>
      </c>
      <c r="M2604">
        <v>0.22389999999999999</v>
      </c>
      <c r="N2604">
        <v>0</v>
      </c>
      <c r="O2604">
        <v>1</v>
      </c>
      <c r="P2604">
        <v>1</v>
      </c>
    </row>
    <row r="2605" spans="1:16" x14ac:dyDescent="0.25">
      <c r="A2605">
        <v>813</v>
      </c>
      <c r="B2605" s="1">
        <v>40580</v>
      </c>
      <c r="C2605">
        <v>1</v>
      </c>
      <c r="D2605">
        <v>0</v>
      </c>
      <c r="E2605">
        <v>2</v>
      </c>
      <c r="F2605">
        <v>7</v>
      </c>
      <c r="G2605" t="b">
        <v>0</v>
      </c>
      <c r="H2605">
        <v>0</v>
      </c>
      <c r="I2605">
        <v>1</v>
      </c>
      <c r="J2605">
        <v>0.24</v>
      </c>
      <c r="K2605">
        <v>0.2424</v>
      </c>
      <c r="L2605">
        <v>0.65</v>
      </c>
      <c r="M2605">
        <v>0.16420000000000001</v>
      </c>
      <c r="N2605">
        <v>0</v>
      </c>
      <c r="O2605">
        <v>8</v>
      </c>
      <c r="P2605">
        <v>8</v>
      </c>
    </row>
    <row r="2606" spans="1:16" x14ac:dyDescent="0.25">
      <c r="A2606">
        <v>814</v>
      </c>
      <c r="B2606" s="1">
        <v>40580</v>
      </c>
      <c r="C2606">
        <v>1</v>
      </c>
      <c r="D2606">
        <v>0</v>
      </c>
      <c r="E2606">
        <v>2</v>
      </c>
      <c r="F2606">
        <v>8</v>
      </c>
      <c r="G2606" t="b">
        <v>0</v>
      </c>
      <c r="H2606">
        <v>0</v>
      </c>
      <c r="I2606">
        <v>1</v>
      </c>
      <c r="J2606">
        <v>0.24</v>
      </c>
      <c r="K2606">
        <v>0.2576</v>
      </c>
      <c r="L2606">
        <v>0.65</v>
      </c>
      <c r="M2606">
        <v>0.1045</v>
      </c>
      <c r="N2606">
        <v>2</v>
      </c>
      <c r="O2606">
        <v>21</v>
      </c>
      <c r="P2606">
        <v>23</v>
      </c>
    </row>
    <row r="2607" spans="1:16" x14ac:dyDescent="0.25">
      <c r="A2607">
        <v>815</v>
      </c>
      <c r="B2607" s="1">
        <v>40580</v>
      </c>
      <c r="C2607">
        <v>1</v>
      </c>
      <c r="D2607">
        <v>0</v>
      </c>
      <c r="E2607">
        <v>2</v>
      </c>
      <c r="F2607">
        <v>9</v>
      </c>
      <c r="G2607" t="b">
        <v>0</v>
      </c>
      <c r="H2607">
        <v>0</v>
      </c>
      <c r="I2607">
        <v>1</v>
      </c>
      <c r="J2607">
        <v>0.28000000000000003</v>
      </c>
      <c r="K2607">
        <v>0.28789999999999999</v>
      </c>
      <c r="L2607">
        <v>0.56000000000000005</v>
      </c>
      <c r="M2607">
        <v>0.1045</v>
      </c>
      <c r="N2607">
        <v>7</v>
      </c>
      <c r="O2607">
        <v>38</v>
      </c>
      <c r="P2607">
        <v>45</v>
      </c>
    </row>
    <row r="2608" spans="1:16" x14ac:dyDescent="0.25">
      <c r="A2608">
        <v>816</v>
      </c>
      <c r="B2608" s="1">
        <v>40580</v>
      </c>
      <c r="C2608">
        <v>1</v>
      </c>
      <c r="D2608">
        <v>0</v>
      </c>
      <c r="E2608">
        <v>2</v>
      </c>
      <c r="F2608">
        <v>10</v>
      </c>
      <c r="G2608" t="b">
        <v>0</v>
      </c>
      <c r="H2608">
        <v>0</v>
      </c>
      <c r="I2608">
        <v>1</v>
      </c>
      <c r="J2608">
        <v>0.3</v>
      </c>
      <c r="K2608">
        <v>0.28789999999999999</v>
      </c>
      <c r="L2608">
        <v>0.52</v>
      </c>
      <c r="M2608">
        <v>0.25369999999999998</v>
      </c>
      <c r="N2608">
        <v>15</v>
      </c>
      <c r="O2608">
        <v>74</v>
      </c>
      <c r="P2608">
        <v>89</v>
      </c>
    </row>
    <row r="2609" spans="1:16" x14ac:dyDescent="0.25">
      <c r="A2609">
        <v>817</v>
      </c>
      <c r="B2609" s="1">
        <v>40580</v>
      </c>
      <c r="C2609">
        <v>1</v>
      </c>
      <c r="D2609">
        <v>0</v>
      </c>
      <c r="E2609">
        <v>2</v>
      </c>
      <c r="F2609">
        <v>11</v>
      </c>
      <c r="G2609" t="b">
        <v>0</v>
      </c>
      <c r="H2609">
        <v>0</v>
      </c>
      <c r="I2609">
        <v>1</v>
      </c>
      <c r="J2609">
        <v>0.32</v>
      </c>
      <c r="K2609">
        <v>0.30299999999999999</v>
      </c>
      <c r="L2609">
        <v>0.49</v>
      </c>
      <c r="M2609">
        <v>0.25369999999999998</v>
      </c>
      <c r="N2609">
        <v>28</v>
      </c>
      <c r="O2609">
        <v>89</v>
      </c>
      <c r="P2609">
        <v>117</v>
      </c>
    </row>
    <row r="2610" spans="1:16" x14ac:dyDescent="0.25">
      <c r="A2610">
        <v>818</v>
      </c>
      <c r="B2610" s="1">
        <v>40580</v>
      </c>
      <c r="C2610">
        <v>1</v>
      </c>
      <c r="D2610">
        <v>0</v>
      </c>
      <c r="E2610">
        <v>2</v>
      </c>
      <c r="F2610">
        <v>12</v>
      </c>
      <c r="G2610" t="b">
        <v>0</v>
      </c>
      <c r="H2610">
        <v>0</v>
      </c>
      <c r="I2610">
        <v>1</v>
      </c>
      <c r="J2610">
        <v>0.34</v>
      </c>
      <c r="K2610">
        <v>0.33329999999999999</v>
      </c>
      <c r="L2610">
        <v>0.46</v>
      </c>
      <c r="M2610">
        <v>0</v>
      </c>
      <c r="N2610">
        <v>48</v>
      </c>
      <c r="O2610">
        <v>126</v>
      </c>
      <c r="P2610">
        <v>174</v>
      </c>
    </row>
    <row r="2611" spans="1:16" x14ac:dyDescent="0.25">
      <c r="A2611">
        <v>819</v>
      </c>
      <c r="B2611" s="1">
        <v>40580</v>
      </c>
      <c r="C2611">
        <v>1</v>
      </c>
      <c r="D2611">
        <v>0</v>
      </c>
      <c r="E2611">
        <v>2</v>
      </c>
      <c r="F2611">
        <v>13</v>
      </c>
      <c r="G2611" t="b">
        <v>0</v>
      </c>
      <c r="H2611">
        <v>0</v>
      </c>
      <c r="I2611">
        <v>1</v>
      </c>
      <c r="J2611">
        <v>0.34</v>
      </c>
      <c r="K2611">
        <v>0.36359999999999998</v>
      </c>
      <c r="L2611">
        <v>0.46</v>
      </c>
      <c r="M2611">
        <v>0</v>
      </c>
      <c r="N2611">
        <v>47</v>
      </c>
      <c r="O2611">
        <v>135</v>
      </c>
      <c r="P2611">
        <v>182</v>
      </c>
    </row>
    <row r="2612" spans="1:16" x14ac:dyDescent="0.25">
      <c r="A2612">
        <v>820</v>
      </c>
      <c r="B2612" s="1">
        <v>40580</v>
      </c>
      <c r="C2612">
        <v>1</v>
      </c>
      <c r="D2612">
        <v>0</v>
      </c>
      <c r="E2612">
        <v>2</v>
      </c>
      <c r="F2612">
        <v>14</v>
      </c>
      <c r="G2612" t="b">
        <v>0</v>
      </c>
      <c r="H2612">
        <v>0</v>
      </c>
      <c r="I2612">
        <v>1</v>
      </c>
      <c r="J2612">
        <v>0.34</v>
      </c>
      <c r="K2612">
        <v>0.34849999999999998</v>
      </c>
      <c r="L2612">
        <v>0.46</v>
      </c>
      <c r="M2612">
        <v>8.9599999999999999E-2</v>
      </c>
      <c r="N2612">
        <v>47</v>
      </c>
      <c r="O2612">
        <v>114</v>
      </c>
      <c r="P2612">
        <v>161</v>
      </c>
    </row>
    <row r="2613" spans="1:16" x14ac:dyDescent="0.25">
      <c r="A2613">
        <v>821</v>
      </c>
      <c r="B2613" s="1">
        <v>40580</v>
      </c>
      <c r="C2613">
        <v>1</v>
      </c>
      <c r="D2613">
        <v>0</v>
      </c>
      <c r="E2613">
        <v>2</v>
      </c>
      <c r="F2613">
        <v>15</v>
      </c>
      <c r="G2613" t="b">
        <v>0</v>
      </c>
      <c r="H2613">
        <v>0</v>
      </c>
      <c r="I2613">
        <v>1</v>
      </c>
      <c r="J2613">
        <v>0.34</v>
      </c>
      <c r="K2613">
        <v>0.34849999999999998</v>
      </c>
      <c r="L2613">
        <v>0.46</v>
      </c>
      <c r="M2613">
        <v>8.9599999999999999E-2</v>
      </c>
      <c r="N2613">
        <v>52</v>
      </c>
      <c r="O2613">
        <v>130</v>
      </c>
      <c r="P2613">
        <v>182</v>
      </c>
    </row>
    <row r="2614" spans="1:16" x14ac:dyDescent="0.25">
      <c r="A2614">
        <v>822</v>
      </c>
      <c r="B2614" s="1">
        <v>40580</v>
      </c>
      <c r="C2614">
        <v>1</v>
      </c>
      <c r="D2614">
        <v>0</v>
      </c>
      <c r="E2614">
        <v>2</v>
      </c>
      <c r="F2614">
        <v>16</v>
      </c>
      <c r="G2614" t="b">
        <v>0</v>
      </c>
      <c r="H2614">
        <v>0</v>
      </c>
      <c r="I2614">
        <v>1</v>
      </c>
      <c r="J2614">
        <v>0.34</v>
      </c>
      <c r="K2614">
        <v>0.34849999999999998</v>
      </c>
      <c r="L2614">
        <v>0.49</v>
      </c>
      <c r="M2614">
        <v>0.1045</v>
      </c>
      <c r="N2614">
        <v>42</v>
      </c>
      <c r="O2614">
        <v>115</v>
      </c>
      <c r="P2614">
        <v>157</v>
      </c>
    </row>
    <row r="2615" spans="1:16" x14ac:dyDescent="0.25">
      <c r="A2615">
        <v>823</v>
      </c>
      <c r="B2615" s="1">
        <v>40580</v>
      </c>
      <c r="C2615">
        <v>1</v>
      </c>
      <c r="D2615">
        <v>0</v>
      </c>
      <c r="E2615">
        <v>2</v>
      </c>
      <c r="F2615">
        <v>17</v>
      </c>
      <c r="G2615" t="b">
        <v>0</v>
      </c>
      <c r="H2615">
        <v>0</v>
      </c>
      <c r="I2615">
        <v>1</v>
      </c>
      <c r="J2615">
        <v>0.34</v>
      </c>
      <c r="K2615">
        <v>0.36359999999999998</v>
      </c>
      <c r="L2615">
        <v>0.46</v>
      </c>
      <c r="M2615">
        <v>0</v>
      </c>
      <c r="N2615">
        <v>24</v>
      </c>
      <c r="O2615">
        <v>97</v>
      </c>
      <c r="P2615">
        <v>121</v>
      </c>
    </row>
    <row r="2616" spans="1:16" x14ac:dyDescent="0.25">
      <c r="A2616">
        <v>824</v>
      </c>
      <c r="B2616" s="1">
        <v>40580</v>
      </c>
      <c r="C2616">
        <v>1</v>
      </c>
      <c r="D2616">
        <v>0</v>
      </c>
      <c r="E2616">
        <v>2</v>
      </c>
      <c r="F2616">
        <v>18</v>
      </c>
      <c r="G2616" t="b">
        <v>0</v>
      </c>
      <c r="H2616">
        <v>0</v>
      </c>
      <c r="I2616">
        <v>1</v>
      </c>
      <c r="J2616">
        <v>0.3</v>
      </c>
      <c r="K2616">
        <v>0.30299999999999999</v>
      </c>
      <c r="L2616">
        <v>0.56000000000000005</v>
      </c>
      <c r="M2616">
        <v>0.16420000000000001</v>
      </c>
      <c r="N2616">
        <v>13</v>
      </c>
      <c r="O2616">
        <v>65</v>
      </c>
      <c r="P2616">
        <v>78</v>
      </c>
    </row>
    <row r="2617" spans="1:16" x14ac:dyDescent="0.25">
      <c r="A2617">
        <v>825</v>
      </c>
      <c r="B2617" s="1">
        <v>40580</v>
      </c>
      <c r="C2617">
        <v>1</v>
      </c>
      <c r="D2617">
        <v>0</v>
      </c>
      <c r="E2617">
        <v>2</v>
      </c>
      <c r="F2617">
        <v>19</v>
      </c>
      <c r="G2617" t="b">
        <v>0</v>
      </c>
      <c r="H2617">
        <v>0</v>
      </c>
      <c r="I2617">
        <v>1</v>
      </c>
      <c r="J2617">
        <v>0.28000000000000003</v>
      </c>
      <c r="K2617">
        <v>0.28789999999999999</v>
      </c>
      <c r="L2617">
        <v>0.61</v>
      </c>
      <c r="M2617">
        <v>0.1343</v>
      </c>
      <c r="N2617">
        <v>1</v>
      </c>
      <c r="O2617">
        <v>20</v>
      </c>
      <c r="P2617">
        <v>21</v>
      </c>
    </row>
    <row r="2618" spans="1:16" x14ac:dyDescent="0.25">
      <c r="A2618">
        <v>826</v>
      </c>
      <c r="B2618" s="1">
        <v>40580</v>
      </c>
      <c r="C2618">
        <v>1</v>
      </c>
      <c r="D2618">
        <v>0</v>
      </c>
      <c r="E2618">
        <v>2</v>
      </c>
      <c r="F2618">
        <v>20</v>
      </c>
      <c r="G2618" t="b">
        <v>0</v>
      </c>
      <c r="H2618">
        <v>0</v>
      </c>
      <c r="I2618">
        <v>1</v>
      </c>
      <c r="J2618">
        <v>0.28000000000000003</v>
      </c>
      <c r="K2618">
        <v>0.28789999999999999</v>
      </c>
      <c r="L2618">
        <v>0.61</v>
      </c>
      <c r="M2618">
        <v>0.1045</v>
      </c>
      <c r="N2618">
        <v>5</v>
      </c>
      <c r="O2618">
        <v>21</v>
      </c>
      <c r="P2618">
        <v>26</v>
      </c>
    </row>
    <row r="2619" spans="1:16" x14ac:dyDescent="0.25">
      <c r="A2619">
        <v>827</v>
      </c>
      <c r="B2619" s="1">
        <v>40580</v>
      </c>
      <c r="C2619">
        <v>1</v>
      </c>
      <c r="D2619">
        <v>0</v>
      </c>
      <c r="E2619">
        <v>2</v>
      </c>
      <c r="F2619">
        <v>21</v>
      </c>
      <c r="G2619" t="b">
        <v>0</v>
      </c>
      <c r="H2619">
        <v>0</v>
      </c>
      <c r="I2619">
        <v>1</v>
      </c>
      <c r="J2619">
        <v>0.26</v>
      </c>
      <c r="K2619">
        <v>0.30299999999999999</v>
      </c>
      <c r="L2619">
        <v>0.6</v>
      </c>
      <c r="M2619">
        <v>0</v>
      </c>
      <c r="N2619">
        <v>5</v>
      </c>
      <c r="O2619">
        <v>22</v>
      </c>
      <c r="P2619">
        <v>27</v>
      </c>
    </row>
    <row r="2620" spans="1:16" x14ac:dyDescent="0.25">
      <c r="A2620">
        <v>828</v>
      </c>
      <c r="B2620" s="1">
        <v>40580</v>
      </c>
      <c r="C2620">
        <v>1</v>
      </c>
      <c r="D2620">
        <v>0</v>
      </c>
      <c r="E2620">
        <v>2</v>
      </c>
      <c r="F2620">
        <v>22</v>
      </c>
      <c r="G2620" t="b">
        <v>0</v>
      </c>
      <c r="H2620">
        <v>0</v>
      </c>
      <c r="I2620">
        <v>1</v>
      </c>
      <c r="J2620">
        <v>0.26</v>
      </c>
      <c r="K2620">
        <v>0.30299999999999999</v>
      </c>
      <c r="L2620">
        <v>0.6</v>
      </c>
      <c r="M2620">
        <v>0</v>
      </c>
      <c r="N2620">
        <v>5</v>
      </c>
      <c r="O2620">
        <v>57</v>
      </c>
      <c r="P2620">
        <v>62</v>
      </c>
    </row>
    <row r="2621" spans="1:16" x14ac:dyDescent="0.25">
      <c r="A2621">
        <v>829</v>
      </c>
      <c r="B2621" s="1">
        <v>40580</v>
      </c>
      <c r="C2621">
        <v>1</v>
      </c>
      <c r="D2621">
        <v>0</v>
      </c>
      <c r="E2621">
        <v>2</v>
      </c>
      <c r="F2621">
        <v>23</v>
      </c>
      <c r="G2621" t="b">
        <v>0</v>
      </c>
      <c r="H2621">
        <v>0</v>
      </c>
      <c r="I2621">
        <v>1</v>
      </c>
      <c r="J2621">
        <v>0.24</v>
      </c>
      <c r="K2621">
        <v>0.28789999999999999</v>
      </c>
      <c r="L2621">
        <v>0.65</v>
      </c>
      <c r="M2621">
        <v>0</v>
      </c>
      <c r="N2621">
        <v>4</v>
      </c>
      <c r="O2621">
        <v>26</v>
      </c>
      <c r="P2621">
        <v>30</v>
      </c>
    </row>
    <row r="2622" spans="1:16" x14ac:dyDescent="0.25">
      <c r="A2622">
        <v>830</v>
      </c>
      <c r="B2622" s="1">
        <v>40581</v>
      </c>
      <c r="C2622">
        <v>1</v>
      </c>
      <c r="D2622">
        <v>0</v>
      </c>
      <c r="E2622">
        <v>2</v>
      </c>
      <c r="F2622">
        <v>0</v>
      </c>
      <c r="G2622" t="b">
        <v>0</v>
      </c>
      <c r="H2622">
        <v>1</v>
      </c>
      <c r="I2622">
        <v>1</v>
      </c>
      <c r="J2622">
        <v>0.24</v>
      </c>
      <c r="K2622">
        <v>0.28789999999999999</v>
      </c>
      <c r="L2622">
        <v>0.65</v>
      </c>
      <c r="M2622">
        <v>0</v>
      </c>
      <c r="N2622">
        <v>1</v>
      </c>
      <c r="O2622">
        <v>14</v>
      </c>
      <c r="P2622">
        <v>15</v>
      </c>
    </row>
    <row r="2623" spans="1:16" x14ac:dyDescent="0.25">
      <c r="A2623">
        <v>831</v>
      </c>
      <c r="B2623" s="1">
        <v>40581</v>
      </c>
      <c r="C2623">
        <v>1</v>
      </c>
      <c r="D2623">
        <v>0</v>
      </c>
      <c r="E2623">
        <v>2</v>
      </c>
      <c r="F2623">
        <v>1</v>
      </c>
      <c r="G2623" t="b">
        <v>0</v>
      </c>
      <c r="H2623">
        <v>1</v>
      </c>
      <c r="I2623">
        <v>1</v>
      </c>
      <c r="J2623">
        <v>0.22</v>
      </c>
      <c r="K2623">
        <v>0.2727</v>
      </c>
      <c r="L2623">
        <v>0.75</v>
      </c>
      <c r="M2623">
        <v>0</v>
      </c>
      <c r="N2623">
        <v>1</v>
      </c>
      <c r="O2623">
        <v>4</v>
      </c>
      <c r="P2623">
        <v>5</v>
      </c>
    </row>
    <row r="2624" spans="1:16" x14ac:dyDescent="0.25">
      <c r="A2624">
        <v>832</v>
      </c>
      <c r="B2624" s="1">
        <v>40581</v>
      </c>
      <c r="C2624">
        <v>1</v>
      </c>
      <c r="D2624">
        <v>0</v>
      </c>
      <c r="E2624">
        <v>2</v>
      </c>
      <c r="F2624">
        <v>2</v>
      </c>
      <c r="G2624" t="b">
        <v>0</v>
      </c>
      <c r="H2624">
        <v>1</v>
      </c>
      <c r="I2624">
        <v>1</v>
      </c>
      <c r="J2624">
        <v>0.2</v>
      </c>
      <c r="K2624">
        <v>0.2576</v>
      </c>
      <c r="L2624">
        <v>0.8</v>
      </c>
      <c r="M2624">
        <v>0</v>
      </c>
      <c r="N2624">
        <v>0</v>
      </c>
      <c r="O2624">
        <v>3</v>
      </c>
      <c r="P2624">
        <v>3</v>
      </c>
    </row>
    <row r="2625" spans="1:16" x14ac:dyDescent="0.25">
      <c r="A2625">
        <v>833</v>
      </c>
      <c r="B2625" s="1">
        <v>40581</v>
      </c>
      <c r="C2625">
        <v>1</v>
      </c>
      <c r="D2625">
        <v>0</v>
      </c>
      <c r="E2625">
        <v>2</v>
      </c>
      <c r="F2625">
        <v>3</v>
      </c>
      <c r="G2625" t="b">
        <v>0</v>
      </c>
      <c r="H2625">
        <v>1</v>
      </c>
      <c r="I2625">
        <v>1</v>
      </c>
      <c r="J2625">
        <v>0.2</v>
      </c>
      <c r="K2625">
        <v>0.2576</v>
      </c>
      <c r="L2625">
        <v>0.86</v>
      </c>
      <c r="M2625">
        <v>0</v>
      </c>
      <c r="N2625">
        <v>0</v>
      </c>
      <c r="O2625">
        <v>1</v>
      </c>
      <c r="P2625">
        <v>1</v>
      </c>
    </row>
    <row r="2626" spans="1:16" x14ac:dyDescent="0.25">
      <c r="A2626">
        <v>834</v>
      </c>
      <c r="B2626" s="1">
        <v>40581</v>
      </c>
      <c r="C2626">
        <v>1</v>
      </c>
      <c r="D2626">
        <v>0</v>
      </c>
      <c r="E2626">
        <v>2</v>
      </c>
      <c r="F2626">
        <v>4</v>
      </c>
      <c r="G2626" t="b">
        <v>0</v>
      </c>
      <c r="H2626">
        <v>1</v>
      </c>
      <c r="I2626">
        <v>1</v>
      </c>
      <c r="J2626">
        <v>0.2</v>
      </c>
      <c r="K2626">
        <v>0.2576</v>
      </c>
      <c r="L2626">
        <v>0.86</v>
      </c>
      <c r="M2626">
        <v>0</v>
      </c>
      <c r="N2626">
        <v>1</v>
      </c>
      <c r="O2626">
        <v>1</v>
      </c>
      <c r="P2626">
        <v>2</v>
      </c>
    </row>
    <row r="2627" spans="1:16" x14ac:dyDescent="0.25">
      <c r="A2627">
        <v>835</v>
      </c>
      <c r="B2627" s="1">
        <v>40581</v>
      </c>
      <c r="C2627">
        <v>1</v>
      </c>
      <c r="D2627">
        <v>0</v>
      </c>
      <c r="E2627">
        <v>2</v>
      </c>
      <c r="F2627">
        <v>5</v>
      </c>
      <c r="G2627" t="b">
        <v>0</v>
      </c>
      <c r="H2627">
        <v>1</v>
      </c>
      <c r="I2627">
        <v>1</v>
      </c>
      <c r="J2627">
        <v>0.2</v>
      </c>
      <c r="K2627">
        <v>0.2576</v>
      </c>
      <c r="L2627">
        <v>0.86</v>
      </c>
      <c r="M2627">
        <v>0</v>
      </c>
      <c r="N2627">
        <v>1</v>
      </c>
      <c r="O2627">
        <v>9</v>
      </c>
      <c r="P2627">
        <v>10</v>
      </c>
    </row>
    <row r="2628" spans="1:16" x14ac:dyDescent="0.25">
      <c r="A2628">
        <v>836</v>
      </c>
      <c r="B2628" s="1">
        <v>40581</v>
      </c>
      <c r="C2628">
        <v>1</v>
      </c>
      <c r="D2628">
        <v>0</v>
      </c>
      <c r="E2628">
        <v>2</v>
      </c>
      <c r="F2628">
        <v>6</v>
      </c>
      <c r="G2628" t="b">
        <v>0</v>
      </c>
      <c r="H2628">
        <v>1</v>
      </c>
      <c r="I2628">
        <v>1</v>
      </c>
      <c r="J2628">
        <v>0.18</v>
      </c>
      <c r="K2628">
        <v>0.2424</v>
      </c>
      <c r="L2628">
        <v>0.93</v>
      </c>
      <c r="M2628">
        <v>0</v>
      </c>
      <c r="N2628">
        <v>1</v>
      </c>
      <c r="O2628">
        <v>29</v>
      </c>
      <c r="P2628">
        <v>30</v>
      </c>
    </row>
    <row r="2629" spans="1:16" x14ac:dyDescent="0.25">
      <c r="A2629">
        <v>837</v>
      </c>
      <c r="B2629" s="1">
        <v>40581</v>
      </c>
      <c r="C2629">
        <v>1</v>
      </c>
      <c r="D2629">
        <v>0</v>
      </c>
      <c r="E2629">
        <v>2</v>
      </c>
      <c r="F2629">
        <v>7</v>
      </c>
      <c r="G2629" t="b">
        <v>0</v>
      </c>
      <c r="H2629">
        <v>1</v>
      </c>
      <c r="I2629">
        <v>1</v>
      </c>
      <c r="J2629">
        <v>0.18</v>
      </c>
      <c r="K2629">
        <v>0.2424</v>
      </c>
      <c r="L2629">
        <v>0.86</v>
      </c>
      <c r="M2629">
        <v>0</v>
      </c>
      <c r="N2629">
        <v>6</v>
      </c>
      <c r="O2629">
        <v>89</v>
      </c>
      <c r="P2629">
        <v>95</v>
      </c>
    </row>
    <row r="2630" spans="1:16" x14ac:dyDescent="0.25">
      <c r="A2630">
        <v>838</v>
      </c>
      <c r="B2630" s="1">
        <v>40581</v>
      </c>
      <c r="C2630">
        <v>1</v>
      </c>
      <c r="D2630">
        <v>0</v>
      </c>
      <c r="E2630">
        <v>2</v>
      </c>
      <c r="F2630">
        <v>8</v>
      </c>
      <c r="G2630" t="b">
        <v>0</v>
      </c>
      <c r="H2630">
        <v>1</v>
      </c>
      <c r="I2630">
        <v>2</v>
      </c>
      <c r="J2630">
        <v>0.16</v>
      </c>
      <c r="K2630">
        <v>0.2273</v>
      </c>
      <c r="L2630">
        <v>1</v>
      </c>
      <c r="M2630">
        <v>0</v>
      </c>
      <c r="N2630">
        <v>7</v>
      </c>
      <c r="O2630">
        <v>223</v>
      </c>
      <c r="P2630">
        <v>230</v>
      </c>
    </row>
    <row r="2631" spans="1:16" x14ac:dyDescent="0.25">
      <c r="A2631">
        <v>839</v>
      </c>
      <c r="B2631" s="1">
        <v>40581</v>
      </c>
      <c r="C2631">
        <v>1</v>
      </c>
      <c r="D2631">
        <v>0</v>
      </c>
      <c r="E2631">
        <v>2</v>
      </c>
      <c r="F2631">
        <v>9</v>
      </c>
      <c r="G2631" t="b">
        <v>0</v>
      </c>
      <c r="H2631">
        <v>1</v>
      </c>
      <c r="I2631">
        <v>1</v>
      </c>
      <c r="J2631">
        <v>0.22</v>
      </c>
      <c r="K2631">
        <v>0.2727</v>
      </c>
      <c r="L2631">
        <v>0.8</v>
      </c>
      <c r="M2631">
        <v>0</v>
      </c>
      <c r="N2631">
        <v>3</v>
      </c>
      <c r="O2631">
        <v>115</v>
      </c>
      <c r="P2631">
        <v>118</v>
      </c>
    </row>
    <row r="2632" spans="1:16" x14ac:dyDescent="0.25">
      <c r="A2632">
        <v>840</v>
      </c>
      <c r="B2632" s="1">
        <v>40581</v>
      </c>
      <c r="C2632">
        <v>1</v>
      </c>
      <c r="D2632">
        <v>0</v>
      </c>
      <c r="E2632">
        <v>2</v>
      </c>
      <c r="F2632">
        <v>10</v>
      </c>
      <c r="G2632" t="b">
        <v>0</v>
      </c>
      <c r="H2632">
        <v>1</v>
      </c>
      <c r="I2632">
        <v>1</v>
      </c>
      <c r="J2632">
        <v>0.24</v>
      </c>
      <c r="K2632">
        <v>0.2576</v>
      </c>
      <c r="L2632">
        <v>0.75</v>
      </c>
      <c r="M2632">
        <v>0.1045</v>
      </c>
      <c r="N2632">
        <v>6</v>
      </c>
      <c r="O2632">
        <v>49</v>
      </c>
      <c r="P2632">
        <v>55</v>
      </c>
    </row>
    <row r="2633" spans="1:16" x14ac:dyDescent="0.25">
      <c r="A2633">
        <v>841</v>
      </c>
      <c r="B2633" s="1">
        <v>40581</v>
      </c>
      <c r="C2633">
        <v>1</v>
      </c>
      <c r="D2633">
        <v>0</v>
      </c>
      <c r="E2633">
        <v>2</v>
      </c>
      <c r="F2633">
        <v>11</v>
      </c>
      <c r="G2633" t="b">
        <v>0</v>
      </c>
      <c r="H2633">
        <v>1</v>
      </c>
      <c r="I2633">
        <v>1</v>
      </c>
      <c r="J2633">
        <v>0.3</v>
      </c>
      <c r="K2633">
        <v>0.31819999999999998</v>
      </c>
      <c r="L2633">
        <v>0.65</v>
      </c>
      <c r="M2633">
        <v>8.9599999999999999E-2</v>
      </c>
      <c r="N2633">
        <v>11</v>
      </c>
      <c r="O2633">
        <v>36</v>
      </c>
      <c r="P2633">
        <v>47</v>
      </c>
    </row>
    <row r="2634" spans="1:16" x14ac:dyDescent="0.25">
      <c r="A2634">
        <v>842</v>
      </c>
      <c r="B2634" s="1">
        <v>40581</v>
      </c>
      <c r="C2634">
        <v>1</v>
      </c>
      <c r="D2634">
        <v>0</v>
      </c>
      <c r="E2634">
        <v>2</v>
      </c>
      <c r="F2634">
        <v>12</v>
      </c>
      <c r="G2634" t="b">
        <v>0</v>
      </c>
      <c r="H2634">
        <v>1</v>
      </c>
      <c r="I2634">
        <v>2</v>
      </c>
      <c r="J2634">
        <v>0.32</v>
      </c>
      <c r="K2634">
        <v>0.34849999999999998</v>
      </c>
      <c r="L2634">
        <v>0.62</v>
      </c>
      <c r="M2634">
        <v>0</v>
      </c>
      <c r="N2634">
        <v>7</v>
      </c>
      <c r="O2634">
        <v>59</v>
      </c>
      <c r="P2634">
        <v>66</v>
      </c>
    </row>
    <row r="2635" spans="1:16" x14ac:dyDescent="0.25">
      <c r="A2635">
        <v>843</v>
      </c>
      <c r="B2635" s="1">
        <v>40581</v>
      </c>
      <c r="C2635">
        <v>1</v>
      </c>
      <c r="D2635">
        <v>0</v>
      </c>
      <c r="E2635">
        <v>2</v>
      </c>
      <c r="F2635">
        <v>13</v>
      </c>
      <c r="G2635" t="b">
        <v>0</v>
      </c>
      <c r="H2635">
        <v>1</v>
      </c>
      <c r="I2635">
        <v>2</v>
      </c>
      <c r="J2635">
        <v>0.36</v>
      </c>
      <c r="K2635">
        <v>0.36359999999999998</v>
      </c>
      <c r="L2635">
        <v>0.56999999999999995</v>
      </c>
      <c r="M2635">
        <v>8.9599999999999999E-2</v>
      </c>
      <c r="N2635">
        <v>10</v>
      </c>
      <c r="O2635">
        <v>54</v>
      </c>
      <c r="P2635">
        <v>64</v>
      </c>
    </row>
    <row r="2636" spans="1:16" x14ac:dyDescent="0.25">
      <c r="A2636">
        <v>844</v>
      </c>
      <c r="B2636" s="1">
        <v>40581</v>
      </c>
      <c r="C2636">
        <v>1</v>
      </c>
      <c r="D2636">
        <v>0</v>
      </c>
      <c r="E2636">
        <v>2</v>
      </c>
      <c r="F2636">
        <v>14</v>
      </c>
      <c r="G2636" t="b">
        <v>0</v>
      </c>
      <c r="H2636">
        <v>1</v>
      </c>
      <c r="I2636">
        <v>2</v>
      </c>
      <c r="J2636">
        <v>0.36</v>
      </c>
      <c r="K2636">
        <v>0.36359999999999998</v>
      </c>
      <c r="L2636">
        <v>0.56999999999999995</v>
      </c>
      <c r="M2636">
        <v>8.9599999999999999E-2</v>
      </c>
      <c r="N2636">
        <v>8</v>
      </c>
      <c r="O2636">
        <v>52</v>
      </c>
      <c r="P2636">
        <v>60</v>
      </c>
    </row>
    <row r="2637" spans="1:16" x14ac:dyDescent="0.25">
      <c r="A2637">
        <v>845</v>
      </c>
      <c r="B2637" s="1">
        <v>40581</v>
      </c>
      <c r="C2637">
        <v>1</v>
      </c>
      <c r="D2637">
        <v>0</v>
      </c>
      <c r="E2637">
        <v>2</v>
      </c>
      <c r="F2637">
        <v>15</v>
      </c>
      <c r="G2637" t="b">
        <v>0</v>
      </c>
      <c r="H2637">
        <v>1</v>
      </c>
      <c r="I2637">
        <v>2</v>
      </c>
      <c r="J2637">
        <v>0.38</v>
      </c>
      <c r="K2637">
        <v>0.39389999999999997</v>
      </c>
      <c r="L2637">
        <v>0.54</v>
      </c>
      <c r="M2637">
        <v>8.9599999999999999E-2</v>
      </c>
      <c r="N2637">
        <v>4</v>
      </c>
      <c r="O2637">
        <v>46</v>
      </c>
      <c r="P2637">
        <v>50</v>
      </c>
    </row>
    <row r="2638" spans="1:16" x14ac:dyDescent="0.25">
      <c r="A2638">
        <v>846</v>
      </c>
      <c r="B2638" s="1">
        <v>40581</v>
      </c>
      <c r="C2638">
        <v>1</v>
      </c>
      <c r="D2638">
        <v>0</v>
      </c>
      <c r="E2638">
        <v>2</v>
      </c>
      <c r="F2638">
        <v>16</v>
      </c>
      <c r="G2638" t="b">
        <v>0</v>
      </c>
      <c r="H2638">
        <v>1</v>
      </c>
      <c r="I2638">
        <v>2</v>
      </c>
      <c r="J2638">
        <v>0.36</v>
      </c>
      <c r="K2638">
        <v>0.34849999999999998</v>
      </c>
      <c r="L2638">
        <v>0.56999999999999995</v>
      </c>
      <c r="M2638">
        <v>0.1343</v>
      </c>
      <c r="N2638">
        <v>16</v>
      </c>
      <c r="O2638">
        <v>98</v>
      </c>
      <c r="P2638">
        <v>114</v>
      </c>
    </row>
    <row r="2639" spans="1:16" x14ac:dyDescent="0.25">
      <c r="A2639">
        <v>847</v>
      </c>
      <c r="B2639" s="1">
        <v>40581</v>
      </c>
      <c r="C2639">
        <v>1</v>
      </c>
      <c r="D2639">
        <v>0</v>
      </c>
      <c r="E2639">
        <v>2</v>
      </c>
      <c r="F2639">
        <v>17</v>
      </c>
      <c r="G2639" t="b">
        <v>0</v>
      </c>
      <c r="H2639">
        <v>1</v>
      </c>
      <c r="I2639">
        <v>2</v>
      </c>
      <c r="J2639">
        <v>0.32</v>
      </c>
      <c r="K2639">
        <v>0.31819999999999998</v>
      </c>
      <c r="L2639">
        <v>0.7</v>
      </c>
      <c r="M2639">
        <v>0.16420000000000001</v>
      </c>
      <c r="N2639">
        <v>9</v>
      </c>
      <c r="O2639">
        <v>207</v>
      </c>
      <c r="P2639">
        <v>216</v>
      </c>
    </row>
    <row r="2640" spans="1:16" x14ac:dyDescent="0.25">
      <c r="A2640">
        <v>848</v>
      </c>
      <c r="B2640" s="1">
        <v>40581</v>
      </c>
      <c r="C2640">
        <v>1</v>
      </c>
      <c r="D2640">
        <v>0</v>
      </c>
      <c r="E2640">
        <v>2</v>
      </c>
      <c r="F2640">
        <v>18</v>
      </c>
      <c r="G2640" t="b">
        <v>0</v>
      </c>
      <c r="H2640">
        <v>1</v>
      </c>
      <c r="I2640">
        <v>2</v>
      </c>
      <c r="J2640">
        <v>0.34</v>
      </c>
      <c r="K2640">
        <v>0.33329999999999999</v>
      </c>
      <c r="L2640">
        <v>0.66</v>
      </c>
      <c r="M2640">
        <v>0.1343</v>
      </c>
      <c r="N2640">
        <v>5</v>
      </c>
      <c r="O2640">
        <v>170</v>
      </c>
      <c r="P2640">
        <v>175</v>
      </c>
    </row>
    <row r="2641" spans="1:16" x14ac:dyDescent="0.25">
      <c r="A2641">
        <v>849</v>
      </c>
      <c r="B2641" s="1">
        <v>40581</v>
      </c>
      <c r="C2641">
        <v>1</v>
      </c>
      <c r="D2641">
        <v>0</v>
      </c>
      <c r="E2641">
        <v>2</v>
      </c>
      <c r="F2641">
        <v>19</v>
      </c>
      <c r="G2641" t="b">
        <v>0</v>
      </c>
      <c r="H2641">
        <v>1</v>
      </c>
      <c r="I2641">
        <v>2</v>
      </c>
      <c r="J2641">
        <v>0.32</v>
      </c>
      <c r="K2641">
        <v>0.34849999999999998</v>
      </c>
      <c r="L2641">
        <v>0.7</v>
      </c>
      <c r="M2641">
        <v>0</v>
      </c>
      <c r="N2641">
        <v>5</v>
      </c>
      <c r="O2641">
        <v>123</v>
      </c>
      <c r="P2641">
        <v>128</v>
      </c>
    </row>
    <row r="2642" spans="1:16" x14ac:dyDescent="0.25">
      <c r="A2642">
        <v>850</v>
      </c>
      <c r="B2642" s="1">
        <v>40581</v>
      </c>
      <c r="C2642">
        <v>1</v>
      </c>
      <c r="D2642">
        <v>0</v>
      </c>
      <c r="E2642">
        <v>2</v>
      </c>
      <c r="F2642">
        <v>20</v>
      </c>
      <c r="G2642" t="b">
        <v>0</v>
      </c>
      <c r="H2642">
        <v>1</v>
      </c>
      <c r="I2642">
        <v>2</v>
      </c>
      <c r="J2642">
        <v>0.32</v>
      </c>
      <c r="K2642">
        <v>0.33329999999999999</v>
      </c>
      <c r="L2642">
        <v>0.7</v>
      </c>
      <c r="M2642">
        <v>0.1045</v>
      </c>
      <c r="N2642">
        <v>6</v>
      </c>
      <c r="O2642">
        <v>82</v>
      </c>
      <c r="P2642">
        <v>88</v>
      </c>
    </row>
    <row r="2643" spans="1:16" x14ac:dyDescent="0.25">
      <c r="A2643">
        <v>851</v>
      </c>
      <c r="B2643" s="1">
        <v>40581</v>
      </c>
      <c r="C2643">
        <v>1</v>
      </c>
      <c r="D2643">
        <v>0</v>
      </c>
      <c r="E2643">
        <v>2</v>
      </c>
      <c r="F2643">
        <v>21</v>
      </c>
      <c r="G2643" t="b">
        <v>0</v>
      </c>
      <c r="H2643">
        <v>1</v>
      </c>
      <c r="I2643">
        <v>1</v>
      </c>
      <c r="J2643">
        <v>0.32</v>
      </c>
      <c r="K2643">
        <v>0.34849999999999998</v>
      </c>
      <c r="L2643">
        <v>0.7</v>
      </c>
      <c r="M2643">
        <v>0</v>
      </c>
      <c r="N2643">
        <v>3</v>
      </c>
      <c r="O2643">
        <v>75</v>
      </c>
      <c r="P2643">
        <v>78</v>
      </c>
    </row>
    <row r="2644" spans="1:16" x14ac:dyDescent="0.25">
      <c r="A2644">
        <v>852</v>
      </c>
      <c r="B2644" s="1">
        <v>40581</v>
      </c>
      <c r="C2644">
        <v>1</v>
      </c>
      <c r="D2644">
        <v>0</v>
      </c>
      <c r="E2644">
        <v>2</v>
      </c>
      <c r="F2644">
        <v>22</v>
      </c>
      <c r="G2644" t="b">
        <v>0</v>
      </c>
      <c r="H2644">
        <v>1</v>
      </c>
      <c r="I2644">
        <v>1</v>
      </c>
      <c r="J2644">
        <v>0.28000000000000003</v>
      </c>
      <c r="K2644">
        <v>0.30299999999999999</v>
      </c>
      <c r="L2644">
        <v>0.81</v>
      </c>
      <c r="M2644">
        <v>8.9599999999999999E-2</v>
      </c>
      <c r="N2644">
        <v>3</v>
      </c>
      <c r="O2644">
        <v>34</v>
      </c>
      <c r="P2644">
        <v>37</v>
      </c>
    </row>
    <row r="2645" spans="1:16" x14ac:dyDescent="0.25">
      <c r="A2645">
        <v>853</v>
      </c>
      <c r="B2645" s="1">
        <v>40581</v>
      </c>
      <c r="C2645">
        <v>1</v>
      </c>
      <c r="D2645">
        <v>0</v>
      </c>
      <c r="E2645">
        <v>2</v>
      </c>
      <c r="F2645">
        <v>23</v>
      </c>
      <c r="G2645" t="b">
        <v>0</v>
      </c>
      <c r="H2645">
        <v>1</v>
      </c>
      <c r="I2645">
        <v>2</v>
      </c>
      <c r="J2645">
        <v>0.3</v>
      </c>
      <c r="K2645">
        <v>0.33329999999999999</v>
      </c>
      <c r="L2645">
        <v>0.81</v>
      </c>
      <c r="M2645">
        <v>0</v>
      </c>
      <c r="N2645">
        <v>6</v>
      </c>
      <c r="O2645">
        <v>19</v>
      </c>
      <c r="P2645">
        <v>25</v>
      </c>
    </row>
    <row r="2646" spans="1:16" x14ac:dyDescent="0.25">
      <c r="A2646">
        <v>854</v>
      </c>
      <c r="B2646" s="1">
        <v>40582</v>
      </c>
      <c r="C2646">
        <v>1</v>
      </c>
      <c r="D2646">
        <v>0</v>
      </c>
      <c r="E2646">
        <v>2</v>
      </c>
      <c r="F2646">
        <v>0</v>
      </c>
      <c r="G2646" t="b">
        <v>0</v>
      </c>
      <c r="H2646">
        <v>2</v>
      </c>
      <c r="I2646">
        <v>2</v>
      </c>
      <c r="J2646">
        <v>0.28000000000000003</v>
      </c>
      <c r="K2646">
        <v>0.31819999999999998</v>
      </c>
      <c r="L2646">
        <v>0.87</v>
      </c>
      <c r="M2646">
        <v>0</v>
      </c>
      <c r="N2646">
        <v>4</v>
      </c>
      <c r="O2646">
        <v>6</v>
      </c>
      <c r="P2646">
        <v>10</v>
      </c>
    </row>
    <row r="2647" spans="1:16" x14ac:dyDescent="0.25">
      <c r="A2647">
        <v>855</v>
      </c>
      <c r="B2647" s="1">
        <v>40582</v>
      </c>
      <c r="C2647">
        <v>1</v>
      </c>
      <c r="D2647">
        <v>0</v>
      </c>
      <c r="E2647">
        <v>2</v>
      </c>
      <c r="F2647">
        <v>1</v>
      </c>
      <c r="G2647" t="b">
        <v>0</v>
      </c>
      <c r="H2647">
        <v>2</v>
      </c>
      <c r="I2647">
        <v>2</v>
      </c>
      <c r="J2647">
        <v>0.28000000000000003</v>
      </c>
      <c r="K2647">
        <v>0.31819999999999998</v>
      </c>
      <c r="L2647">
        <v>0.87</v>
      </c>
      <c r="M2647">
        <v>0</v>
      </c>
      <c r="N2647">
        <v>0</v>
      </c>
      <c r="O2647">
        <v>4</v>
      </c>
      <c r="P2647">
        <v>4</v>
      </c>
    </row>
    <row r="2648" spans="1:16" x14ac:dyDescent="0.25">
      <c r="A2648">
        <v>856</v>
      </c>
      <c r="B2648" s="1">
        <v>40582</v>
      </c>
      <c r="C2648">
        <v>1</v>
      </c>
      <c r="D2648">
        <v>0</v>
      </c>
      <c r="E2648">
        <v>2</v>
      </c>
      <c r="F2648">
        <v>2</v>
      </c>
      <c r="G2648" t="b">
        <v>0</v>
      </c>
      <c r="H2648">
        <v>2</v>
      </c>
      <c r="I2648">
        <v>2</v>
      </c>
      <c r="J2648">
        <v>0.26</v>
      </c>
      <c r="K2648">
        <v>0.2727</v>
      </c>
      <c r="L2648">
        <v>0.93</v>
      </c>
      <c r="M2648">
        <v>0.1045</v>
      </c>
      <c r="N2648">
        <v>1</v>
      </c>
      <c r="O2648">
        <v>1</v>
      </c>
      <c r="P2648">
        <v>2</v>
      </c>
    </row>
    <row r="2649" spans="1:16" x14ac:dyDescent="0.25">
      <c r="A2649">
        <v>857</v>
      </c>
      <c r="B2649" s="1">
        <v>40582</v>
      </c>
      <c r="C2649">
        <v>1</v>
      </c>
      <c r="D2649">
        <v>0</v>
      </c>
      <c r="E2649">
        <v>2</v>
      </c>
      <c r="F2649">
        <v>3</v>
      </c>
      <c r="G2649" t="b">
        <v>0</v>
      </c>
      <c r="H2649">
        <v>2</v>
      </c>
      <c r="I2649">
        <v>3</v>
      </c>
      <c r="J2649">
        <v>0.28000000000000003</v>
      </c>
      <c r="K2649">
        <v>0.2727</v>
      </c>
      <c r="L2649">
        <v>0.93</v>
      </c>
      <c r="M2649">
        <v>0.16420000000000001</v>
      </c>
      <c r="N2649">
        <v>0</v>
      </c>
      <c r="O2649">
        <v>1</v>
      </c>
      <c r="P2649">
        <v>1</v>
      </c>
    </row>
    <row r="2650" spans="1:16" x14ac:dyDescent="0.25">
      <c r="A2650">
        <v>858</v>
      </c>
      <c r="B2650" s="1">
        <v>40582</v>
      </c>
      <c r="C2650">
        <v>1</v>
      </c>
      <c r="D2650">
        <v>0</v>
      </c>
      <c r="E2650">
        <v>2</v>
      </c>
      <c r="F2650">
        <v>4</v>
      </c>
      <c r="G2650" t="b">
        <v>0</v>
      </c>
      <c r="H2650">
        <v>2</v>
      </c>
      <c r="I2650">
        <v>1</v>
      </c>
      <c r="J2650">
        <v>0.26</v>
      </c>
      <c r="K2650">
        <v>0.2576</v>
      </c>
      <c r="L2650">
        <v>0.93</v>
      </c>
      <c r="M2650">
        <v>0.16420000000000001</v>
      </c>
      <c r="N2650">
        <v>0</v>
      </c>
      <c r="O2650">
        <v>3</v>
      </c>
      <c r="P2650">
        <v>3</v>
      </c>
    </row>
    <row r="2651" spans="1:16" x14ac:dyDescent="0.25">
      <c r="A2651">
        <v>859</v>
      </c>
      <c r="B2651" s="1">
        <v>40582</v>
      </c>
      <c r="C2651">
        <v>1</v>
      </c>
      <c r="D2651">
        <v>0</v>
      </c>
      <c r="E2651">
        <v>2</v>
      </c>
      <c r="F2651">
        <v>5</v>
      </c>
      <c r="G2651" t="b">
        <v>0</v>
      </c>
      <c r="H2651">
        <v>2</v>
      </c>
      <c r="I2651">
        <v>1</v>
      </c>
      <c r="J2651">
        <v>0.26</v>
      </c>
      <c r="K2651">
        <v>0.2273</v>
      </c>
      <c r="L2651">
        <v>0.81</v>
      </c>
      <c r="M2651">
        <v>0.32840000000000003</v>
      </c>
      <c r="N2651">
        <v>0</v>
      </c>
      <c r="O2651">
        <v>2</v>
      </c>
      <c r="P2651">
        <v>2</v>
      </c>
    </row>
    <row r="2652" spans="1:16" x14ac:dyDescent="0.25">
      <c r="A2652">
        <v>860</v>
      </c>
      <c r="B2652" s="1">
        <v>40582</v>
      </c>
      <c r="C2652">
        <v>1</v>
      </c>
      <c r="D2652">
        <v>0</v>
      </c>
      <c r="E2652">
        <v>2</v>
      </c>
      <c r="F2652">
        <v>6</v>
      </c>
      <c r="G2652" t="b">
        <v>0</v>
      </c>
      <c r="H2652">
        <v>2</v>
      </c>
      <c r="I2652">
        <v>1</v>
      </c>
      <c r="J2652">
        <v>0.26</v>
      </c>
      <c r="K2652">
        <v>0.2273</v>
      </c>
      <c r="L2652">
        <v>0.7</v>
      </c>
      <c r="M2652">
        <v>0.32840000000000003</v>
      </c>
      <c r="N2652">
        <v>0</v>
      </c>
      <c r="O2652">
        <v>39</v>
      </c>
      <c r="P2652">
        <v>39</v>
      </c>
    </row>
    <row r="2653" spans="1:16" x14ac:dyDescent="0.25">
      <c r="A2653">
        <v>861</v>
      </c>
      <c r="B2653" s="1">
        <v>40582</v>
      </c>
      <c r="C2653">
        <v>1</v>
      </c>
      <c r="D2653">
        <v>0</v>
      </c>
      <c r="E2653">
        <v>2</v>
      </c>
      <c r="F2653">
        <v>7</v>
      </c>
      <c r="G2653" t="b">
        <v>0</v>
      </c>
      <c r="H2653">
        <v>2</v>
      </c>
      <c r="I2653">
        <v>1</v>
      </c>
      <c r="J2653">
        <v>0.24</v>
      </c>
      <c r="K2653">
        <v>0.19700000000000001</v>
      </c>
      <c r="L2653">
        <v>0.65</v>
      </c>
      <c r="M2653">
        <v>0.41789999999999999</v>
      </c>
      <c r="N2653">
        <v>3</v>
      </c>
      <c r="O2653">
        <v>97</v>
      </c>
      <c r="P2653">
        <v>100</v>
      </c>
    </row>
    <row r="2654" spans="1:16" x14ac:dyDescent="0.25">
      <c r="A2654">
        <v>862</v>
      </c>
      <c r="B2654" s="1">
        <v>40582</v>
      </c>
      <c r="C2654">
        <v>1</v>
      </c>
      <c r="D2654">
        <v>0</v>
      </c>
      <c r="E2654">
        <v>2</v>
      </c>
      <c r="F2654">
        <v>8</v>
      </c>
      <c r="G2654" t="b">
        <v>0</v>
      </c>
      <c r="H2654">
        <v>2</v>
      </c>
      <c r="I2654">
        <v>1</v>
      </c>
      <c r="J2654">
        <v>0.24</v>
      </c>
      <c r="K2654">
        <v>0.19700000000000001</v>
      </c>
      <c r="L2654">
        <v>0.56000000000000005</v>
      </c>
      <c r="M2654">
        <v>0.49249999999999999</v>
      </c>
      <c r="N2654">
        <v>7</v>
      </c>
      <c r="O2654">
        <v>236</v>
      </c>
      <c r="P2654">
        <v>243</v>
      </c>
    </row>
    <row r="2655" spans="1:16" x14ac:dyDescent="0.25">
      <c r="A2655">
        <v>863</v>
      </c>
      <c r="B2655" s="1">
        <v>40582</v>
      </c>
      <c r="C2655">
        <v>1</v>
      </c>
      <c r="D2655">
        <v>0</v>
      </c>
      <c r="E2655">
        <v>2</v>
      </c>
      <c r="F2655">
        <v>9</v>
      </c>
      <c r="G2655" t="b">
        <v>0</v>
      </c>
      <c r="H2655">
        <v>2</v>
      </c>
      <c r="I2655">
        <v>1</v>
      </c>
      <c r="J2655">
        <v>0.24</v>
      </c>
      <c r="K2655">
        <v>0.19700000000000001</v>
      </c>
      <c r="L2655">
        <v>0.52</v>
      </c>
      <c r="M2655">
        <v>0.49249999999999999</v>
      </c>
      <c r="N2655">
        <v>7</v>
      </c>
      <c r="O2655">
        <v>128</v>
      </c>
      <c r="P2655">
        <v>135</v>
      </c>
    </row>
    <row r="2656" spans="1:16" x14ac:dyDescent="0.25">
      <c r="A2656">
        <v>864</v>
      </c>
      <c r="B2656" s="1">
        <v>40582</v>
      </c>
      <c r="C2656">
        <v>1</v>
      </c>
      <c r="D2656">
        <v>0</v>
      </c>
      <c r="E2656">
        <v>2</v>
      </c>
      <c r="F2656">
        <v>10</v>
      </c>
      <c r="G2656" t="b">
        <v>0</v>
      </c>
      <c r="H2656">
        <v>2</v>
      </c>
      <c r="I2656">
        <v>1</v>
      </c>
      <c r="J2656">
        <v>0.22</v>
      </c>
      <c r="K2656">
        <v>0.18179999999999999</v>
      </c>
      <c r="L2656">
        <v>0.47</v>
      </c>
      <c r="M2656">
        <v>0.55220000000000002</v>
      </c>
      <c r="N2656">
        <v>4</v>
      </c>
      <c r="O2656">
        <v>44</v>
      </c>
      <c r="P2656">
        <v>48</v>
      </c>
    </row>
    <row r="2657" spans="1:16" x14ac:dyDescent="0.25">
      <c r="A2657">
        <v>865</v>
      </c>
      <c r="B2657" s="1">
        <v>40582</v>
      </c>
      <c r="C2657">
        <v>1</v>
      </c>
      <c r="D2657">
        <v>0</v>
      </c>
      <c r="E2657">
        <v>2</v>
      </c>
      <c r="F2657">
        <v>11</v>
      </c>
      <c r="G2657" t="b">
        <v>0</v>
      </c>
      <c r="H2657">
        <v>2</v>
      </c>
      <c r="I2657">
        <v>1</v>
      </c>
      <c r="J2657">
        <v>0.22</v>
      </c>
      <c r="K2657">
        <v>0.18179999999999999</v>
      </c>
      <c r="L2657">
        <v>0.47</v>
      </c>
      <c r="M2657">
        <v>0.4627</v>
      </c>
      <c r="N2657">
        <v>1</v>
      </c>
      <c r="O2657">
        <v>49</v>
      </c>
      <c r="P2657">
        <v>50</v>
      </c>
    </row>
    <row r="2658" spans="1:16" x14ac:dyDescent="0.25">
      <c r="A2658">
        <v>866</v>
      </c>
      <c r="B2658" s="1">
        <v>40582</v>
      </c>
      <c r="C2658">
        <v>1</v>
      </c>
      <c r="D2658">
        <v>0</v>
      </c>
      <c r="E2658">
        <v>2</v>
      </c>
      <c r="F2658">
        <v>12</v>
      </c>
      <c r="G2658" t="b">
        <v>0</v>
      </c>
      <c r="H2658">
        <v>2</v>
      </c>
      <c r="I2658">
        <v>1</v>
      </c>
      <c r="J2658">
        <v>0.24</v>
      </c>
      <c r="K2658">
        <v>0.19700000000000001</v>
      </c>
      <c r="L2658">
        <v>0.38</v>
      </c>
      <c r="M2658">
        <v>0.49249999999999999</v>
      </c>
      <c r="N2658">
        <v>2</v>
      </c>
      <c r="O2658">
        <v>63</v>
      </c>
      <c r="P2658">
        <v>65</v>
      </c>
    </row>
    <row r="2659" spans="1:16" x14ac:dyDescent="0.25">
      <c r="A2659">
        <v>867</v>
      </c>
      <c r="B2659" s="1">
        <v>40582</v>
      </c>
      <c r="C2659">
        <v>1</v>
      </c>
      <c r="D2659">
        <v>0</v>
      </c>
      <c r="E2659">
        <v>2</v>
      </c>
      <c r="F2659">
        <v>13</v>
      </c>
      <c r="G2659" t="b">
        <v>0</v>
      </c>
      <c r="H2659">
        <v>2</v>
      </c>
      <c r="I2659">
        <v>2</v>
      </c>
      <c r="J2659">
        <v>0.24</v>
      </c>
      <c r="K2659">
        <v>0.19700000000000001</v>
      </c>
      <c r="L2659">
        <v>0.32</v>
      </c>
      <c r="M2659">
        <v>0.44779999999999998</v>
      </c>
      <c r="N2659">
        <v>2</v>
      </c>
      <c r="O2659">
        <v>48</v>
      </c>
      <c r="P2659">
        <v>50</v>
      </c>
    </row>
    <row r="2660" spans="1:16" x14ac:dyDescent="0.25">
      <c r="A2660">
        <v>868</v>
      </c>
      <c r="B2660" s="1">
        <v>40582</v>
      </c>
      <c r="C2660">
        <v>1</v>
      </c>
      <c r="D2660">
        <v>0</v>
      </c>
      <c r="E2660">
        <v>2</v>
      </c>
      <c r="F2660">
        <v>14</v>
      </c>
      <c r="G2660" t="b">
        <v>0</v>
      </c>
      <c r="H2660">
        <v>2</v>
      </c>
      <c r="I2660">
        <v>1</v>
      </c>
      <c r="J2660">
        <v>0.22</v>
      </c>
      <c r="K2660">
        <v>0.19700000000000001</v>
      </c>
      <c r="L2660">
        <v>0.37</v>
      </c>
      <c r="M2660">
        <v>0.41789999999999999</v>
      </c>
      <c r="N2660">
        <v>3</v>
      </c>
      <c r="O2660">
        <v>61</v>
      </c>
      <c r="P2660">
        <v>64</v>
      </c>
    </row>
    <row r="2661" spans="1:16" x14ac:dyDescent="0.25">
      <c r="A2661">
        <v>869</v>
      </c>
      <c r="B2661" s="1">
        <v>40582</v>
      </c>
      <c r="C2661">
        <v>1</v>
      </c>
      <c r="D2661">
        <v>0</v>
      </c>
      <c r="E2661">
        <v>2</v>
      </c>
      <c r="F2661">
        <v>15</v>
      </c>
      <c r="G2661" t="b">
        <v>0</v>
      </c>
      <c r="H2661">
        <v>2</v>
      </c>
      <c r="I2661">
        <v>1</v>
      </c>
      <c r="J2661">
        <v>0.22</v>
      </c>
      <c r="K2661">
        <v>0.19700000000000001</v>
      </c>
      <c r="L2661">
        <v>0.35</v>
      </c>
      <c r="M2661">
        <v>0.3881</v>
      </c>
      <c r="N2661">
        <v>6</v>
      </c>
      <c r="O2661">
        <v>45</v>
      </c>
      <c r="P2661">
        <v>51</v>
      </c>
    </row>
    <row r="2662" spans="1:16" x14ac:dyDescent="0.25">
      <c r="A2662">
        <v>870</v>
      </c>
      <c r="B2662" s="1">
        <v>40582</v>
      </c>
      <c r="C2662">
        <v>1</v>
      </c>
      <c r="D2662">
        <v>0</v>
      </c>
      <c r="E2662">
        <v>2</v>
      </c>
      <c r="F2662">
        <v>16</v>
      </c>
      <c r="G2662" t="b">
        <v>0</v>
      </c>
      <c r="H2662">
        <v>2</v>
      </c>
      <c r="I2662">
        <v>1</v>
      </c>
      <c r="J2662">
        <v>0.22</v>
      </c>
      <c r="K2662">
        <v>0.18179999999999999</v>
      </c>
      <c r="L2662">
        <v>0.35</v>
      </c>
      <c r="M2662">
        <v>0.52239999999999998</v>
      </c>
      <c r="N2662">
        <v>4</v>
      </c>
      <c r="O2662">
        <v>79</v>
      </c>
      <c r="P2662">
        <v>83</v>
      </c>
    </row>
    <row r="2663" spans="1:16" x14ac:dyDescent="0.25">
      <c r="A2663">
        <v>871</v>
      </c>
      <c r="B2663" s="1">
        <v>40582</v>
      </c>
      <c r="C2663">
        <v>1</v>
      </c>
      <c r="D2663">
        <v>0</v>
      </c>
      <c r="E2663">
        <v>2</v>
      </c>
      <c r="F2663">
        <v>17</v>
      </c>
      <c r="G2663" t="b">
        <v>0</v>
      </c>
      <c r="H2663">
        <v>2</v>
      </c>
      <c r="I2663">
        <v>1</v>
      </c>
      <c r="J2663">
        <v>0.22</v>
      </c>
      <c r="K2663">
        <v>0.18179999999999999</v>
      </c>
      <c r="L2663">
        <v>0.32</v>
      </c>
      <c r="M2663">
        <v>0.58209999999999995</v>
      </c>
      <c r="N2663">
        <v>4</v>
      </c>
      <c r="O2663">
        <v>172</v>
      </c>
      <c r="P2663">
        <v>176</v>
      </c>
    </row>
    <row r="2664" spans="1:16" x14ac:dyDescent="0.25">
      <c r="A2664">
        <v>872</v>
      </c>
      <c r="B2664" s="1">
        <v>40582</v>
      </c>
      <c r="C2664">
        <v>1</v>
      </c>
      <c r="D2664">
        <v>0</v>
      </c>
      <c r="E2664">
        <v>2</v>
      </c>
      <c r="F2664">
        <v>18</v>
      </c>
      <c r="G2664" t="b">
        <v>0</v>
      </c>
      <c r="H2664">
        <v>2</v>
      </c>
      <c r="I2664">
        <v>1</v>
      </c>
      <c r="J2664">
        <v>0.2</v>
      </c>
      <c r="K2664">
        <v>0.18179999999999999</v>
      </c>
      <c r="L2664">
        <v>0.32</v>
      </c>
      <c r="M2664">
        <v>0.3881</v>
      </c>
      <c r="N2664">
        <v>1</v>
      </c>
      <c r="O2664">
        <v>151</v>
      </c>
      <c r="P2664">
        <v>152</v>
      </c>
    </row>
    <row r="2665" spans="1:16" x14ac:dyDescent="0.25">
      <c r="A2665">
        <v>873</v>
      </c>
      <c r="B2665" s="1">
        <v>40582</v>
      </c>
      <c r="C2665">
        <v>1</v>
      </c>
      <c r="D2665">
        <v>0</v>
      </c>
      <c r="E2665">
        <v>2</v>
      </c>
      <c r="F2665">
        <v>19</v>
      </c>
      <c r="G2665" t="b">
        <v>0</v>
      </c>
      <c r="H2665">
        <v>2</v>
      </c>
      <c r="I2665">
        <v>1</v>
      </c>
      <c r="J2665">
        <v>0.16</v>
      </c>
      <c r="K2665">
        <v>0.1212</v>
      </c>
      <c r="L2665">
        <v>0.4</v>
      </c>
      <c r="M2665">
        <v>0.4627</v>
      </c>
      <c r="N2665">
        <v>1</v>
      </c>
      <c r="O2665">
        <v>100</v>
      </c>
      <c r="P2665">
        <v>101</v>
      </c>
    </row>
    <row r="2666" spans="1:16" x14ac:dyDescent="0.25">
      <c r="A2666">
        <v>874</v>
      </c>
      <c r="B2666" s="1">
        <v>40582</v>
      </c>
      <c r="C2666">
        <v>1</v>
      </c>
      <c r="D2666">
        <v>0</v>
      </c>
      <c r="E2666">
        <v>2</v>
      </c>
      <c r="F2666">
        <v>20</v>
      </c>
      <c r="G2666" t="b">
        <v>0</v>
      </c>
      <c r="H2666">
        <v>2</v>
      </c>
      <c r="I2666">
        <v>1</v>
      </c>
      <c r="J2666">
        <v>0.16</v>
      </c>
      <c r="K2666">
        <v>0.13639999999999999</v>
      </c>
      <c r="L2666">
        <v>0.4</v>
      </c>
      <c r="M2666">
        <v>0.32840000000000003</v>
      </c>
      <c r="N2666">
        <v>3</v>
      </c>
      <c r="O2666">
        <v>53</v>
      </c>
      <c r="P2666">
        <v>56</v>
      </c>
    </row>
    <row r="2667" spans="1:16" x14ac:dyDescent="0.25">
      <c r="A2667">
        <v>875</v>
      </c>
      <c r="B2667" s="1">
        <v>40582</v>
      </c>
      <c r="C2667">
        <v>1</v>
      </c>
      <c r="D2667">
        <v>0</v>
      </c>
      <c r="E2667">
        <v>2</v>
      </c>
      <c r="F2667">
        <v>21</v>
      </c>
      <c r="G2667" t="b">
        <v>0</v>
      </c>
      <c r="H2667">
        <v>2</v>
      </c>
      <c r="I2667">
        <v>1</v>
      </c>
      <c r="J2667">
        <v>0.14000000000000001</v>
      </c>
      <c r="K2667">
        <v>0.1061</v>
      </c>
      <c r="L2667">
        <v>0.33</v>
      </c>
      <c r="M2667">
        <v>0.4627</v>
      </c>
      <c r="N2667">
        <v>8</v>
      </c>
      <c r="O2667">
        <v>46</v>
      </c>
      <c r="P2667">
        <v>54</v>
      </c>
    </row>
    <row r="2668" spans="1:16" x14ac:dyDescent="0.25">
      <c r="A2668">
        <v>876</v>
      </c>
      <c r="B2668" s="1">
        <v>40582</v>
      </c>
      <c r="C2668">
        <v>1</v>
      </c>
      <c r="D2668">
        <v>0</v>
      </c>
      <c r="E2668">
        <v>2</v>
      </c>
      <c r="F2668">
        <v>22</v>
      </c>
      <c r="G2668" t="b">
        <v>0</v>
      </c>
      <c r="H2668">
        <v>2</v>
      </c>
      <c r="I2668">
        <v>1</v>
      </c>
      <c r="J2668">
        <v>0.12</v>
      </c>
      <c r="K2668">
        <v>0.1061</v>
      </c>
      <c r="L2668">
        <v>0.33</v>
      </c>
      <c r="M2668">
        <v>0.35820000000000002</v>
      </c>
      <c r="N2668">
        <v>0</v>
      </c>
      <c r="O2668">
        <v>29</v>
      </c>
      <c r="P2668">
        <v>29</v>
      </c>
    </row>
    <row r="2669" spans="1:16" x14ac:dyDescent="0.25">
      <c r="A2669">
        <v>877</v>
      </c>
      <c r="B2669" s="1">
        <v>40582</v>
      </c>
      <c r="C2669">
        <v>1</v>
      </c>
      <c r="D2669">
        <v>0</v>
      </c>
      <c r="E2669">
        <v>2</v>
      </c>
      <c r="F2669">
        <v>23</v>
      </c>
      <c r="G2669" t="b">
        <v>0</v>
      </c>
      <c r="H2669">
        <v>2</v>
      </c>
      <c r="I2669">
        <v>1</v>
      </c>
      <c r="J2669">
        <v>0.12</v>
      </c>
      <c r="K2669">
        <v>0.1061</v>
      </c>
      <c r="L2669">
        <v>0.33</v>
      </c>
      <c r="M2669">
        <v>0.32840000000000003</v>
      </c>
      <c r="N2669">
        <v>3</v>
      </c>
      <c r="O2669">
        <v>9</v>
      </c>
      <c r="P2669">
        <v>12</v>
      </c>
    </row>
    <row r="2670" spans="1:16" x14ac:dyDescent="0.25">
      <c r="A2670">
        <v>878</v>
      </c>
      <c r="B2670" s="1">
        <v>40583</v>
      </c>
      <c r="C2670">
        <v>1</v>
      </c>
      <c r="D2670">
        <v>0</v>
      </c>
      <c r="E2670">
        <v>2</v>
      </c>
      <c r="F2670">
        <v>0</v>
      </c>
      <c r="G2670" t="b">
        <v>0</v>
      </c>
      <c r="H2670">
        <v>3</v>
      </c>
      <c r="I2670">
        <v>1</v>
      </c>
      <c r="J2670">
        <v>0.1</v>
      </c>
      <c r="K2670">
        <v>7.5800000000000006E-2</v>
      </c>
      <c r="L2670">
        <v>0.36</v>
      </c>
      <c r="M2670">
        <v>0.35820000000000002</v>
      </c>
      <c r="N2670">
        <v>0</v>
      </c>
      <c r="O2670">
        <v>17</v>
      </c>
      <c r="P2670">
        <v>17</v>
      </c>
    </row>
    <row r="2671" spans="1:16" x14ac:dyDescent="0.25">
      <c r="A2671">
        <v>879</v>
      </c>
      <c r="B2671" s="1">
        <v>40583</v>
      </c>
      <c r="C2671">
        <v>1</v>
      </c>
      <c r="D2671">
        <v>0</v>
      </c>
      <c r="E2671">
        <v>2</v>
      </c>
      <c r="F2671">
        <v>1</v>
      </c>
      <c r="G2671" t="b">
        <v>0</v>
      </c>
      <c r="H2671">
        <v>3</v>
      </c>
      <c r="I2671">
        <v>1</v>
      </c>
      <c r="J2671">
        <v>0.1</v>
      </c>
      <c r="K2671">
        <v>0.1061</v>
      </c>
      <c r="L2671">
        <v>0.36</v>
      </c>
      <c r="M2671">
        <v>0.22389999999999999</v>
      </c>
      <c r="N2671">
        <v>0</v>
      </c>
      <c r="O2671">
        <v>7</v>
      </c>
      <c r="P2671">
        <v>7</v>
      </c>
    </row>
    <row r="2672" spans="1:16" x14ac:dyDescent="0.25">
      <c r="A2672">
        <v>880</v>
      </c>
      <c r="B2672" s="1">
        <v>40583</v>
      </c>
      <c r="C2672">
        <v>1</v>
      </c>
      <c r="D2672">
        <v>0</v>
      </c>
      <c r="E2672">
        <v>2</v>
      </c>
      <c r="F2672">
        <v>2</v>
      </c>
      <c r="G2672" t="b">
        <v>0</v>
      </c>
      <c r="H2672">
        <v>3</v>
      </c>
      <c r="I2672">
        <v>1</v>
      </c>
      <c r="J2672">
        <v>0.08</v>
      </c>
      <c r="K2672">
        <v>7.5800000000000006E-2</v>
      </c>
      <c r="L2672">
        <v>0.38</v>
      </c>
      <c r="M2672">
        <v>0.28360000000000002</v>
      </c>
      <c r="N2672">
        <v>1</v>
      </c>
      <c r="O2672">
        <v>2</v>
      </c>
      <c r="P2672">
        <v>3</v>
      </c>
    </row>
    <row r="2673" spans="1:16" x14ac:dyDescent="0.25">
      <c r="A2673">
        <v>881</v>
      </c>
      <c r="B2673" s="1">
        <v>40583</v>
      </c>
      <c r="C2673">
        <v>1</v>
      </c>
      <c r="D2673">
        <v>0</v>
      </c>
      <c r="E2673">
        <v>2</v>
      </c>
      <c r="F2673">
        <v>3</v>
      </c>
      <c r="G2673" t="b">
        <v>0</v>
      </c>
      <c r="H2673">
        <v>3</v>
      </c>
      <c r="I2673">
        <v>1</v>
      </c>
      <c r="J2673">
        <v>0.06</v>
      </c>
      <c r="K2673">
        <v>7.5800000000000006E-2</v>
      </c>
      <c r="L2673">
        <v>0.45</v>
      </c>
      <c r="M2673">
        <v>0.1343</v>
      </c>
      <c r="N2673">
        <v>0</v>
      </c>
      <c r="O2673">
        <v>2</v>
      </c>
      <c r="P2673">
        <v>2</v>
      </c>
    </row>
    <row r="2674" spans="1:16" x14ac:dyDescent="0.25">
      <c r="A2674">
        <v>882</v>
      </c>
      <c r="B2674" s="1">
        <v>40583</v>
      </c>
      <c r="C2674">
        <v>1</v>
      </c>
      <c r="D2674">
        <v>0</v>
      </c>
      <c r="E2674">
        <v>2</v>
      </c>
      <c r="F2674">
        <v>5</v>
      </c>
      <c r="G2674" t="b">
        <v>0</v>
      </c>
      <c r="H2674">
        <v>3</v>
      </c>
      <c r="I2674">
        <v>1</v>
      </c>
      <c r="J2674">
        <v>0.06</v>
      </c>
      <c r="K2674">
        <v>0.1061</v>
      </c>
      <c r="L2674">
        <v>0.45</v>
      </c>
      <c r="M2674">
        <v>0.1045</v>
      </c>
      <c r="N2674">
        <v>0</v>
      </c>
      <c r="O2674">
        <v>7</v>
      </c>
      <c r="P2674">
        <v>7</v>
      </c>
    </row>
    <row r="2675" spans="1:16" x14ac:dyDescent="0.25">
      <c r="A2675">
        <v>883</v>
      </c>
      <c r="B2675" s="1">
        <v>40583</v>
      </c>
      <c r="C2675">
        <v>1</v>
      </c>
      <c r="D2675">
        <v>0</v>
      </c>
      <c r="E2675">
        <v>2</v>
      </c>
      <c r="F2675">
        <v>6</v>
      </c>
      <c r="G2675" t="b">
        <v>0</v>
      </c>
      <c r="H2675">
        <v>3</v>
      </c>
      <c r="I2675">
        <v>1</v>
      </c>
      <c r="J2675">
        <v>0.06</v>
      </c>
      <c r="K2675">
        <v>0.1515</v>
      </c>
      <c r="L2675">
        <v>0.45</v>
      </c>
      <c r="M2675">
        <v>0</v>
      </c>
      <c r="N2675">
        <v>0</v>
      </c>
      <c r="O2675">
        <v>43</v>
      </c>
      <c r="P2675">
        <v>43</v>
      </c>
    </row>
    <row r="2676" spans="1:16" x14ac:dyDescent="0.25">
      <c r="A2676">
        <v>884</v>
      </c>
      <c r="B2676" s="1">
        <v>40583</v>
      </c>
      <c r="C2676">
        <v>1</v>
      </c>
      <c r="D2676">
        <v>0</v>
      </c>
      <c r="E2676">
        <v>2</v>
      </c>
      <c r="F2676">
        <v>7</v>
      </c>
      <c r="G2676" t="b">
        <v>0</v>
      </c>
      <c r="H2676">
        <v>3</v>
      </c>
      <c r="I2676">
        <v>1</v>
      </c>
      <c r="J2676">
        <v>0.06</v>
      </c>
      <c r="K2676">
        <v>0.1061</v>
      </c>
      <c r="L2676">
        <v>0.49</v>
      </c>
      <c r="M2676">
        <v>0.1045</v>
      </c>
      <c r="N2676">
        <v>4</v>
      </c>
      <c r="O2676">
        <v>95</v>
      </c>
      <c r="P2676">
        <v>99</v>
      </c>
    </row>
    <row r="2677" spans="1:16" x14ac:dyDescent="0.25">
      <c r="A2677">
        <v>885</v>
      </c>
      <c r="B2677" s="1">
        <v>40583</v>
      </c>
      <c r="C2677">
        <v>1</v>
      </c>
      <c r="D2677">
        <v>0</v>
      </c>
      <c r="E2677">
        <v>2</v>
      </c>
      <c r="F2677">
        <v>8</v>
      </c>
      <c r="G2677" t="b">
        <v>0</v>
      </c>
      <c r="H2677">
        <v>3</v>
      </c>
      <c r="I2677">
        <v>1</v>
      </c>
      <c r="J2677">
        <v>0.1</v>
      </c>
      <c r="K2677">
        <v>0.13639999999999999</v>
      </c>
      <c r="L2677">
        <v>0.42</v>
      </c>
      <c r="M2677">
        <v>0</v>
      </c>
      <c r="N2677">
        <v>1</v>
      </c>
      <c r="O2677">
        <v>198</v>
      </c>
      <c r="P2677">
        <v>199</v>
      </c>
    </row>
    <row r="2678" spans="1:16" x14ac:dyDescent="0.25">
      <c r="A2678">
        <v>886</v>
      </c>
      <c r="B2678" s="1">
        <v>40583</v>
      </c>
      <c r="C2678">
        <v>1</v>
      </c>
      <c r="D2678">
        <v>0</v>
      </c>
      <c r="E2678">
        <v>2</v>
      </c>
      <c r="F2678">
        <v>9</v>
      </c>
      <c r="G2678" t="b">
        <v>0</v>
      </c>
      <c r="H2678">
        <v>3</v>
      </c>
      <c r="I2678">
        <v>1</v>
      </c>
      <c r="J2678">
        <v>0.12</v>
      </c>
      <c r="K2678">
        <v>0.13639999999999999</v>
      </c>
      <c r="L2678">
        <v>0.39</v>
      </c>
      <c r="M2678">
        <v>0.16420000000000001</v>
      </c>
      <c r="N2678">
        <v>4</v>
      </c>
      <c r="O2678">
        <v>119</v>
      </c>
      <c r="P2678">
        <v>123</v>
      </c>
    </row>
    <row r="2679" spans="1:16" x14ac:dyDescent="0.25">
      <c r="A2679">
        <v>887</v>
      </c>
      <c r="B2679" s="1">
        <v>40583</v>
      </c>
      <c r="C2679">
        <v>1</v>
      </c>
      <c r="D2679">
        <v>0</v>
      </c>
      <c r="E2679">
        <v>2</v>
      </c>
      <c r="F2679">
        <v>10</v>
      </c>
      <c r="G2679" t="b">
        <v>0</v>
      </c>
      <c r="H2679">
        <v>3</v>
      </c>
      <c r="I2679">
        <v>1</v>
      </c>
      <c r="J2679">
        <v>0.14000000000000001</v>
      </c>
      <c r="K2679">
        <v>0.18179999999999999</v>
      </c>
      <c r="L2679">
        <v>0.36</v>
      </c>
      <c r="M2679">
        <v>0</v>
      </c>
      <c r="N2679">
        <v>8</v>
      </c>
      <c r="O2679">
        <v>51</v>
      </c>
      <c r="P2679">
        <v>59</v>
      </c>
    </row>
    <row r="2680" spans="1:16" x14ac:dyDescent="0.25">
      <c r="A2680">
        <v>888</v>
      </c>
      <c r="B2680" s="1">
        <v>40583</v>
      </c>
      <c r="C2680">
        <v>1</v>
      </c>
      <c r="D2680">
        <v>0</v>
      </c>
      <c r="E2680">
        <v>2</v>
      </c>
      <c r="F2680">
        <v>11</v>
      </c>
      <c r="G2680" t="b">
        <v>0</v>
      </c>
      <c r="H2680">
        <v>3</v>
      </c>
      <c r="I2680">
        <v>2</v>
      </c>
      <c r="J2680">
        <v>0.14000000000000001</v>
      </c>
      <c r="K2680">
        <v>0.1515</v>
      </c>
      <c r="L2680">
        <v>0.43</v>
      </c>
      <c r="M2680">
        <v>0.16420000000000001</v>
      </c>
      <c r="N2680">
        <v>1</v>
      </c>
      <c r="O2680">
        <v>40</v>
      </c>
      <c r="P2680">
        <v>41</v>
      </c>
    </row>
    <row r="2681" spans="1:16" x14ac:dyDescent="0.25">
      <c r="A2681">
        <v>889</v>
      </c>
      <c r="B2681" s="1">
        <v>40583</v>
      </c>
      <c r="C2681">
        <v>1</v>
      </c>
      <c r="D2681">
        <v>0</v>
      </c>
      <c r="E2681">
        <v>2</v>
      </c>
      <c r="F2681">
        <v>12</v>
      </c>
      <c r="G2681" t="b">
        <v>0</v>
      </c>
      <c r="H2681">
        <v>3</v>
      </c>
      <c r="I2681">
        <v>2</v>
      </c>
      <c r="J2681">
        <v>0.18</v>
      </c>
      <c r="K2681">
        <v>0.18179999999999999</v>
      </c>
      <c r="L2681">
        <v>0.4</v>
      </c>
      <c r="M2681">
        <v>0.22389999999999999</v>
      </c>
      <c r="N2681">
        <v>4</v>
      </c>
      <c r="O2681">
        <v>57</v>
      </c>
      <c r="P2681">
        <v>61</v>
      </c>
    </row>
    <row r="2682" spans="1:16" x14ac:dyDescent="0.25">
      <c r="A2682">
        <v>890</v>
      </c>
      <c r="B2682" s="1">
        <v>40583</v>
      </c>
      <c r="C2682">
        <v>1</v>
      </c>
      <c r="D2682">
        <v>0</v>
      </c>
      <c r="E2682">
        <v>2</v>
      </c>
      <c r="F2682">
        <v>13</v>
      </c>
      <c r="G2682" t="b">
        <v>0</v>
      </c>
      <c r="H2682">
        <v>3</v>
      </c>
      <c r="I2682">
        <v>1</v>
      </c>
      <c r="J2682">
        <v>0.18</v>
      </c>
      <c r="K2682">
        <v>0.16669999999999999</v>
      </c>
      <c r="L2682">
        <v>0.4</v>
      </c>
      <c r="M2682">
        <v>0.25369999999999998</v>
      </c>
      <c r="N2682">
        <v>2</v>
      </c>
      <c r="O2682">
        <v>67</v>
      </c>
      <c r="P2682">
        <v>69</v>
      </c>
    </row>
    <row r="2683" spans="1:16" x14ac:dyDescent="0.25">
      <c r="A2683">
        <v>891</v>
      </c>
      <c r="B2683" s="1">
        <v>40583</v>
      </c>
      <c r="C2683">
        <v>1</v>
      </c>
      <c r="D2683">
        <v>0</v>
      </c>
      <c r="E2683">
        <v>2</v>
      </c>
      <c r="F2683">
        <v>14</v>
      </c>
      <c r="G2683" t="b">
        <v>0</v>
      </c>
      <c r="H2683">
        <v>3</v>
      </c>
      <c r="I2683">
        <v>1</v>
      </c>
      <c r="J2683">
        <v>0.2</v>
      </c>
      <c r="K2683">
        <v>0.18179999999999999</v>
      </c>
      <c r="L2683">
        <v>0.34</v>
      </c>
      <c r="M2683">
        <v>0.29849999999999999</v>
      </c>
      <c r="N2683">
        <v>2</v>
      </c>
      <c r="O2683">
        <v>56</v>
      </c>
      <c r="P2683">
        <v>58</v>
      </c>
    </row>
    <row r="2684" spans="1:16" x14ac:dyDescent="0.25">
      <c r="A2684">
        <v>892</v>
      </c>
      <c r="B2684" s="1">
        <v>40583</v>
      </c>
      <c r="C2684">
        <v>1</v>
      </c>
      <c r="D2684">
        <v>0</v>
      </c>
      <c r="E2684">
        <v>2</v>
      </c>
      <c r="F2684">
        <v>15</v>
      </c>
      <c r="G2684" t="b">
        <v>0</v>
      </c>
      <c r="H2684">
        <v>3</v>
      </c>
      <c r="I2684">
        <v>2</v>
      </c>
      <c r="J2684">
        <v>0.2</v>
      </c>
      <c r="K2684">
        <v>0.18179999999999999</v>
      </c>
      <c r="L2684">
        <v>0.34</v>
      </c>
      <c r="M2684">
        <v>0.28360000000000002</v>
      </c>
      <c r="N2684">
        <v>3</v>
      </c>
      <c r="O2684">
        <v>61</v>
      </c>
      <c r="P2684">
        <v>64</v>
      </c>
    </row>
    <row r="2685" spans="1:16" x14ac:dyDescent="0.25">
      <c r="A2685">
        <v>893</v>
      </c>
      <c r="B2685" s="1">
        <v>40583</v>
      </c>
      <c r="C2685">
        <v>1</v>
      </c>
      <c r="D2685">
        <v>0</v>
      </c>
      <c r="E2685">
        <v>2</v>
      </c>
      <c r="F2685">
        <v>16</v>
      </c>
      <c r="G2685" t="b">
        <v>0</v>
      </c>
      <c r="H2685">
        <v>3</v>
      </c>
      <c r="I2685">
        <v>2</v>
      </c>
      <c r="J2685">
        <v>0.2</v>
      </c>
      <c r="K2685">
        <v>0.19700000000000001</v>
      </c>
      <c r="L2685">
        <v>0.37</v>
      </c>
      <c r="M2685">
        <v>0.25369999999999998</v>
      </c>
      <c r="N2685">
        <v>7</v>
      </c>
      <c r="O2685">
        <v>72</v>
      </c>
      <c r="P2685">
        <v>79</v>
      </c>
    </row>
    <row r="2686" spans="1:16" x14ac:dyDescent="0.25">
      <c r="A2686">
        <v>894</v>
      </c>
      <c r="B2686" s="1">
        <v>40583</v>
      </c>
      <c r="C2686">
        <v>1</v>
      </c>
      <c r="D2686">
        <v>0</v>
      </c>
      <c r="E2686">
        <v>2</v>
      </c>
      <c r="F2686">
        <v>17</v>
      </c>
      <c r="G2686" t="b">
        <v>0</v>
      </c>
      <c r="H2686">
        <v>3</v>
      </c>
      <c r="I2686">
        <v>2</v>
      </c>
      <c r="J2686">
        <v>0.2</v>
      </c>
      <c r="K2686">
        <v>0.19700000000000001</v>
      </c>
      <c r="L2686">
        <v>0.34</v>
      </c>
      <c r="M2686">
        <v>0.25369999999999998</v>
      </c>
      <c r="N2686">
        <v>9</v>
      </c>
      <c r="O2686">
        <v>157</v>
      </c>
      <c r="P2686">
        <v>166</v>
      </c>
    </row>
    <row r="2687" spans="1:16" x14ac:dyDescent="0.25">
      <c r="A2687">
        <v>895</v>
      </c>
      <c r="B2687" s="1">
        <v>40583</v>
      </c>
      <c r="C2687">
        <v>1</v>
      </c>
      <c r="D2687">
        <v>0</v>
      </c>
      <c r="E2687">
        <v>2</v>
      </c>
      <c r="F2687">
        <v>18</v>
      </c>
      <c r="G2687" t="b">
        <v>0</v>
      </c>
      <c r="H2687">
        <v>3</v>
      </c>
      <c r="I2687">
        <v>2</v>
      </c>
      <c r="J2687">
        <v>0.18</v>
      </c>
      <c r="K2687">
        <v>0.16669999999999999</v>
      </c>
      <c r="L2687">
        <v>0.47</v>
      </c>
      <c r="M2687">
        <v>0.29849999999999999</v>
      </c>
      <c r="N2687">
        <v>2</v>
      </c>
      <c r="O2687">
        <v>168</v>
      </c>
      <c r="P2687">
        <v>170</v>
      </c>
    </row>
    <row r="2688" spans="1:16" x14ac:dyDescent="0.25">
      <c r="A2688">
        <v>896</v>
      </c>
      <c r="B2688" s="1">
        <v>40583</v>
      </c>
      <c r="C2688">
        <v>1</v>
      </c>
      <c r="D2688">
        <v>0</v>
      </c>
      <c r="E2688">
        <v>2</v>
      </c>
      <c r="F2688">
        <v>19</v>
      </c>
      <c r="G2688" t="b">
        <v>0</v>
      </c>
      <c r="H2688">
        <v>3</v>
      </c>
      <c r="I2688">
        <v>3</v>
      </c>
      <c r="J2688">
        <v>0.14000000000000001</v>
      </c>
      <c r="K2688">
        <v>0.1212</v>
      </c>
      <c r="L2688">
        <v>0.86</v>
      </c>
      <c r="M2688">
        <v>0.25369999999999998</v>
      </c>
      <c r="N2688">
        <v>1</v>
      </c>
      <c r="O2688">
        <v>87</v>
      </c>
      <c r="P2688">
        <v>88</v>
      </c>
    </row>
    <row r="2689" spans="1:16" x14ac:dyDescent="0.25">
      <c r="A2689">
        <v>897</v>
      </c>
      <c r="B2689" s="1">
        <v>40583</v>
      </c>
      <c r="C2689">
        <v>1</v>
      </c>
      <c r="D2689">
        <v>0</v>
      </c>
      <c r="E2689">
        <v>2</v>
      </c>
      <c r="F2689">
        <v>20</v>
      </c>
      <c r="G2689" t="b">
        <v>0</v>
      </c>
      <c r="H2689">
        <v>3</v>
      </c>
      <c r="I2689">
        <v>3</v>
      </c>
      <c r="J2689">
        <v>0.14000000000000001</v>
      </c>
      <c r="K2689">
        <v>0.1515</v>
      </c>
      <c r="L2689">
        <v>0.86</v>
      </c>
      <c r="M2689">
        <v>0.16420000000000001</v>
      </c>
      <c r="N2689">
        <v>0</v>
      </c>
      <c r="O2689">
        <v>84</v>
      </c>
      <c r="P2689">
        <v>84</v>
      </c>
    </row>
    <row r="2690" spans="1:16" x14ac:dyDescent="0.25">
      <c r="A2690">
        <v>898</v>
      </c>
      <c r="B2690" s="1">
        <v>40583</v>
      </c>
      <c r="C2690">
        <v>1</v>
      </c>
      <c r="D2690">
        <v>0</v>
      </c>
      <c r="E2690">
        <v>2</v>
      </c>
      <c r="F2690">
        <v>21</v>
      </c>
      <c r="G2690" t="b">
        <v>0</v>
      </c>
      <c r="H2690">
        <v>3</v>
      </c>
      <c r="I2690">
        <v>2</v>
      </c>
      <c r="J2690">
        <v>0.14000000000000001</v>
      </c>
      <c r="K2690">
        <v>0.1515</v>
      </c>
      <c r="L2690">
        <v>0.86</v>
      </c>
      <c r="M2690">
        <v>0.16420000000000001</v>
      </c>
      <c r="N2690">
        <v>0</v>
      </c>
      <c r="O2690">
        <v>83</v>
      </c>
      <c r="P2690">
        <v>83</v>
      </c>
    </row>
    <row r="2691" spans="1:16" x14ac:dyDescent="0.25">
      <c r="A2691">
        <v>899</v>
      </c>
      <c r="B2691" s="1">
        <v>40583</v>
      </c>
      <c r="C2691">
        <v>1</v>
      </c>
      <c r="D2691">
        <v>0</v>
      </c>
      <c r="E2691">
        <v>2</v>
      </c>
      <c r="F2691">
        <v>22</v>
      </c>
      <c r="G2691" t="b">
        <v>0</v>
      </c>
      <c r="H2691">
        <v>3</v>
      </c>
      <c r="I2691">
        <v>3</v>
      </c>
      <c r="J2691">
        <v>0.16</v>
      </c>
      <c r="K2691">
        <v>0.16669999999999999</v>
      </c>
      <c r="L2691">
        <v>0.8</v>
      </c>
      <c r="M2691">
        <v>0.16420000000000001</v>
      </c>
      <c r="N2691">
        <v>4</v>
      </c>
      <c r="O2691">
        <v>42</v>
      </c>
      <c r="P2691">
        <v>46</v>
      </c>
    </row>
    <row r="2692" spans="1:16" x14ac:dyDescent="0.25">
      <c r="A2692">
        <v>900</v>
      </c>
      <c r="B2692" s="1">
        <v>40583</v>
      </c>
      <c r="C2692">
        <v>1</v>
      </c>
      <c r="D2692">
        <v>0</v>
      </c>
      <c r="E2692">
        <v>2</v>
      </c>
      <c r="F2692">
        <v>23</v>
      </c>
      <c r="G2692" t="b">
        <v>0</v>
      </c>
      <c r="H2692">
        <v>3</v>
      </c>
      <c r="I2692">
        <v>3</v>
      </c>
      <c r="J2692">
        <v>0.16</v>
      </c>
      <c r="K2692">
        <v>0.1515</v>
      </c>
      <c r="L2692">
        <v>0.8</v>
      </c>
      <c r="M2692">
        <v>0.19400000000000001</v>
      </c>
      <c r="N2692">
        <v>0</v>
      </c>
      <c r="O2692">
        <v>37</v>
      </c>
      <c r="P2692">
        <v>37</v>
      </c>
    </row>
    <row r="2693" spans="1:16" x14ac:dyDescent="0.25">
      <c r="A2693">
        <v>901</v>
      </c>
      <c r="B2693" s="1">
        <v>40584</v>
      </c>
      <c r="C2693">
        <v>1</v>
      </c>
      <c r="D2693">
        <v>0</v>
      </c>
      <c r="E2693">
        <v>2</v>
      </c>
      <c r="F2693">
        <v>0</v>
      </c>
      <c r="G2693" t="b">
        <v>0</v>
      </c>
      <c r="H2693">
        <v>4</v>
      </c>
      <c r="I2693">
        <v>3</v>
      </c>
      <c r="J2693">
        <v>0.14000000000000001</v>
      </c>
      <c r="K2693">
        <v>0.13639999999999999</v>
      </c>
      <c r="L2693">
        <v>0.86</v>
      </c>
      <c r="M2693">
        <v>0.19400000000000001</v>
      </c>
      <c r="N2693">
        <v>0</v>
      </c>
      <c r="O2693">
        <v>16</v>
      </c>
      <c r="P2693">
        <v>16</v>
      </c>
    </row>
    <row r="2694" spans="1:16" x14ac:dyDescent="0.25">
      <c r="A2694">
        <v>902</v>
      </c>
      <c r="B2694" s="1">
        <v>40584</v>
      </c>
      <c r="C2694">
        <v>1</v>
      </c>
      <c r="D2694">
        <v>0</v>
      </c>
      <c r="E2694">
        <v>2</v>
      </c>
      <c r="F2694">
        <v>1</v>
      </c>
      <c r="G2694" t="b">
        <v>0</v>
      </c>
      <c r="H2694">
        <v>4</v>
      </c>
      <c r="I2694">
        <v>3</v>
      </c>
      <c r="J2694">
        <v>0.14000000000000001</v>
      </c>
      <c r="K2694">
        <v>0.1515</v>
      </c>
      <c r="L2694">
        <v>0.8</v>
      </c>
      <c r="M2694">
        <v>0.1343</v>
      </c>
      <c r="N2694">
        <v>0</v>
      </c>
      <c r="O2694">
        <v>7</v>
      </c>
      <c r="P2694">
        <v>7</v>
      </c>
    </row>
    <row r="2695" spans="1:16" x14ac:dyDescent="0.25">
      <c r="A2695">
        <v>903</v>
      </c>
      <c r="B2695" s="1">
        <v>40584</v>
      </c>
      <c r="C2695">
        <v>1</v>
      </c>
      <c r="D2695">
        <v>0</v>
      </c>
      <c r="E2695">
        <v>2</v>
      </c>
      <c r="F2695">
        <v>2</v>
      </c>
      <c r="G2695" t="b">
        <v>0</v>
      </c>
      <c r="H2695">
        <v>4</v>
      </c>
      <c r="I2695">
        <v>3</v>
      </c>
      <c r="J2695">
        <v>0.14000000000000001</v>
      </c>
      <c r="K2695">
        <v>0.1515</v>
      </c>
      <c r="L2695">
        <v>0.8</v>
      </c>
      <c r="M2695">
        <v>0.1343</v>
      </c>
      <c r="N2695">
        <v>0</v>
      </c>
      <c r="O2695">
        <v>3</v>
      </c>
      <c r="P2695">
        <v>3</v>
      </c>
    </row>
    <row r="2696" spans="1:16" x14ac:dyDescent="0.25">
      <c r="A2696">
        <v>904</v>
      </c>
      <c r="B2696" s="1">
        <v>40584</v>
      </c>
      <c r="C2696">
        <v>1</v>
      </c>
      <c r="D2696">
        <v>0</v>
      </c>
      <c r="E2696">
        <v>2</v>
      </c>
      <c r="F2696">
        <v>4</v>
      </c>
      <c r="G2696" t="b">
        <v>0</v>
      </c>
      <c r="H2696">
        <v>4</v>
      </c>
      <c r="I2696">
        <v>2</v>
      </c>
      <c r="J2696">
        <v>0.14000000000000001</v>
      </c>
      <c r="K2696">
        <v>0.13639999999999999</v>
      </c>
      <c r="L2696">
        <v>0.59</v>
      </c>
      <c r="M2696">
        <v>0.22389999999999999</v>
      </c>
      <c r="N2696">
        <v>0</v>
      </c>
      <c r="O2696">
        <v>1</v>
      </c>
      <c r="P2696">
        <v>1</v>
      </c>
    </row>
    <row r="2697" spans="1:16" x14ac:dyDescent="0.25">
      <c r="A2697">
        <v>905</v>
      </c>
      <c r="B2697" s="1">
        <v>40584</v>
      </c>
      <c r="C2697">
        <v>1</v>
      </c>
      <c r="D2697">
        <v>0</v>
      </c>
      <c r="E2697">
        <v>2</v>
      </c>
      <c r="F2697">
        <v>5</v>
      </c>
      <c r="G2697" t="b">
        <v>0</v>
      </c>
      <c r="H2697">
        <v>4</v>
      </c>
      <c r="I2697">
        <v>2</v>
      </c>
      <c r="J2697">
        <v>0.12</v>
      </c>
      <c r="K2697">
        <v>0.1212</v>
      </c>
      <c r="L2697">
        <v>0.5</v>
      </c>
      <c r="M2697">
        <v>0.22389999999999999</v>
      </c>
      <c r="N2697">
        <v>0</v>
      </c>
      <c r="O2697">
        <v>6</v>
      </c>
      <c r="P2697">
        <v>6</v>
      </c>
    </row>
    <row r="2698" spans="1:16" x14ac:dyDescent="0.25">
      <c r="A2698">
        <v>906</v>
      </c>
      <c r="B2698" s="1">
        <v>40584</v>
      </c>
      <c r="C2698">
        <v>1</v>
      </c>
      <c r="D2698">
        <v>0</v>
      </c>
      <c r="E2698">
        <v>2</v>
      </c>
      <c r="F2698">
        <v>6</v>
      </c>
      <c r="G2698" t="b">
        <v>0</v>
      </c>
      <c r="H2698">
        <v>4</v>
      </c>
      <c r="I2698">
        <v>2</v>
      </c>
      <c r="J2698">
        <v>0.12</v>
      </c>
      <c r="K2698">
        <v>0.1212</v>
      </c>
      <c r="L2698">
        <v>0.54</v>
      </c>
      <c r="M2698">
        <v>0.28360000000000002</v>
      </c>
      <c r="N2698">
        <v>0</v>
      </c>
      <c r="O2698">
        <v>26</v>
      </c>
      <c r="P2698">
        <v>26</v>
      </c>
    </row>
    <row r="2699" spans="1:16" x14ac:dyDescent="0.25">
      <c r="A2699">
        <v>907</v>
      </c>
      <c r="B2699" s="1">
        <v>40584</v>
      </c>
      <c r="C2699">
        <v>1</v>
      </c>
      <c r="D2699">
        <v>0</v>
      </c>
      <c r="E2699">
        <v>2</v>
      </c>
      <c r="F2699">
        <v>7</v>
      </c>
      <c r="G2699" t="b">
        <v>0</v>
      </c>
      <c r="H2699">
        <v>4</v>
      </c>
      <c r="I2699">
        <v>1</v>
      </c>
      <c r="J2699">
        <v>0.1</v>
      </c>
      <c r="K2699">
        <v>7.5800000000000006E-2</v>
      </c>
      <c r="L2699">
        <v>0.5</v>
      </c>
      <c r="M2699">
        <v>0.41789999999999999</v>
      </c>
      <c r="N2699">
        <v>0</v>
      </c>
      <c r="O2699">
        <v>99</v>
      </c>
      <c r="P2699">
        <v>99</v>
      </c>
    </row>
    <row r="2700" spans="1:16" x14ac:dyDescent="0.25">
      <c r="A2700">
        <v>908</v>
      </c>
      <c r="B2700" s="1">
        <v>40584</v>
      </c>
      <c r="C2700">
        <v>1</v>
      </c>
      <c r="D2700">
        <v>0</v>
      </c>
      <c r="E2700">
        <v>2</v>
      </c>
      <c r="F2700">
        <v>8</v>
      </c>
      <c r="G2700" t="b">
        <v>0</v>
      </c>
      <c r="H2700">
        <v>4</v>
      </c>
      <c r="I2700">
        <v>1</v>
      </c>
      <c r="J2700">
        <v>0.1</v>
      </c>
      <c r="K2700">
        <v>7.5800000000000006E-2</v>
      </c>
      <c r="L2700">
        <v>0.49</v>
      </c>
      <c r="M2700">
        <v>0.32840000000000003</v>
      </c>
      <c r="N2700">
        <v>5</v>
      </c>
      <c r="O2700">
        <v>173</v>
      </c>
      <c r="P2700">
        <v>178</v>
      </c>
    </row>
    <row r="2701" spans="1:16" x14ac:dyDescent="0.25">
      <c r="A2701">
        <v>909</v>
      </c>
      <c r="B2701" s="1">
        <v>40584</v>
      </c>
      <c r="C2701">
        <v>1</v>
      </c>
      <c r="D2701">
        <v>0</v>
      </c>
      <c r="E2701">
        <v>2</v>
      </c>
      <c r="F2701">
        <v>9</v>
      </c>
      <c r="G2701" t="b">
        <v>0</v>
      </c>
      <c r="H2701">
        <v>4</v>
      </c>
      <c r="I2701">
        <v>1</v>
      </c>
      <c r="J2701">
        <v>0.12</v>
      </c>
      <c r="K2701">
        <v>0.1061</v>
      </c>
      <c r="L2701">
        <v>0.42</v>
      </c>
      <c r="M2701">
        <v>0.35820000000000002</v>
      </c>
      <c r="N2701">
        <v>1</v>
      </c>
      <c r="O2701">
        <v>121</v>
      </c>
      <c r="P2701">
        <v>122</v>
      </c>
    </row>
    <row r="2702" spans="1:16" x14ac:dyDescent="0.25">
      <c r="A2702">
        <v>910</v>
      </c>
      <c r="B2702" s="1">
        <v>40584</v>
      </c>
      <c r="C2702">
        <v>1</v>
      </c>
      <c r="D2702">
        <v>0</v>
      </c>
      <c r="E2702">
        <v>2</v>
      </c>
      <c r="F2702">
        <v>10</v>
      </c>
      <c r="G2702" t="b">
        <v>0</v>
      </c>
      <c r="H2702">
        <v>4</v>
      </c>
      <c r="I2702">
        <v>1</v>
      </c>
      <c r="J2702">
        <v>0.12</v>
      </c>
      <c r="K2702">
        <v>0.1061</v>
      </c>
      <c r="L2702">
        <v>0.42</v>
      </c>
      <c r="M2702">
        <v>0.29849999999999999</v>
      </c>
      <c r="N2702">
        <v>1</v>
      </c>
      <c r="O2702">
        <v>34</v>
      </c>
      <c r="P2702">
        <v>35</v>
      </c>
    </row>
    <row r="2703" spans="1:16" x14ac:dyDescent="0.25">
      <c r="A2703">
        <v>911</v>
      </c>
      <c r="B2703" s="1">
        <v>40584</v>
      </c>
      <c r="C2703">
        <v>1</v>
      </c>
      <c r="D2703">
        <v>0</v>
      </c>
      <c r="E2703">
        <v>2</v>
      </c>
      <c r="F2703">
        <v>11</v>
      </c>
      <c r="G2703" t="b">
        <v>0</v>
      </c>
      <c r="H2703">
        <v>4</v>
      </c>
      <c r="I2703">
        <v>1</v>
      </c>
      <c r="J2703">
        <v>0.14000000000000001</v>
      </c>
      <c r="K2703">
        <v>0.1212</v>
      </c>
      <c r="L2703">
        <v>0.39</v>
      </c>
      <c r="M2703">
        <v>0.35820000000000002</v>
      </c>
      <c r="N2703">
        <v>1</v>
      </c>
      <c r="O2703">
        <v>44</v>
      </c>
      <c r="P2703">
        <v>45</v>
      </c>
    </row>
    <row r="2704" spans="1:16" x14ac:dyDescent="0.25">
      <c r="A2704">
        <v>912</v>
      </c>
      <c r="B2704" s="1">
        <v>40584</v>
      </c>
      <c r="C2704">
        <v>1</v>
      </c>
      <c r="D2704">
        <v>0</v>
      </c>
      <c r="E2704">
        <v>2</v>
      </c>
      <c r="F2704">
        <v>12</v>
      </c>
      <c r="G2704" t="b">
        <v>0</v>
      </c>
      <c r="H2704">
        <v>4</v>
      </c>
      <c r="I2704">
        <v>1</v>
      </c>
      <c r="J2704">
        <v>0.16</v>
      </c>
      <c r="K2704">
        <v>0.13639999999999999</v>
      </c>
      <c r="L2704">
        <v>0.34</v>
      </c>
      <c r="M2704">
        <v>0.3881</v>
      </c>
      <c r="N2704">
        <v>4</v>
      </c>
      <c r="O2704">
        <v>65</v>
      </c>
      <c r="P2704">
        <v>69</v>
      </c>
    </row>
    <row r="2705" spans="1:16" x14ac:dyDescent="0.25">
      <c r="A2705">
        <v>913</v>
      </c>
      <c r="B2705" s="1">
        <v>40584</v>
      </c>
      <c r="C2705">
        <v>1</v>
      </c>
      <c r="D2705">
        <v>0</v>
      </c>
      <c r="E2705">
        <v>2</v>
      </c>
      <c r="F2705">
        <v>13</v>
      </c>
      <c r="G2705" t="b">
        <v>0</v>
      </c>
      <c r="H2705">
        <v>4</v>
      </c>
      <c r="I2705">
        <v>1</v>
      </c>
      <c r="J2705">
        <v>0.18</v>
      </c>
      <c r="K2705">
        <v>0.16669999999999999</v>
      </c>
      <c r="L2705">
        <v>0.28999999999999998</v>
      </c>
      <c r="M2705">
        <v>0.29849999999999999</v>
      </c>
      <c r="N2705">
        <v>3</v>
      </c>
      <c r="O2705">
        <v>59</v>
      </c>
      <c r="P2705">
        <v>62</v>
      </c>
    </row>
    <row r="2706" spans="1:16" x14ac:dyDescent="0.25">
      <c r="A2706">
        <v>914</v>
      </c>
      <c r="B2706" s="1">
        <v>40584</v>
      </c>
      <c r="C2706">
        <v>1</v>
      </c>
      <c r="D2706">
        <v>0</v>
      </c>
      <c r="E2706">
        <v>2</v>
      </c>
      <c r="F2706">
        <v>14</v>
      </c>
      <c r="G2706" t="b">
        <v>0</v>
      </c>
      <c r="H2706">
        <v>4</v>
      </c>
      <c r="I2706">
        <v>1</v>
      </c>
      <c r="J2706">
        <v>0.2</v>
      </c>
      <c r="K2706">
        <v>0.18179999999999999</v>
      </c>
      <c r="L2706">
        <v>0.27</v>
      </c>
      <c r="M2706">
        <v>0.28360000000000002</v>
      </c>
      <c r="N2706">
        <v>6</v>
      </c>
      <c r="O2706">
        <v>42</v>
      </c>
      <c r="P2706">
        <v>48</v>
      </c>
    </row>
    <row r="2707" spans="1:16" x14ac:dyDescent="0.25">
      <c r="A2707">
        <v>915</v>
      </c>
      <c r="B2707" s="1">
        <v>40584</v>
      </c>
      <c r="C2707">
        <v>1</v>
      </c>
      <c r="D2707">
        <v>0</v>
      </c>
      <c r="E2707">
        <v>2</v>
      </c>
      <c r="F2707">
        <v>15</v>
      </c>
      <c r="G2707" t="b">
        <v>0</v>
      </c>
      <c r="H2707">
        <v>4</v>
      </c>
      <c r="I2707">
        <v>1</v>
      </c>
      <c r="J2707">
        <v>0.2</v>
      </c>
      <c r="K2707">
        <v>0.19700000000000001</v>
      </c>
      <c r="L2707">
        <v>0.25</v>
      </c>
      <c r="M2707">
        <v>0.25369999999999998</v>
      </c>
      <c r="N2707">
        <v>0</v>
      </c>
      <c r="O2707">
        <v>50</v>
      </c>
      <c r="P2707">
        <v>50</v>
      </c>
    </row>
    <row r="2708" spans="1:16" x14ac:dyDescent="0.25">
      <c r="A2708">
        <v>916</v>
      </c>
      <c r="B2708" s="1">
        <v>40584</v>
      </c>
      <c r="C2708">
        <v>1</v>
      </c>
      <c r="D2708">
        <v>0</v>
      </c>
      <c r="E2708">
        <v>2</v>
      </c>
      <c r="F2708">
        <v>16</v>
      </c>
      <c r="G2708" t="b">
        <v>0</v>
      </c>
      <c r="H2708">
        <v>4</v>
      </c>
      <c r="I2708">
        <v>1</v>
      </c>
      <c r="J2708">
        <v>0.2</v>
      </c>
      <c r="K2708">
        <v>0.18179999999999999</v>
      </c>
      <c r="L2708">
        <v>0.27</v>
      </c>
      <c r="M2708">
        <v>0.29849999999999999</v>
      </c>
      <c r="N2708">
        <v>4</v>
      </c>
      <c r="O2708">
        <v>76</v>
      </c>
      <c r="P2708">
        <v>80</v>
      </c>
    </row>
    <row r="2709" spans="1:16" x14ac:dyDescent="0.25">
      <c r="A2709">
        <v>917</v>
      </c>
      <c r="B2709" s="1">
        <v>40584</v>
      </c>
      <c r="C2709">
        <v>1</v>
      </c>
      <c r="D2709">
        <v>0</v>
      </c>
      <c r="E2709">
        <v>2</v>
      </c>
      <c r="F2709">
        <v>17</v>
      </c>
      <c r="G2709" t="b">
        <v>0</v>
      </c>
      <c r="H2709">
        <v>4</v>
      </c>
      <c r="I2709">
        <v>1</v>
      </c>
      <c r="J2709">
        <v>0.18</v>
      </c>
      <c r="K2709">
        <v>0.18179999999999999</v>
      </c>
      <c r="L2709">
        <v>0.26</v>
      </c>
      <c r="M2709">
        <v>0.19400000000000001</v>
      </c>
      <c r="N2709">
        <v>6</v>
      </c>
      <c r="O2709">
        <v>159</v>
      </c>
      <c r="P2709">
        <v>165</v>
      </c>
    </row>
    <row r="2710" spans="1:16" x14ac:dyDescent="0.25">
      <c r="A2710">
        <v>918</v>
      </c>
      <c r="B2710" s="1">
        <v>40584</v>
      </c>
      <c r="C2710">
        <v>1</v>
      </c>
      <c r="D2710">
        <v>0</v>
      </c>
      <c r="E2710">
        <v>2</v>
      </c>
      <c r="F2710">
        <v>18</v>
      </c>
      <c r="G2710" t="b">
        <v>0</v>
      </c>
      <c r="H2710">
        <v>4</v>
      </c>
      <c r="I2710">
        <v>1</v>
      </c>
      <c r="J2710">
        <v>0.16</v>
      </c>
      <c r="K2710">
        <v>0.18179999999999999</v>
      </c>
      <c r="L2710">
        <v>0.28000000000000003</v>
      </c>
      <c r="M2710">
        <v>0.1343</v>
      </c>
      <c r="N2710">
        <v>3</v>
      </c>
      <c r="O2710">
        <v>157</v>
      </c>
      <c r="P2710">
        <v>160</v>
      </c>
    </row>
    <row r="2711" spans="1:16" x14ac:dyDescent="0.25">
      <c r="A2711">
        <v>919</v>
      </c>
      <c r="B2711" s="1">
        <v>40584</v>
      </c>
      <c r="C2711">
        <v>1</v>
      </c>
      <c r="D2711">
        <v>0</v>
      </c>
      <c r="E2711">
        <v>2</v>
      </c>
      <c r="F2711">
        <v>19</v>
      </c>
      <c r="G2711" t="b">
        <v>0</v>
      </c>
      <c r="H2711">
        <v>4</v>
      </c>
      <c r="I2711">
        <v>1</v>
      </c>
      <c r="J2711">
        <v>0.14000000000000001</v>
      </c>
      <c r="K2711">
        <v>0.16669999999999999</v>
      </c>
      <c r="L2711">
        <v>0.28000000000000003</v>
      </c>
      <c r="M2711">
        <v>0.1045</v>
      </c>
      <c r="N2711">
        <v>2</v>
      </c>
      <c r="O2711">
        <v>110</v>
      </c>
      <c r="P2711">
        <v>112</v>
      </c>
    </row>
    <row r="2712" spans="1:16" x14ac:dyDescent="0.25">
      <c r="A2712">
        <v>920</v>
      </c>
      <c r="B2712" s="1">
        <v>40584</v>
      </c>
      <c r="C2712">
        <v>1</v>
      </c>
      <c r="D2712">
        <v>0</v>
      </c>
      <c r="E2712">
        <v>2</v>
      </c>
      <c r="F2712">
        <v>20</v>
      </c>
      <c r="G2712" t="b">
        <v>0</v>
      </c>
      <c r="H2712">
        <v>4</v>
      </c>
      <c r="I2712">
        <v>1</v>
      </c>
      <c r="J2712">
        <v>0.14000000000000001</v>
      </c>
      <c r="K2712">
        <v>0.18179999999999999</v>
      </c>
      <c r="L2712">
        <v>0.31</v>
      </c>
      <c r="M2712">
        <v>8.9599999999999999E-2</v>
      </c>
      <c r="N2712">
        <v>4</v>
      </c>
      <c r="O2712">
        <v>93</v>
      </c>
      <c r="P2712">
        <v>97</v>
      </c>
    </row>
    <row r="2713" spans="1:16" x14ac:dyDescent="0.25">
      <c r="A2713">
        <v>921</v>
      </c>
      <c r="B2713" s="1">
        <v>40584</v>
      </c>
      <c r="C2713">
        <v>1</v>
      </c>
      <c r="D2713">
        <v>0</v>
      </c>
      <c r="E2713">
        <v>2</v>
      </c>
      <c r="F2713">
        <v>21</v>
      </c>
      <c r="G2713" t="b">
        <v>0</v>
      </c>
      <c r="H2713">
        <v>4</v>
      </c>
      <c r="I2713">
        <v>1</v>
      </c>
      <c r="J2713">
        <v>0.14000000000000001</v>
      </c>
      <c r="K2713">
        <v>0.21210000000000001</v>
      </c>
      <c r="L2713">
        <v>0.39</v>
      </c>
      <c r="M2713">
        <v>0</v>
      </c>
      <c r="N2713">
        <v>2</v>
      </c>
      <c r="O2713">
        <v>70</v>
      </c>
      <c r="P2713">
        <v>72</v>
      </c>
    </row>
    <row r="2714" spans="1:16" x14ac:dyDescent="0.25">
      <c r="A2714">
        <v>922</v>
      </c>
      <c r="B2714" s="1">
        <v>40584</v>
      </c>
      <c r="C2714">
        <v>1</v>
      </c>
      <c r="D2714">
        <v>0</v>
      </c>
      <c r="E2714">
        <v>2</v>
      </c>
      <c r="F2714">
        <v>22</v>
      </c>
      <c r="G2714" t="b">
        <v>0</v>
      </c>
      <c r="H2714">
        <v>4</v>
      </c>
      <c r="I2714">
        <v>1</v>
      </c>
      <c r="J2714">
        <v>0.12</v>
      </c>
      <c r="K2714">
        <v>0.19700000000000001</v>
      </c>
      <c r="L2714">
        <v>0.39</v>
      </c>
      <c r="M2714">
        <v>0</v>
      </c>
      <c r="N2714">
        <v>4</v>
      </c>
      <c r="O2714">
        <v>47</v>
      </c>
      <c r="P2714">
        <v>51</v>
      </c>
    </row>
    <row r="2715" spans="1:16" x14ac:dyDescent="0.25">
      <c r="A2715">
        <v>923</v>
      </c>
      <c r="B2715" s="1">
        <v>40584</v>
      </c>
      <c r="C2715">
        <v>1</v>
      </c>
      <c r="D2715">
        <v>0</v>
      </c>
      <c r="E2715">
        <v>2</v>
      </c>
      <c r="F2715">
        <v>23</v>
      </c>
      <c r="G2715" t="b">
        <v>0</v>
      </c>
      <c r="H2715">
        <v>4</v>
      </c>
      <c r="I2715">
        <v>1</v>
      </c>
      <c r="J2715">
        <v>0.12</v>
      </c>
      <c r="K2715">
        <v>0.1515</v>
      </c>
      <c r="L2715">
        <v>0.42</v>
      </c>
      <c r="M2715">
        <v>0.1045</v>
      </c>
      <c r="N2715">
        <v>1</v>
      </c>
      <c r="O2715">
        <v>33</v>
      </c>
      <c r="P2715">
        <v>34</v>
      </c>
    </row>
    <row r="2716" spans="1:16" x14ac:dyDescent="0.25">
      <c r="A2716">
        <v>924</v>
      </c>
      <c r="B2716" s="1">
        <v>40585</v>
      </c>
      <c r="C2716">
        <v>1</v>
      </c>
      <c r="D2716">
        <v>0</v>
      </c>
      <c r="E2716">
        <v>2</v>
      </c>
      <c r="F2716">
        <v>0</v>
      </c>
      <c r="G2716" t="b">
        <v>0</v>
      </c>
      <c r="H2716">
        <v>5</v>
      </c>
      <c r="I2716">
        <v>1</v>
      </c>
      <c r="J2716">
        <v>0.1</v>
      </c>
      <c r="K2716">
        <v>0.13639999999999999</v>
      </c>
      <c r="L2716">
        <v>0.49</v>
      </c>
      <c r="M2716">
        <v>0.1045</v>
      </c>
      <c r="N2716">
        <v>2</v>
      </c>
      <c r="O2716">
        <v>12</v>
      </c>
      <c r="P2716">
        <v>14</v>
      </c>
    </row>
    <row r="2717" spans="1:16" x14ac:dyDescent="0.25">
      <c r="A2717">
        <v>925</v>
      </c>
      <c r="B2717" s="1">
        <v>40585</v>
      </c>
      <c r="C2717">
        <v>1</v>
      </c>
      <c r="D2717">
        <v>0</v>
      </c>
      <c r="E2717">
        <v>2</v>
      </c>
      <c r="F2717">
        <v>1</v>
      </c>
      <c r="G2717" t="b">
        <v>0</v>
      </c>
      <c r="H2717">
        <v>5</v>
      </c>
      <c r="I2717">
        <v>1</v>
      </c>
      <c r="J2717">
        <v>0.1</v>
      </c>
      <c r="K2717">
        <v>0.13639999999999999</v>
      </c>
      <c r="L2717">
        <v>0.54</v>
      </c>
      <c r="M2717">
        <v>8.9599999999999999E-2</v>
      </c>
      <c r="N2717">
        <v>1</v>
      </c>
      <c r="O2717">
        <v>6</v>
      </c>
      <c r="P2717">
        <v>7</v>
      </c>
    </row>
    <row r="2718" spans="1:16" x14ac:dyDescent="0.25">
      <c r="A2718">
        <v>926</v>
      </c>
      <c r="B2718" s="1">
        <v>40585</v>
      </c>
      <c r="C2718">
        <v>1</v>
      </c>
      <c r="D2718">
        <v>0</v>
      </c>
      <c r="E2718">
        <v>2</v>
      </c>
      <c r="F2718">
        <v>2</v>
      </c>
      <c r="G2718" t="b">
        <v>0</v>
      </c>
      <c r="H2718">
        <v>5</v>
      </c>
      <c r="I2718">
        <v>1</v>
      </c>
      <c r="J2718">
        <v>0.1</v>
      </c>
      <c r="K2718">
        <v>0.13639999999999999</v>
      </c>
      <c r="L2718">
        <v>0.54</v>
      </c>
      <c r="M2718">
        <v>8.9599999999999999E-2</v>
      </c>
      <c r="N2718">
        <v>0</v>
      </c>
      <c r="O2718">
        <v>3</v>
      </c>
      <c r="P2718">
        <v>3</v>
      </c>
    </row>
    <row r="2719" spans="1:16" x14ac:dyDescent="0.25">
      <c r="A2719">
        <v>927</v>
      </c>
      <c r="B2719" s="1">
        <v>40585</v>
      </c>
      <c r="C2719">
        <v>1</v>
      </c>
      <c r="D2719">
        <v>0</v>
      </c>
      <c r="E2719">
        <v>2</v>
      </c>
      <c r="F2719">
        <v>5</v>
      </c>
      <c r="G2719" t="b">
        <v>0</v>
      </c>
      <c r="H2719">
        <v>5</v>
      </c>
      <c r="I2719">
        <v>1</v>
      </c>
      <c r="J2719">
        <v>0.08</v>
      </c>
      <c r="K2719">
        <v>0.1212</v>
      </c>
      <c r="L2719">
        <v>0.63</v>
      </c>
      <c r="M2719">
        <v>8.9599999999999999E-2</v>
      </c>
      <c r="N2719">
        <v>0</v>
      </c>
      <c r="O2719">
        <v>4</v>
      </c>
      <c r="P2719">
        <v>4</v>
      </c>
    </row>
    <row r="2720" spans="1:16" x14ac:dyDescent="0.25">
      <c r="A2720">
        <v>928</v>
      </c>
      <c r="B2720" s="1">
        <v>40585</v>
      </c>
      <c r="C2720">
        <v>1</v>
      </c>
      <c r="D2720">
        <v>0</v>
      </c>
      <c r="E2720">
        <v>2</v>
      </c>
      <c r="F2720">
        <v>6</v>
      </c>
      <c r="G2720" t="b">
        <v>0</v>
      </c>
      <c r="H2720">
        <v>5</v>
      </c>
      <c r="I2720">
        <v>1</v>
      </c>
      <c r="J2720">
        <v>0.1</v>
      </c>
      <c r="K2720">
        <v>0.18179999999999999</v>
      </c>
      <c r="L2720">
        <v>0.68</v>
      </c>
      <c r="M2720">
        <v>0</v>
      </c>
      <c r="N2720">
        <v>1</v>
      </c>
      <c r="O2720">
        <v>23</v>
      </c>
      <c r="P2720">
        <v>24</v>
      </c>
    </row>
    <row r="2721" spans="1:16" x14ac:dyDescent="0.25">
      <c r="A2721">
        <v>929</v>
      </c>
      <c r="B2721" s="1">
        <v>40585</v>
      </c>
      <c r="C2721">
        <v>1</v>
      </c>
      <c r="D2721">
        <v>0</v>
      </c>
      <c r="E2721">
        <v>2</v>
      </c>
      <c r="F2721">
        <v>7</v>
      </c>
      <c r="G2721" t="b">
        <v>0</v>
      </c>
      <c r="H2721">
        <v>5</v>
      </c>
      <c r="I2721">
        <v>1</v>
      </c>
      <c r="J2721">
        <v>0.08</v>
      </c>
      <c r="K2721">
        <v>0.16669999999999999</v>
      </c>
      <c r="L2721">
        <v>0.73</v>
      </c>
      <c r="M2721">
        <v>0</v>
      </c>
      <c r="N2721">
        <v>1</v>
      </c>
      <c r="O2721">
        <v>73</v>
      </c>
      <c r="P2721">
        <v>74</v>
      </c>
    </row>
    <row r="2722" spans="1:16" x14ac:dyDescent="0.25">
      <c r="A2722">
        <v>930</v>
      </c>
      <c r="B2722" s="1">
        <v>40585</v>
      </c>
      <c r="C2722">
        <v>1</v>
      </c>
      <c r="D2722">
        <v>0</v>
      </c>
      <c r="E2722">
        <v>2</v>
      </c>
      <c r="F2722">
        <v>8</v>
      </c>
      <c r="G2722" t="b">
        <v>0</v>
      </c>
      <c r="H2722">
        <v>5</v>
      </c>
      <c r="I2722">
        <v>1</v>
      </c>
      <c r="J2722">
        <v>0.1</v>
      </c>
      <c r="K2722">
        <v>0.1212</v>
      </c>
      <c r="L2722">
        <v>0.74</v>
      </c>
      <c r="M2722">
        <v>0.16420000000000001</v>
      </c>
      <c r="N2722">
        <v>4</v>
      </c>
      <c r="O2722">
        <v>212</v>
      </c>
      <c r="P2722">
        <v>216</v>
      </c>
    </row>
    <row r="2723" spans="1:16" x14ac:dyDescent="0.25">
      <c r="A2723">
        <v>931</v>
      </c>
      <c r="B2723" s="1">
        <v>40585</v>
      </c>
      <c r="C2723">
        <v>1</v>
      </c>
      <c r="D2723">
        <v>0</v>
      </c>
      <c r="E2723">
        <v>2</v>
      </c>
      <c r="F2723">
        <v>9</v>
      </c>
      <c r="G2723" t="b">
        <v>0</v>
      </c>
      <c r="H2723">
        <v>5</v>
      </c>
      <c r="I2723">
        <v>1</v>
      </c>
      <c r="J2723">
        <v>0.12</v>
      </c>
      <c r="K2723">
        <v>0.1212</v>
      </c>
      <c r="L2723">
        <v>0.74</v>
      </c>
      <c r="M2723">
        <v>0.22389999999999999</v>
      </c>
      <c r="N2723">
        <v>8</v>
      </c>
      <c r="O2723">
        <v>132</v>
      </c>
      <c r="P2723">
        <v>140</v>
      </c>
    </row>
    <row r="2724" spans="1:16" x14ac:dyDescent="0.25">
      <c r="A2724">
        <v>932</v>
      </c>
      <c r="B2724" s="1">
        <v>40585</v>
      </c>
      <c r="C2724">
        <v>1</v>
      </c>
      <c r="D2724">
        <v>0</v>
      </c>
      <c r="E2724">
        <v>2</v>
      </c>
      <c r="F2724">
        <v>10</v>
      </c>
      <c r="G2724" t="b">
        <v>0</v>
      </c>
      <c r="H2724">
        <v>5</v>
      </c>
      <c r="I2724">
        <v>1</v>
      </c>
      <c r="J2724">
        <v>0.14000000000000001</v>
      </c>
      <c r="K2724">
        <v>0.13639999999999999</v>
      </c>
      <c r="L2724">
        <v>0.69</v>
      </c>
      <c r="M2724">
        <v>0.19400000000000001</v>
      </c>
      <c r="N2724">
        <v>5</v>
      </c>
      <c r="O2724">
        <v>39</v>
      </c>
      <c r="P2724">
        <v>44</v>
      </c>
    </row>
    <row r="2725" spans="1:16" x14ac:dyDescent="0.25">
      <c r="A2725">
        <v>933</v>
      </c>
      <c r="B2725" s="1">
        <v>40585</v>
      </c>
      <c r="C2725">
        <v>1</v>
      </c>
      <c r="D2725">
        <v>0</v>
      </c>
      <c r="E2725">
        <v>2</v>
      </c>
      <c r="F2725">
        <v>11</v>
      </c>
      <c r="G2725" t="b">
        <v>0</v>
      </c>
      <c r="H2725">
        <v>5</v>
      </c>
      <c r="I2725">
        <v>1</v>
      </c>
      <c r="J2725">
        <v>0.22</v>
      </c>
      <c r="K2725">
        <v>0.2273</v>
      </c>
      <c r="L2725">
        <v>0.47</v>
      </c>
      <c r="M2725">
        <v>0.1343</v>
      </c>
      <c r="N2725">
        <v>12</v>
      </c>
      <c r="O2725">
        <v>52</v>
      </c>
      <c r="P2725">
        <v>64</v>
      </c>
    </row>
    <row r="2726" spans="1:16" x14ac:dyDescent="0.25">
      <c r="A2726">
        <v>934</v>
      </c>
      <c r="B2726" s="1">
        <v>40585</v>
      </c>
      <c r="C2726">
        <v>1</v>
      </c>
      <c r="D2726">
        <v>0</v>
      </c>
      <c r="E2726">
        <v>2</v>
      </c>
      <c r="F2726">
        <v>12</v>
      </c>
      <c r="G2726" t="b">
        <v>0</v>
      </c>
      <c r="H2726">
        <v>5</v>
      </c>
      <c r="I2726">
        <v>1</v>
      </c>
      <c r="J2726">
        <v>0.22</v>
      </c>
      <c r="K2726">
        <v>0.2273</v>
      </c>
      <c r="L2726">
        <v>0.47</v>
      </c>
      <c r="M2726">
        <v>0.1343</v>
      </c>
      <c r="N2726">
        <v>7</v>
      </c>
      <c r="O2726">
        <v>64</v>
      </c>
      <c r="P2726">
        <v>71</v>
      </c>
    </row>
    <row r="2727" spans="1:16" x14ac:dyDescent="0.25">
      <c r="A2727">
        <v>935</v>
      </c>
      <c r="B2727" s="1">
        <v>40585</v>
      </c>
      <c r="C2727">
        <v>1</v>
      </c>
      <c r="D2727">
        <v>0</v>
      </c>
      <c r="E2727">
        <v>2</v>
      </c>
      <c r="F2727">
        <v>13</v>
      </c>
      <c r="G2727" t="b">
        <v>0</v>
      </c>
      <c r="H2727">
        <v>5</v>
      </c>
      <c r="I2727">
        <v>1</v>
      </c>
      <c r="J2727">
        <v>0.24</v>
      </c>
      <c r="K2727">
        <v>0.2273</v>
      </c>
      <c r="L2727">
        <v>0.35</v>
      </c>
      <c r="M2727">
        <v>0.19400000000000001</v>
      </c>
      <c r="N2727">
        <v>21</v>
      </c>
      <c r="O2727">
        <v>89</v>
      </c>
      <c r="P2727">
        <v>110</v>
      </c>
    </row>
    <row r="2728" spans="1:16" x14ac:dyDescent="0.25">
      <c r="A2728">
        <v>936</v>
      </c>
      <c r="B2728" s="1">
        <v>40585</v>
      </c>
      <c r="C2728">
        <v>1</v>
      </c>
      <c r="D2728">
        <v>0</v>
      </c>
      <c r="E2728">
        <v>2</v>
      </c>
      <c r="F2728">
        <v>14</v>
      </c>
      <c r="G2728" t="b">
        <v>0</v>
      </c>
      <c r="H2728">
        <v>5</v>
      </c>
      <c r="I2728">
        <v>1</v>
      </c>
      <c r="J2728">
        <v>0.3</v>
      </c>
      <c r="K2728">
        <v>0.28789999999999999</v>
      </c>
      <c r="L2728">
        <v>0.26</v>
      </c>
      <c r="M2728">
        <v>0.25369999999999998</v>
      </c>
      <c r="N2728">
        <v>17</v>
      </c>
      <c r="O2728">
        <v>67</v>
      </c>
      <c r="P2728">
        <v>84</v>
      </c>
    </row>
    <row r="2729" spans="1:16" x14ac:dyDescent="0.25">
      <c r="A2729">
        <v>937</v>
      </c>
      <c r="B2729" s="1">
        <v>40585</v>
      </c>
      <c r="C2729">
        <v>1</v>
      </c>
      <c r="D2729">
        <v>0</v>
      </c>
      <c r="E2729">
        <v>2</v>
      </c>
      <c r="F2729">
        <v>15</v>
      </c>
      <c r="G2729" t="b">
        <v>0</v>
      </c>
      <c r="H2729">
        <v>5</v>
      </c>
      <c r="I2729">
        <v>1</v>
      </c>
      <c r="J2729">
        <v>0.32</v>
      </c>
      <c r="K2729">
        <v>0.31819999999999998</v>
      </c>
      <c r="L2729">
        <v>0.21</v>
      </c>
      <c r="M2729">
        <v>0.16420000000000001</v>
      </c>
      <c r="N2729">
        <v>12</v>
      </c>
      <c r="O2729">
        <v>62</v>
      </c>
      <c r="P2729">
        <v>74</v>
      </c>
    </row>
    <row r="2730" spans="1:16" x14ac:dyDescent="0.25">
      <c r="A2730">
        <v>938</v>
      </c>
      <c r="B2730" s="1">
        <v>40585</v>
      </c>
      <c r="C2730">
        <v>1</v>
      </c>
      <c r="D2730">
        <v>0</v>
      </c>
      <c r="E2730">
        <v>2</v>
      </c>
      <c r="F2730">
        <v>16</v>
      </c>
      <c r="G2730" t="b">
        <v>0</v>
      </c>
      <c r="H2730">
        <v>5</v>
      </c>
      <c r="I2730">
        <v>1</v>
      </c>
      <c r="J2730">
        <v>0.3</v>
      </c>
      <c r="K2730">
        <v>0.28789999999999999</v>
      </c>
      <c r="L2730">
        <v>0.28000000000000003</v>
      </c>
      <c r="M2730">
        <v>0.19400000000000001</v>
      </c>
      <c r="N2730">
        <v>14</v>
      </c>
      <c r="O2730">
        <v>111</v>
      </c>
      <c r="P2730">
        <v>125</v>
      </c>
    </row>
    <row r="2731" spans="1:16" x14ac:dyDescent="0.25">
      <c r="A2731">
        <v>939</v>
      </c>
      <c r="B2731" s="1">
        <v>40585</v>
      </c>
      <c r="C2731">
        <v>1</v>
      </c>
      <c r="D2731">
        <v>0</v>
      </c>
      <c r="E2731">
        <v>2</v>
      </c>
      <c r="F2731">
        <v>17</v>
      </c>
      <c r="G2731" t="b">
        <v>0</v>
      </c>
      <c r="H2731">
        <v>5</v>
      </c>
      <c r="I2731">
        <v>1</v>
      </c>
      <c r="J2731">
        <v>0.3</v>
      </c>
      <c r="K2731">
        <v>0.33329999999999999</v>
      </c>
      <c r="L2731">
        <v>0.24</v>
      </c>
      <c r="M2731">
        <v>0</v>
      </c>
      <c r="N2731">
        <v>18</v>
      </c>
      <c r="O2731">
        <v>193</v>
      </c>
      <c r="P2731">
        <v>211</v>
      </c>
    </row>
    <row r="2732" spans="1:16" x14ac:dyDescent="0.25">
      <c r="A2732">
        <v>940</v>
      </c>
      <c r="B2732" s="1">
        <v>40585</v>
      </c>
      <c r="C2732">
        <v>1</v>
      </c>
      <c r="D2732">
        <v>0</v>
      </c>
      <c r="E2732">
        <v>2</v>
      </c>
      <c r="F2732">
        <v>18</v>
      </c>
      <c r="G2732" t="b">
        <v>0</v>
      </c>
      <c r="H2732">
        <v>5</v>
      </c>
      <c r="I2732">
        <v>1</v>
      </c>
      <c r="J2732">
        <v>0.28000000000000003</v>
      </c>
      <c r="K2732">
        <v>0.31819999999999998</v>
      </c>
      <c r="L2732">
        <v>0.28000000000000003</v>
      </c>
      <c r="M2732">
        <v>0</v>
      </c>
      <c r="N2732">
        <v>9</v>
      </c>
      <c r="O2732">
        <v>165</v>
      </c>
      <c r="P2732">
        <v>174</v>
      </c>
    </row>
    <row r="2733" spans="1:16" x14ac:dyDescent="0.25">
      <c r="A2733">
        <v>941</v>
      </c>
      <c r="B2733" s="1">
        <v>40585</v>
      </c>
      <c r="C2733">
        <v>1</v>
      </c>
      <c r="D2733">
        <v>0</v>
      </c>
      <c r="E2733">
        <v>2</v>
      </c>
      <c r="F2733">
        <v>19</v>
      </c>
      <c r="G2733" t="b">
        <v>0</v>
      </c>
      <c r="H2733">
        <v>5</v>
      </c>
      <c r="I2733">
        <v>1</v>
      </c>
      <c r="J2733">
        <v>0.26</v>
      </c>
      <c r="K2733">
        <v>0.30299999999999999</v>
      </c>
      <c r="L2733">
        <v>0.33</v>
      </c>
      <c r="M2733">
        <v>0</v>
      </c>
      <c r="N2733">
        <v>7</v>
      </c>
      <c r="O2733">
        <v>94</v>
      </c>
      <c r="P2733">
        <v>101</v>
      </c>
    </row>
    <row r="2734" spans="1:16" x14ac:dyDescent="0.25">
      <c r="A2734">
        <v>942</v>
      </c>
      <c r="B2734" s="1">
        <v>40585</v>
      </c>
      <c r="C2734">
        <v>1</v>
      </c>
      <c r="D2734">
        <v>0</v>
      </c>
      <c r="E2734">
        <v>2</v>
      </c>
      <c r="F2734">
        <v>20</v>
      </c>
      <c r="G2734" t="b">
        <v>0</v>
      </c>
      <c r="H2734">
        <v>5</v>
      </c>
      <c r="I2734">
        <v>1</v>
      </c>
      <c r="J2734">
        <v>0.22</v>
      </c>
      <c r="K2734">
        <v>0.2273</v>
      </c>
      <c r="L2734">
        <v>0.55000000000000004</v>
      </c>
      <c r="M2734">
        <v>0.1343</v>
      </c>
      <c r="N2734">
        <v>2</v>
      </c>
      <c r="O2734">
        <v>61</v>
      </c>
      <c r="P2734">
        <v>63</v>
      </c>
    </row>
    <row r="2735" spans="1:16" x14ac:dyDescent="0.25">
      <c r="A2735">
        <v>943</v>
      </c>
      <c r="B2735" s="1">
        <v>40585</v>
      </c>
      <c r="C2735">
        <v>1</v>
      </c>
      <c r="D2735">
        <v>0</v>
      </c>
      <c r="E2735">
        <v>2</v>
      </c>
      <c r="F2735">
        <v>21</v>
      </c>
      <c r="G2735" t="b">
        <v>0</v>
      </c>
      <c r="H2735">
        <v>5</v>
      </c>
      <c r="I2735">
        <v>1</v>
      </c>
      <c r="J2735">
        <v>0.2</v>
      </c>
      <c r="K2735">
        <v>0.21210000000000001</v>
      </c>
      <c r="L2735">
        <v>0.59</v>
      </c>
      <c r="M2735">
        <v>0.1343</v>
      </c>
      <c r="N2735">
        <v>1</v>
      </c>
      <c r="O2735">
        <v>46</v>
      </c>
      <c r="P2735">
        <v>47</v>
      </c>
    </row>
    <row r="2736" spans="1:16" x14ac:dyDescent="0.25">
      <c r="A2736">
        <v>944</v>
      </c>
      <c r="B2736" s="1">
        <v>40585</v>
      </c>
      <c r="C2736">
        <v>1</v>
      </c>
      <c r="D2736">
        <v>0</v>
      </c>
      <c r="E2736">
        <v>2</v>
      </c>
      <c r="F2736">
        <v>22</v>
      </c>
      <c r="G2736" t="b">
        <v>0</v>
      </c>
      <c r="H2736">
        <v>5</v>
      </c>
      <c r="I2736">
        <v>1</v>
      </c>
      <c r="J2736">
        <v>0.2</v>
      </c>
      <c r="K2736">
        <v>0.2273</v>
      </c>
      <c r="L2736">
        <v>0.64</v>
      </c>
      <c r="M2736">
        <v>8.9599999999999999E-2</v>
      </c>
      <c r="N2736">
        <v>2</v>
      </c>
      <c r="O2736">
        <v>41</v>
      </c>
      <c r="P2736">
        <v>43</v>
      </c>
    </row>
    <row r="2737" spans="1:16" x14ac:dyDescent="0.25">
      <c r="A2737">
        <v>945</v>
      </c>
      <c r="B2737" s="1">
        <v>40585</v>
      </c>
      <c r="C2737">
        <v>1</v>
      </c>
      <c r="D2737">
        <v>0</v>
      </c>
      <c r="E2737">
        <v>2</v>
      </c>
      <c r="F2737">
        <v>23</v>
      </c>
      <c r="G2737" t="b">
        <v>0</v>
      </c>
      <c r="H2737">
        <v>5</v>
      </c>
      <c r="I2737">
        <v>1</v>
      </c>
      <c r="J2737">
        <v>0.18</v>
      </c>
      <c r="K2737">
        <v>0.2424</v>
      </c>
      <c r="L2737">
        <v>0.69</v>
      </c>
      <c r="M2737">
        <v>0</v>
      </c>
      <c r="N2737">
        <v>5</v>
      </c>
      <c r="O2737">
        <v>48</v>
      </c>
      <c r="P2737">
        <v>53</v>
      </c>
    </row>
    <row r="2738" spans="1:16" x14ac:dyDescent="0.25">
      <c r="A2738">
        <v>946</v>
      </c>
      <c r="B2738" s="1">
        <v>40586</v>
      </c>
      <c r="C2738">
        <v>1</v>
      </c>
      <c r="D2738">
        <v>0</v>
      </c>
      <c r="E2738">
        <v>2</v>
      </c>
      <c r="F2738">
        <v>0</v>
      </c>
      <c r="G2738" t="b">
        <v>0</v>
      </c>
      <c r="H2738">
        <v>6</v>
      </c>
      <c r="I2738">
        <v>1</v>
      </c>
      <c r="J2738">
        <v>0.16</v>
      </c>
      <c r="K2738">
        <v>0.19700000000000001</v>
      </c>
      <c r="L2738">
        <v>0.69</v>
      </c>
      <c r="M2738">
        <v>8.9599999999999999E-2</v>
      </c>
      <c r="N2738">
        <v>3</v>
      </c>
      <c r="O2738">
        <v>27</v>
      </c>
      <c r="P2738">
        <v>30</v>
      </c>
    </row>
    <row r="2739" spans="1:16" x14ac:dyDescent="0.25">
      <c r="A2739">
        <v>947</v>
      </c>
      <c r="B2739" s="1">
        <v>40586</v>
      </c>
      <c r="C2739">
        <v>1</v>
      </c>
      <c r="D2739">
        <v>0</v>
      </c>
      <c r="E2739">
        <v>2</v>
      </c>
      <c r="F2739">
        <v>1</v>
      </c>
      <c r="G2739" t="b">
        <v>0</v>
      </c>
      <c r="H2739">
        <v>6</v>
      </c>
      <c r="I2739">
        <v>1</v>
      </c>
      <c r="J2739">
        <v>0.14000000000000001</v>
      </c>
      <c r="K2739">
        <v>0.21210000000000001</v>
      </c>
      <c r="L2739">
        <v>0.86</v>
      </c>
      <c r="M2739">
        <v>0</v>
      </c>
      <c r="N2739">
        <v>2</v>
      </c>
      <c r="O2739">
        <v>22</v>
      </c>
      <c r="P2739">
        <v>24</v>
      </c>
    </row>
    <row r="2740" spans="1:16" x14ac:dyDescent="0.25">
      <c r="A2740">
        <v>948</v>
      </c>
      <c r="B2740" s="1">
        <v>40586</v>
      </c>
      <c r="C2740">
        <v>1</v>
      </c>
      <c r="D2740">
        <v>0</v>
      </c>
      <c r="E2740">
        <v>2</v>
      </c>
      <c r="F2740">
        <v>2</v>
      </c>
      <c r="G2740" t="b">
        <v>0</v>
      </c>
      <c r="H2740">
        <v>6</v>
      </c>
      <c r="I2740">
        <v>1</v>
      </c>
      <c r="J2740">
        <v>0.14000000000000001</v>
      </c>
      <c r="K2740">
        <v>0.21210000000000001</v>
      </c>
      <c r="L2740">
        <v>0.8</v>
      </c>
      <c r="M2740">
        <v>0</v>
      </c>
      <c r="N2740">
        <v>2</v>
      </c>
      <c r="O2740">
        <v>13</v>
      </c>
      <c r="P2740">
        <v>15</v>
      </c>
    </row>
    <row r="2741" spans="1:16" x14ac:dyDescent="0.25">
      <c r="A2741">
        <v>949</v>
      </c>
      <c r="B2741" s="1">
        <v>40586</v>
      </c>
      <c r="C2741">
        <v>1</v>
      </c>
      <c r="D2741">
        <v>0</v>
      </c>
      <c r="E2741">
        <v>2</v>
      </c>
      <c r="F2741">
        <v>3</v>
      </c>
      <c r="G2741" t="b">
        <v>0</v>
      </c>
      <c r="H2741">
        <v>6</v>
      </c>
      <c r="I2741">
        <v>1</v>
      </c>
      <c r="J2741">
        <v>0.12</v>
      </c>
      <c r="K2741">
        <v>0.19700000000000001</v>
      </c>
      <c r="L2741">
        <v>0.8</v>
      </c>
      <c r="M2741">
        <v>0</v>
      </c>
      <c r="N2741">
        <v>3</v>
      </c>
      <c r="O2741">
        <v>7</v>
      </c>
      <c r="P2741">
        <v>10</v>
      </c>
    </row>
    <row r="2742" spans="1:16" x14ac:dyDescent="0.25">
      <c r="A2742">
        <v>950</v>
      </c>
      <c r="B2742" s="1">
        <v>40586</v>
      </c>
      <c r="C2742">
        <v>1</v>
      </c>
      <c r="D2742">
        <v>0</v>
      </c>
      <c r="E2742">
        <v>2</v>
      </c>
      <c r="F2742">
        <v>4</v>
      </c>
      <c r="G2742" t="b">
        <v>0</v>
      </c>
      <c r="H2742">
        <v>6</v>
      </c>
      <c r="I2742">
        <v>1</v>
      </c>
      <c r="J2742">
        <v>0.12</v>
      </c>
      <c r="K2742">
        <v>0.16669999999999999</v>
      </c>
      <c r="L2742">
        <v>0.74</v>
      </c>
      <c r="M2742">
        <v>8.9599999999999999E-2</v>
      </c>
      <c r="N2742">
        <v>0</v>
      </c>
      <c r="O2742">
        <v>4</v>
      </c>
      <c r="P2742">
        <v>4</v>
      </c>
    </row>
    <row r="2743" spans="1:16" x14ac:dyDescent="0.25">
      <c r="A2743">
        <v>951</v>
      </c>
      <c r="B2743" s="1">
        <v>40586</v>
      </c>
      <c r="C2743">
        <v>1</v>
      </c>
      <c r="D2743">
        <v>0</v>
      </c>
      <c r="E2743">
        <v>2</v>
      </c>
      <c r="F2743">
        <v>5</v>
      </c>
      <c r="G2743" t="b">
        <v>0</v>
      </c>
      <c r="H2743">
        <v>6</v>
      </c>
      <c r="I2743">
        <v>1</v>
      </c>
      <c r="J2743">
        <v>0.12</v>
      </c>
      <c r="K2743">
        <v>0.16669999999999999</v>
      </c>
      <c r="L2743">
        <v>0.74</v>
      </c>
      <c r="M2743">
        <v>8.9599999999999999E-2</v>
      </c>
      <c r="N2743">
        <v>0</v>
      </c>
      <c r="O2743">
        <v>1</v>
      </c>
      <c r="P2743">
        <v>1</v>
      </c>
    </row>
    <row r="2744" spans="1:16" x14ac:dyDescent="0.25">
      <c r="A2744">
        <v>952</v>
      </c>
      <c r="B2744" s="1">
        <v>40586</v>
      </c>
      <c r="C2744">
        <v>1</v>
      </c>
      <c r="D2744">
        <v>0</v>
      </c>
      <c r="E2744">
        <v>2</v>
      </c>
      <c r="F2744">
        <v>6</v>
      </c>
      <c r="G2744" t="b">
        <v>0</v>
      </c>
      <c r="H2744">
        <v>6</v>
      </c>
      <c r="I2744">
        <v>1</v>
      </c>
      <c r="J2744">
        <v>0.12</v>
      </c>
      <c r="K2744">
        <v>0.13639999999999999</v>
      </c>
      <c r="L2744">
        <v>0.93</v>
      </c>
      <c r="M2744">
        <v>0.19400000000000001</v>
      </c>
      <c r="N2744">
        <v>1</v>
      </c>
      <c r="O2744">
        <v>1</v>
      </c>
      <c r="P2744">
        <v>2</v>
      </c>
    </row>
    <row r="2745" spans="1:16" x14ac:dyDescent="0.25">
      <c r="A2745">
        <v>953</v>
      </c>
      <c r="B2745" s="1">
        <v>40586</v>
      </c>
      <c r="C2745">
        <v>1</v>
      </c>
      <c r="D2745">
        <v>0</v>
      </c>
      <c r="E2745">
        <v>2</v>
      </c>
      <c r="F2745">
        <v>7</v>
      </c>
      <c r="G2745" t="b">
        <v>0</v>
      </c>
      <c r="H2745">
        <v>6</v>
      </c>
      <c r="I2745">
        <v>1</v>
      </c>
      <c r="J2745">
        <v>0.12</v>
      </c>
      <c r="K2745">
        <v>0.1515</v>
      </c>
      <c r="L2745">
        <v>0.8</v>
      </c>
      <c r="M2745">
        <v>0.1045</v>
      </c>
      <c r="N2745">
        <v>2</v>
      </c>
      <c r="O2745">
        <v>9</v>
      </c>
      <c r="P2745">
        <v>11</v>
      </c>
    </row>
    <row r="2746" spans="1:16" x14ac:dyDescent="0.25">
      <c r="A2746">
        <v>954</v>
      </c>
      <c r="B2746" s="1">
        <v>40586</v>
      </c>
      <c r="C2746">
        <v>1</v>
      </c>
      <c r="D2746">
        <v>0</v>
      </c>
      <c r="E2746">
        <v>2</v>
      </c>
      <c r="F2746">
        <v>8</v>
      </c>
      <c r="G2746" t="b">
        <v>0</v>
      </c>
      <c r="H2746">
        <v>6</v>
      </c>
      <c r="I2746">
        <v>1</v>
      </c>
      <c r="J2746">
        <v>0.14000000000000001</v>
      </c>
      <c r="K2746">
        <v>0.1515</v>
      </c>
      <c r="L2746">
        <v>0.86</v>
      </c>
      <c r="M2746">
        <v>0.1343</v>
      </c>
      <c r="N2746">
        <v>2</v>
      </c>
      <c r="O2746">
        <v>28</v>
      </c>
      <c r="P2746">
        <v>30</v>
      </c>
    </row>
    <row r="2747" spans="1:16" x14ac:dyDescent="0.25">
      <c r="A2747">
        <v>955</v>
      </c>
      <c r="B2747" s="1">
        <v>40586</v>
      </c>
      <c r="C2747">
        <v>1</v>
      </c>
      <c r="D2747">
        <v>0</v>
      </c>
      <c r="E2747">
        <v>2</v>
      </c>
      <c r="F2747">
        <v>9</v>
      </c>
      <c r="G2747" t="b">
        <v>0</v>
      </c>
      <c r="H2747">
        <v>6</v>
      </c>
      <c r="I2747">
        <v>1</v>
      </c>
      <c r="J2747">
        <v>0.16</v>
      </c>
      <c r="K2747">
        <v>0.18179999999999999</v>
      </c>
      <c r="L2747">
        <v>0.64</v>
      </c>
      <c r="M2747">
        <v>0.1343</v>
      </c>
      <c r="N2747">
        <v>5</v>
      </c>
      <c r="O2747">
        <v>38</v>
      </c>
      <c r="P2747">
        <v>43</v>
      </c>
    </row>
    <row r="2748" spans="1:16" x14ac:dyDescent="0.25">
      <c r="A2748">
        <v>956</v>
      </c>
      <c r="B2748" s="1">
        <v>40586</v>
      </c>
      <c r="C2748">
        <v>1</v>
      </c>
      <c r="D2748">
        <v>0</v>
      </c>
      <c r="E2748">
        <v>2</v>
      </c>
      <c r="F2748">
        <v>10</v>
      </c>
      <c r="G2748" t="b">
        <v>0</v>
      </c>
      <c r="H2748">
        <v>6</v>
      </c>
      <c r="I2748">
        <v>1</v>
      </c>
      <c r="J2748">
        <v>0.22</v>
      </c>
      <c r="K2748">
        <v>0.21210000000000001</v>
      </c>
      <c r="L2748">
        <v>0.41</v>
      </c>
      <c r="M2748">
        <v>0.25369999999999998</v>
      </c>
      <c r="N2748">
        <v>13</v>
      </c>
      <c r="O2748">
        <v>71</v>
      </c>
      <c r="P2748">
        <v>84</v>
      </c>
    </row>
    <row r="2749" spans="1:16" x14ac:dyDescent="0.25">
      <c r="A2749">
        <v>957</v>
      </c>
      <c r="B2749" s="1">
        <v>40586</v>
      </c>
      <c r="C2749">
        <v>1</v>
      </c>
      <c r="D2749">
        <v>0</v>
      </c>
      <c r="E2749">
        <v>2</v>
      </c>
      <c r="F2749">
        <v>11</v>
      </c>
      <c r="G2749" t="b">
        <v>0</v>
      </c>
      <c r="H2749">
        <v>6</v>
      </c>
      <c r="I2749">
        <v>1</v>
      </c>
      <c r="J2749">
        <v>0.3</v>
      </c>
      <c r="K2749">
        <v>0.2727</v>
      </c>
      <c r="L2749">
        <v>0.28000000000000003</v>
      </c>
      <c r="M2749">
        <v>0.32840000000000003</v>
      </c>
      <c r="N2749">
        <v>30</v>
      </c>
      <c r="O2749">
        <v>84</v>
      </c>
      <c r="P2749">
        <v>114</v>
      </c>
    </row>
    <row r="2750" spans="1:16" x14ac:dyDescent="0.25">
      <c r="A2750">
        <v>958</v>
      </c>
      <c r="B2750" s="1">
        <v>40586</v>
      </c>
      <c r="C2750">
        <v>1</v>
      </c>
      <c r="D2750">
        <v>0</v>
      </c>
      <c r="E2750">
        <v>2</v>
      </c>
      <c r="F2750">
        <v>12</v>
      </c>
      <c r="G2750" t="b">
        <v>0</v>
      </c>
      <c r="H2750">
        <v>6</v>
      </c>
      <c r="I2750">
        <v>1</v>
      </c>
      <c r="J2750">
        <v>0.3</v>
      </c>
      <c r="K2750">
        <v>0.2727</v>
      </c>
      <c r="L2750">
        <v>0.39</v>
      </c>
      <c r="M2750">
        <v>0.4627</v>
      </c>
      <c r="N2750">
        <v>27</v>
      </c>
      <c r="O2750">
        <v>93</v>
      </c>
      <c r="P2750">
        <v>120</v>
      </c>
    </row>
    <row r="2751" spans="1:16" x14ac:dyDescent="0.25">
      <c r="A2751">
        <v>959</v>
      </c>
      <c r="B2751" s="1">
        <v>40586</v>
      </c>
      <c r="C2751">
        <v>1</v>
      </c>
      <c r="D2751">
        <v>0</v>
      </c>
      <c r="E2751">
        <v>2</v>
      </c>
      <c r="F2751">
        <v>13</v>
      </c>
      <c r="G2751" t="b">
        <v>0</v>
      </c>
      <c r="H2751">
        <v>6</v>
      </c>
      <c r="I2751">
        <v>1</v>
      </c>
      <c r="J2751">
        <v>0.3</v>
      </c>
      <c r="K2751">
        <v>0.2727</v>
      </c>
      <c r="L2751">
        <v>0.39</v>
      </c>
      <c r="M2751">
        <v>0.41789999999999999</v>
      </c>
      <c r="N2751">
        <v>32</v>
      </c>
      <c r="O2751">
        <v>103</v>
      </c>
      <c r="P2751">
        <v>135</v>
      </c>
    </row>
    <row r="2752" spans="1:16" x14ac:dyDescent="0.25">
      <c r="A2752">
        <v>960</v>
      </c>
      <c r="B2752" s="1">
        <v>40586</v>
      </c>
      <c r="C2752">
        <v>1</v>
      </c>
      <c r="D2752">
        <v>0</v>
      </c>
      <c r="E2752">
        <v>2</v>
      </c>
      <c r="F2752">
        <v>14</v>
      </c>
      <c r="G2752" t="b">
        <v>0</v>
      </c>
      <c r="H2752">
        <v>6</v>
      </c>
      <c r="I2752">
        <v>1</v>
      </c>
      <c r="J2752">
        <v>0.34</v>
      </c>
      <c r="K2752">
        <v>0.31819999999999998</v>
      </c>
      <c r="L2752">
        <v>0.31</v>
      </c>
      <c r="M2752">
        <v>0.28360000000000002</v>
      </c>
      <c r="N2752">
        <v>30</v>
      </c>
      <c r="O2752">
        <v>90</v>
      </c>
      <c r="P2752">
        <v>120</v>
      </c>
    </row>
    <row r="2753" spans="1:16" x14ac:dyDescent="0.25">
      <c r="A2753">
        <v>961</v>
      </c>
      <c r="B2753" s="1">
        <v>40586</v>
      </c>
      <c r="C2753">
        <v>1</v>
      </c>
      <c r="D2753">
        <v>0</v>
      </c>
      <c r="E2753">
        <v>2</v>
      </c>
      <c r="F2753">
        <v>15</v>
      </c>
      <c r="G2753" t="b">
        <v>0</v>
      </c>
      <c r="H2753">
        <v>6</v>
      </c>
      <c r="I2753">
        <v>1</v>
      </c>
      <c r="J2753">
        <v>0.34</v>
      </c>
      <c r="K2753">
        <v>0.30299999999999999</v>
      </c>
      <c r="L2753">
        <v>0.28999999999999998</v>
      </c>
      <c r="M2753">
        <v>0.41789999999999999</v>
      </c>
      <c r="N2753">
        <v>47</v>
      </c>
      <c r="O2753">
        <v>127</v>
      </c>
      <c r="P2753">
        <v>174</v>
      </c>
    </row>
    <row r="2754" spans="1:16" x14ac:dyDescent="0.25">
      <c r="A2754">
        <v>962</v>
      </c>
      <c r="B2754" s="1">
        <v>40586</v>
      </c>
      <c r="C2754">
        <v>1</v>
      </c>
      <c r="D2754">
        <v>0</v>
      </c>
      <c r="E2754">
        <v>2</v>
      </c>
      <c r="F2754">
        <v>16</v>
      </c>
      <c r="G2754" t="b">
        <v>0</v>
      </c>
      <c r="H2754">
        <v>6</v>
      </c>
      <c r="I2754">
        <v>1</v>
      </c>
      <c r="J2754">
        <v>0.34</v>
      </c>
      <c r="K2754">
        <v>0.30299999999999999</v>
      </c>
      <c r="L2754">
        <v>0.28999999999999998</v>
      </c>
      <c r="M2754">
        <v>0.41789999999999999</v>
      </c>
      <c r="N2754">
        <v>42</v>
      </c>
      <c r="O2754">
        <v>103</v>
      </c>
      <c r="P2754">
        <v>145</v>
      </c>
    </row>
    <row r="2755" spans="1:16" x14ac:dyDescent="0.25">
      <c r="A2755">
        <v>963</v>
      </c>
      <c r="B2755" s="1">
        <v>40586</v>
      </c>
      <c r="C2755">
        <v>1</v>
      </c>
      <c r="D2755">
        <v>0</v>
      </c>
      <c r="E2755">
        <v>2</v>
      </c>
      <c r="F2755">
        <v>17</v>
      </c>
      <c r="G2755" t="b">
        <v>0</v>
      </c>
      <c r="H2755">
        <v>6</v>
      </c>
      <c r="I2755">
        <v>1</v>
      </c>
      <c r="J2755">
        <v>0.32</v>
      </c>
      <c r="K2755">
        <v>0.28789999999999999</v>
      </c>
      <c r="L2755">
        <v>0.31</v>
      </c>
      <c r="M2755">
        <v>0.52239999999999998</v>
      </c>
      <c r="N2755">
        <v>24</v>
      </c>
      <c r="O2755">
        <v>113</v>
      </c>
      <c r="P2755">
        <v>137</v>
      </c>
    </row>
    <row r="2756" spans="1:16" x14ac:dyDescent="0.25">
      <c r="A2756">
        <v>964</v>
      </c>
      <c r="B2756" s="1">
        <v>40586</v>
      </c>
      <c r="C2756">
        <v>1</v>
      </c>
      <c r="D2756">
        <v>0</v>
      </c>
      <c r="E2756">
        <v>2</v>
      </c>
      <c r="F2756">
        <v>18</v>
      </c>
      <c r="G2756" t="b">
        <v>0</v>
      </c>
      <c r="H2756">
        <v>6</v>
      </c>
      <c r="I2756">
        <v>1</v>
      </c>
      <c r="J2756">
        <v>0.28000000000000003</v>
      </c>
      <c r="K2756">
        <v>0.2576</v>
      </c>
      <c r="L2756">
        <v>0.38</v>
      </c>
      <c r="M2756">
        <v>0.32840000000000003</v>
      </c>
      <c r="N2756">
        <v>4</v>
      </c>
      <c r="O2756">
        <v>60</v>
      </c>
      <c r="P2756">
        <v>64</v>
      </c>
    </row>
    <row r="2757" spans="1:16" x14ac:dyDescent="0.25">
      <c r="A2757">
        <v>965</v>
      </c>
      <c r="B2757" s="1">
        <v>40586</v>
      </c>
      <c r="C2757">
        <v>1</v>
      </c>
      <c r="D2757">
        <v>0</v>
      </c>
      <c r="E2757">
        <v>2</v>
      </c>
      <c r="F2757">
        <v>19</v>
      </c>
      <c r="G2757" t="b">
        <v>0</v>
      </c>
      <c r="H2757">
        <v>6</v>
      </c>
      <c r="I2757">
        <v>1</v>
      </c>
      <c r="J2757">
        <v>0.28000000000000003</v>
      </c>
      <c r="K2757">
        <v>0.2727</v>
      </c>
      <c r="L2757">
        <v>0.38</v>
      </c>
      <c r="M2757">
        <v>0.16420000000000001</v>
      </c>
      <c r="N2757">
        <v>2</v>
      </c>
      <c r="O2757">
        <v>39</v>
      </c>
      <c r="P2757">
        <v>41</v>
      </c>
    </row>
    <row r="2758" spans="1:16" x14ac:dyDescent="0.25">
      <c r="A2758">
        <v>966</v>
      </c>
      <c r="B2758" s="1">
        <v>40586</v>
      </c>
      <c r="C2758">
        <v>1</v>
      </c>
      <c r="D2758">
        <v>0</v>
      </c>
      <c r="E2758">
        <v>2</v>
      </c>
      <c r="F2758">
        <v>20</v>
      </c>
      <c r="G2758" t="b">
        <v>0</v>
      </c>
      <c r="H2758">
        <v>6</v>
      </c>
      <c r="I2758">
        <v>1</v>
      </c>
      <c r="J2758">
        <v>0.26</v>
      </c>
      <c r="K2758">
        <v>0.2576</v>
      </c>
      <c r="L2758">
        <v>0.41</v>
      </c>
      <c r="M2758">
        <v>0.22389999999999999</v>
      </c>
      <c r="N2758">
        <v>1</v>
      </c>
      <c r="O2758">
        <v>39</v>
      </c>
      <c r="P2758">
        <v>40</v>
      </c>
    </row>
    <row r="2759" spans="1:16" x14ac:dyDescent="0.25">
      <c r="A2759">
        <v>967</v>
      </c>
      <c r="B2759" s="1">
        <v>40586</v>
      </c>
      <c r="C2759">
        <v>1</v>
      </c>
      <c r="D2759">
        <v>0</v>
      </c>
      <c r="E2759">
        <v>2</v>
      </c>
      <c r="F2759">
        <v>21</v>
      </c>
      <c r="G2759" t="b">
        <v>0</v>
      </c>
      <c r="H2759">
        <v>6</v>
      </c>
      <c r="I2759">
        <v>1</v>
      </c>
      <c r="J2759">
        <v>0.26</v>
      </c>
      <c r="K2759">
        <v>0.30299999999999999</v>
      </c>
      <c r="L2759">
        <v>0.41</v>
      </c>
      <c r="M2759">
        <v>0</v>
      </c>
      <c r="N2759">
        <v>9</v>
      </c>
      <c r="O2759">
        <v>42</v>
      </c>
      <c r="P2759">
        <v>51</v>
      </c>
    </row>
    <row r="2760" spans="1:16" x14ac:dyDescent="0.25">
      <c r="A2760">
        <v>968</v>
      </c>
      <c r="B2760" s="1">
        <v>40586</v>
      </c>
      <c r="C2760">
        <v>1</v>
      </c>
      <c r="D2760">
        <v>0</v>
      </c>
      <c r="E2760">
        <v>2</v>
      </c>
      <c r="F2760">
        <v>22</v>
      </c>
      <c r="G2760" t="b">
        <v>0</v>
      </c>
      <c r="H2760">
        <v>6</v>
      </c>
      <c r="I2760">
        <v>1</v>
      </c>
      <c r="J2760">
        <v>0.24</v>
      </c>
      <c r="K2760">
        <v>0.2576</v>
      </c>
      <c r="L2760">
        <v>0.44</v>
      </c>
      <c r="M2760">
        <v>8.9599999999999999E-2</v>
      </c>
      <c r="N2760">
        <v>6</v>
      </c>
      <c r="O2760">
        <v>39</v>
      </c>
      <c r="P2760">
        <v>45</v>
      </c>
    </row>
    <row r="2761" spans="1:16" x14ac:dyDescent="0.25">
      <c r="A2761">
        <v>969</v>
      </c>
      <c r="B2761" s="1">
        <v>40586</v>
      </c>
      <c r="C2761">
        <v>1</v>
      </c>
      <c r="D2761">
        <v>0</v>
      </c>
      <c r="E2761">
        <v>2</v>
      </c>
      <c r="F2761">
        <v>23</v>
      </c>
      <c r="G2761" t="b">
        <v>0</v>
      </c>
      <c r="H2761">
        <v>6</v>
      </c>
      <c r="I2761">
        <v>1</v>
      </c>
      <c r="J2761">
        <v>0.22</v>
      </c>
      <c r="K2761">
        <v>0.2273</v>
      </c>
      <c r="L2761">
        <v>0.51</v>
      </c>
      <c r="M2761">
        <v>0.1343</v>
      </c>
      <c r="N2761">
        <v>1</v>
      </c>
      <c r="O2761">
        <v>31</v>
      </c>
      <c r="P2761">
        <v>32</v>
      </c>
    </row>
    <row r="2762" spans="1:16" x14ac:dyDescent="0.25">
      <c r="A2762">
        <v>970</v>
      </c>
      <c r="B2762" s="1">
        <v>40587</v>
      </c>
      <c r="C2762">
        <v>1</v>
      </c>
      <c r="D2762">
        <v>0</v>
      </c>
      <c r="E2762">
        <v>2</v>
      </c>
      <c r="F2762">
        <v>0</v>
      </c>
      <c r="G2762" t="b">
        <v>0</v>
      </c>
      <c r="H2762">
        <v>0</v>
      </c>
      <c r="I2762">
        <v>1</v>
      </c>
      <c r="J2762">
        <v>0.2</v>
      </c>
      <c r="K2762">
        <v>0.2273</v>
      </c>
      <c r="L2762">
        <v>0.64</v>
      </c>
      <c r="M2762">
        <v>0.1045</v>
      </c>
      <c r="N2762">
        <v>5</v>
      </c>
      <c r="O2762">
        <v>34</v>
      </c>
      <c r="P2762">
        <v>39</v>
      </c>
    </row>
    <row r="2763" spans="1:16" x14ac:dyDescent="0.25">
      <c r="A2763">
        <v>971</v>
      </c>
      <c r="B2763" s="1">
        <v>40587</v>
      </c>
      <c r="C2763">
        <v>1</v>
      </c>
      <c r="D2763">
        <v>0</v>
      </c>
      <c r="E2763">
        <v>2</v>
      </c>
      <c r="F2763">
        <v>1</v>
      </c>
      <c r="G2763" t="b">
        <v>0</v>
      </c>
      <c r="H2763">
        <v>0</v>
      </c>
      <c r="I2763">
        <v>1</v>
      </c>
      <c r="J2763">
        <v>0.2</v>
      </c>
      <c r="K2763">
        <v>0.2273</v>
      </c>
      <c r="L2763">
        <v>0.59</v>
      </c>
      <c r="M2763">
        <v>8.9599999999999999E-2</v>
      </c>
      <c r="N2763">
        <v>1</v>
      </c>
      <c r="O2763">
        <v>23</v>
      </c>
      <c r="P2763">
        <v>24</v>
      </c>
    </row>
    <row r="2764" spans="1:16" x14ac:dyDescent="0.25">
      <c r="A2764">
        <v>972</v>
      </c>
      <c r="B2764" s="1">
        <v>40587</v>
      </c>
      <c r="C2764">
        <v>1</v>
      </c>
      <c r="D2764">
        <v>0</v>
      </c>
      <c r="E2764">
        <v>2</v>
      </c>
      <c r="F2764">
        <v>2</v>
      </c>
      <c r="G2764" t="b">
        <v>0</v>
      </c>
      <c r="H2764">
        <v>0</v>
      </c>
      <c r="I2764">
        <v>2</v>
      </c>
      <c r="J2764">
        <v>0.2</v>
      </c>
      <c r="K2764">
        <v>0.2273</v>
      </c>
      <c r="L2764">
        <v>0.75</v>
      </c>
      <c r="M2764">
        <v>8.9599999999999999E-2</v>
      </c>
      <c r="N2764">
        <v>1</v>
      </c>
      <c r="O2764">
        <v>19</v>
      </c>
      <c r="P2764">
        <v>20</v>
      </c>
    </row>
    <row r="2765" spans="1:16" x14ac:dyDescent="0.25">
      <c r="A2765">
        <v>973</v>
      </c>
      <c r="B2765" s="1">
        <v>40587</v>
      </c>
      <c r="C2765">
        <v>1</v>
      </c>
      <c r="D2765">
        <v>0</v>
      </c>
      <c r="E2765">
        <v>2</v>
      </c>
      <c r="F2765">
        <v>3</v>
      </c>
      <c r="G2765" t="b">
        <v>0</v>
      </c>
      <c r="H2765">
        <v>0</v>
      </c>
      <c r="I2765">
        <v>2</v>
      </c>
      <c r="J2765">
        <v>0.2</v>
      </c>
      <c r="K2765">
        <v>0.2273</v>
      </c>
      <c r="L2765">
        <v>0.69</v>
      </c>
      <c r="M2765">
        <v>0.1045</v>
      </c>
      <c r="N2765">
        <v>4</v>
      </c>
      <c r="O2765">
        <v>8</v>
      </c>
      <c r="P2765">
        <v>12</v>
      </c>
    </row>
    <row r="2766" spans="1:16" x14ac:dyDescent="0.25">
      <c r="A2766">
        <v>974</v>
      </c>
      <c r="B2766" s="1">
        <v>40587</v>
      </c>
      <c r="C2766">
        <v>1</v>
      </c>
      <c r="D2766">
        <v>0</v>
      </c>
      <c r="E2766">
        <v>2</v>
      </c>
      <c r="F2766">
        <v>4</v>
      </c>
      <c r="G2766" t="b">
        <v>0</v>
      </c>
      <c r="H2766">
        <v>0</v>
      </c>
      <c r="I2766">
        <v>2</v>
      </c>
      <c r="J2766">
        <v>0.2</v>
      </c>
      <c r="K2766">
        <v>0.21210000000000001</v>
      </c>
      <c r="L2766">
        <v>0.69</v>
      </c>
      <c r="M2766">
        <v>0.16420000000000001</v>
      </c>
      <c r="N2766">
        <v>0</v>
      </c>
      <c r="O2766">
        <v>2</v>
      </c>
      <c r="P2766">
        <v>2</v>
      </c>
    </row>
    <row r="2767" spans="1:16" x14ac:dyDescent="0.25">
      <c r="A2767">
        <v>975</v>
      </c>
      <c r="B2767" s="1">
        <v>40587</v>
      </c>
      <c r="C2767">
        <v>1</v>
      </c>
      <c r="D2767">
        <v>0</v>
      </c>
      <c r="E2767">
        <v>2</v>
      </c>
      <c r="F2767">
        <v>6</v>
      </c>
      <c r="G2767" t="b">
        <v>0</v>
      </c>
      <c r="H2767">
        <v>0</v>
      </c>
      <c r="I2767">
        <v>2</v>
      </c>
      <c r="J2767">
        <v>0.2</v>
      </c>
      <c r="K2767">
        <v>0.21210000000000001</v>
      </c>
      <c r="L2767">
        <v>0.69</v>
      </c>
      <c r="M2767">
        <v>0.1343</v>
      </c>
      <c r="N2767">
        <v>2</v>
      </c>
      <c r="O2767">
        <v>3</v>
      </c>
      <c r="P2767">
        <v>5</v>
      </c>
    </row>
    <row r="2768" spans="1:16" x14ac:dyDescent="0.25">
      <c r="A2768">
        <v>976</v>
      </c>
      <c r="B2768" s="1">
        <v>40587</v>
      </c>
      <c r="C2768">
        <v>1</v>
      </c>
      <c r="D2768">
        <v>0</v>
      </c>
      <c r="E2768">
        <v>2</v>
      </c>
      <c r="F2768">
        <v>7</v>
      </c>
      <c r="G2768" t="b">
        <v>0</v>
      </c>
      <c r="H2768">
        <v>0</v>
      </c>
      <c r="I2768">
        <v>2</v>
      </c>
      <c r="J2768">
        <v>0.22</v>
      </c>
      <c r="K2768">
        <v>0.2727</v>
      </c>
      <c r="L2768">
        <v>0.55000000000000004</v>
      </c>
      <c r="M2768">
        <v>0</v>
      </c>
      <c r="N2768">
        <v>0</v>
      </c>
      <c r="O2768">
        <v>3</v>
      </c>
      <c r="P2768">
        <v>3</v>
      </c>
    </row>
    <row r="2769" spans="1:16" x14ac:dyDescent="0.25">
      <c r="A2769">
        <v>977</v>
      </c>
      <c r="B2769" s="1">
        <v>40587</v>
      </c>
      <c r="C2769">
        <v>1</v>
      </c>
      <c r="D2769">
        <v>0</v>
      </c>
      <c r="E2769">
        <v>2</v>
      </c>
      <c r="F2769">
        <v>8</v>
      </c>
      <c r="G2769" t="b">
        <v>0</v>
      </c>
      <c r="H2769">
        <v>0</v>
      </c>
      <c r="I2769">
        <v>2</v>
      </c>
      <c r="J2769">
        <v>0.22</v>
      </c>
      <c r="K2769">
        <v>0.2273</v>
      </c>
      <c r="L2769">
        <v>0.64</v>
      </c>
      <c r="M2769">
        <v>0.19400000000000001</v>
      </c>
      <c r="N2769">
        <v>1</v>
      </c>
      <c r="O2769">
        <v>11</v>
      </c>
      <c r="P2769">
        <v>12</v>
      </c>
    </row>
    <row r="2770" spans="1:16" x14ac:dyDescent="0.25">
      <c r="A2770">
        <v>978</v>
      </c>
      <c r="B2770" s="1">
        <v>40587</v>
      </c>
      <c r="C2770">
        <v>1</v>
      </c>
      <c r="D2770">
        <v>0</v>
      </c>
      <c r="E2770">
        <v>2</v>
      </c>
      <c r="F2770">
        <v>9</v>
      </c>
      <c r="G2770" t="b">
        <v>0</v>
      </c>
      <c r="H2770">
        <v>0</v>
      </c>
      <c r="I2770">
        <v>2</v>
      </c>
      <c r="J2770">
        <v>0.24</v>
      </c>
      <c r="K2770">
        <v>0.2273</v>
      </c>
      <c r="L2770">
        <v>0.6</v>
      </c>
      <c r="M2770">
        <v>0.22389999999999999</v>
      </c>
      <c r="N2770">
        <v>12</v>
      </c>
      <c r="O2770">
        <v>35</v>
      </c>
      <c r="P2770">
        <v>47</v>
      </c>
    </row>
    <row r="2771" spans="1:16" x14ac:dyDescent="0.25">
      <c r="A2771">
        <v>979</v>
      </c>
      <c r="B2771" s="1">
        <v>40587</v>
      </c>
      <c r="C2771">
        <v>1</v>
      </c>
      <c r="D2771">
        <v>0</v>
      </c>
      <c r="E2771">
        <v>2</v>
      </c>
      <c r="F2771">
        <v>10</v>
      </c>
      <c r="G2771" t="b">
        <v>0</v>
      </c>
      <c r="H2771">
        <v>0</v>
      </c>
      <c r="I2771">
        <v>1</v>
      </c>
      <c r="J2771">
        <v>0.3</v>
      </c>
      <c r="K2771">
        <v>0.2727</v>
      </c>
      <c r="L2771">
        <v>0.45</v>
      </c>
      <c r="M2771">
        <v>0.32840000000000003</v>
      </c>
      <c r="N2771">
        <v>19</v>
      </c>
      <c r="O2771">
        <v>86</v>
      </c>
      <c r="P2771">
        <v>105</v>
      </c>
    </row>
    <row r="2772" spans="1:16" x14ac:dyDescent="0.25">
      <c r="A2772">
        <v>980</v>
      </c>
      <c r="B2772" s="1">
        <v>40587</v>
      </c>
      <c r="C2772">
        <v>1</v>
      </c>
      <c r="D2772">
        <v>0</v>
      </c>
      <c r="E2772">
        <v>2</v>
      </c>
      <c r="F2772">
        <v>11</v>
      </c>
      <c r="G2772" t="b">
        <v>0</v>
      </c>
      <c r="H2772">
        <v>0</v>
      </c>
      <c r="I2772">
        <v>1</v>
      </c>
      <c r="J2772">
        <v>0.32</v>
      </c>
      <c r="K2772">
        <v>0.28789999999999999</v>
      </c>
      <c r="L2772">
        <v>0.39</v>
      </c>
      <c r="M2772">
        <v>0.44779999999999998</v>
      </c>
      <c r="N2772">
        <v>26</v>
      </c>
      <c r="O2772">
        <v>86</v>
      </c>
      <c r="P2772">
        <v>112</v>
      </c>
    </row>
    <row r="2773" spans="1:16" x14ac:dyDescent="0.25">
      <c r="A2773">
        <v>981</v>
      </c>
      <c r="B2773" s="1">
        <v>40587</v>
      </c>
      <c r="C2773">
        <v>1</v>
      </c>
      <c r="D2773">
        <v>0</v>
      </c>
      <c r="E2773">
        <v>2</v>
      </c>
      <c r="F2773">
        <v>12</v>
      </c>
      <c r="G2773" t="b">
        <v>0</v>
      </c>
      <c r="H2773">
        <v>0</v>
      </c>
      <c r="I2773">
        <v>1</v>
      </c>
      <c r="J2773">
        <v>0.36</v>
      </c>
      <c r="K2773">
        <v>0.31819999999999998</v>
      </c>
      <c r="L2773">
        <v>0.32</v>
      </c>
      <c r="M2773">
        <v>0.4627</v>
      </c>
      <c r="N2773">
        <v>58</v>
      </c>
      <c r="O2773">
        <v>94</v>
      </c>
      <c r="P2773">
        <v>152</v>
      </c>
    </row>
    <row r="2774" spans="1:16" x14ac:dyDescent="0.25">
      <c r="A2774">
        <v>982</v>
      </c>
      <c r="B2774" s="1">
        <v>40587</v>
      </c>
      <c r="C2774">
        <v>1</v>
      </c>
      <c r="D2774">
        <v>0</v>
      </c>
      <c r="E2774">
        <v>2</v>
      </c>
      <c r="F2774">
        <v>13</v>
      </c>
      <c r="G2774" t="b">
        <v>0</v>
      </c>
      <c r="H2774">
        <v>0</v>
      </c>
      <c r="I2774">
        <v>1</v>
      </c>
      <c r="J2774">
        <v>0.38</v>
      </c>
      <c r="K2774">
        <v>0.39389999999999997</v>
      </c>
      <c r="L2774">
        <v>0.28999999999999998</v>
      </c>
      <c r="M2774">
        <v>0.35820000000000002</v>
      </c>
      <c r="N2774">
        <v>62</v>
      </c>
      <c r="O2774">
        <v>92</v>
      </c>
      <c r="P2774">
        <v>154</v>
      </c>
    </row>
    <row r="2775" spans="1:16" x14ac:dyDescent="0.25">
      <c r="A2775">
        <v>983</v>
      </c>
      <c r="B2775" s="1">
        <v>40587</v>
      </c>
      <c r="C2775">
        <v>1</v>
      </c>
      <c r="D2775">
        <v>0</v>
      </c>
      <c r="E2775">
        <v>2</v>
      </c>
      <c r="F2775">
        <v>14</v>
      </c>
      <c r="G2775" t="b">
        <v>0</v>
      </c>
      <c r="H2775">
        <v>0</v>
      </c>
      <c r="I2775">
        <v>2</v>
      </c>
      <c r="J2775">
        <v>0.4</v>
      </c>
      <c r="K2775">
        <v>0.40910000000000002</v>
      </c>
      <c r="L2775">
        <v>0.3</v>
      </c>
      <c r="M2775">
        <v>0.41789999999999999</v>
      </c>
      <c r="N2775">
        <v>51</v>
      </c>
      <c r="O2775">
        <v>110</v>
      </c>
      <c r="P2775">
        <v>161</v>
      </c>
    </row>
    <row r="2776" spans="1:16" x14ac:dyDescent="0.25">
      <c r="A2776">
        <v>984</v>
      </c>
      <c r="B2776" s="1">
        <v>40587</v>
      </c>
      <c r="C2776">
        <v>1</v>
      </c>
      <c r="D2776">
        <v>0</v>
      </c>
      <c r="E2776">
        <v>2</v>
      </c>
      <c r="F2776">
        <v>15</v>
      </c>
      <c r="G2776" t="b">
        <v>0</v>
      </c>
      <c r="H2776">
        <v>0</v>
      </c>
      <c r="I2776">
        <v>2</v>
      </c>
      <c r="J2776">
        <v>0.4</v>
      </c>
      <c r="K2776">
        <v>0.40910000000000002</v>
      </c>
      <c r="L2776">
        <v>0.3</v>
      </c>
      <c r="M2776">
        <v>0.29849999999999999</v>
      </c>
      <c r="N2776">
        <v>40</v>
      </c>
      <c r="O2776">
        <v>122</v>
      </c>
      <c r="P2776">
        <v>162</v>
      </c>
    </row>
    <row r="2777" spans="1:16" x14ac:dyDescent="0.25">
      <c r="A2777">
        <v>985</v>
      </c>
      <c r="B2777" s="1">
        <v>40587</v>
      </c>
      <c r="C2777">
        <v>1</v>
      </c>
      <c r="D2777">
        <v>0</v>
      </c>
      <c r="E2777">
        <v>2</v>
      </c>
      <c r="F2777">
        <v>16</v>
      </c>
      <c r="G2777" t="b">
        <v>0</v>
      </c>
      <c r="H2777">
        <v>0</v>
      </c>
      <c r="I2777">
        <v>2</v>
      </c>
      <c r="J2777">
        <v>0.42</v>
      </c>
      <c r="K2777">
        <v>0.42420000000000002</v>
      </c>
      <c r="L2777">
        <v>0.28000000000000003</v>
      </c>
      <c r="M2777">
        <v>0.32840000000000003</v>
      </c>
      <c r="N2777">
        <v>28</v>
      </c>
      <c r="O2777">
        <v>106</v>
      </c>
      <c r="P2777">
        <v>134</v>
      </c>
    </row>
    <row r="2778" spans="1:16" x14ac:dyDescent="0.25">
      <c r="A2778">
        <v>986</v>
      </c>
      <c r="B2778" s="1">
        <v>40587</v>
      </c>
      <c r="C2778">
        <v>1</v>
      </c>
      <c r="D2778">
        <v>0</v>
      </c>
      <c r="E2778">
        <v>2</v>
      </c>
      <c r="F2778">
        <v>17</v>
      </c>
      <c r="G2778" t="b">
        <v>0</v>
      </c>
      <c r="H2778">
        <v>0</v>
      </c>
      <c r="I2778">
        <v>1</v>
      </c>
      <c r="J2778">
        <v>0.42</v>
      </c>
      <c r="K2778">
        <v>0.42420000000000002</v>
      </c>
      <c r="L2778">
        <v>0.28000000000000003</v>
      </c>
      <c r="M2778">
        <v>0.32840000000000003</v>
      </c>
      <c r="N2778">
        <v>30</v>
      </c>
      <c r="O2778">
        <v>95</v>
      </c>
      <c r="P2778">
        <v>125</v>
      </c>
    </row>
    <row r="2779" spans="1:16" x14ac:dyDescent="0.25">
      <c r="A2779">
        <v>987</v>
      </c>
      <c r="B2779" s="1">
        <v>40587</v>
      </c>
      <c r="C2779">
        <v>1</v>
      </c>
      <c r="D2779">
        <v>0</v>
      </c>
      <c r="E2779">
        <v>2</v>
      </c>
      <c r="F2779">
        <v>18</v>
      </c>
      <c r="G2779" t="b">
        <v>0</v>
      </c>
      <c r="H2779">
        <v>0</v>
      </c>
      <c r="I2779">
        <v>1</v>
      </c>
      <c r="J2779">
        <v>0.4</v>
      </c>
      <c r="K2779">
        <v>0.40910000000000002</v>
      </c>
      <c r="L2779">
        <v>0.32</v>
      </c>
      <c r="M2779">
        <v>0.29849999999999999</v>
      </c>
      <c r="N2779">
        <v>17</v>
      </c>
      <c r="O2779">
        <v>78</v>
      </c>
      <c r="P2779">
        <v>95</v>
      </c>
    </row>
    <row r="2780" spans="1:16" x14ac:dyDescent="0.25">
      <c r="A2780">
        <v>988</v>
      </c>
      <c r="B2780" s="1">
        <v>40587</v>
      </c>
      <c r="C2780">
        <v>1</v>
      </c>
      <c r="D2780">
        <v>0</v>
      </c>
      <c r="E2780">
        <v>2</v>
      </c>
      <c r="F2780">
        <v>19</v>
      </c>
      <c r="G2780" t="b">
        <v>0</v>
      </c>
      <c r="H2780">
        <v>0</v>
      </c>
      <c r="I2780">
        <v>1</v>
      </c>
      <c r="J2780">
        <v>0.4</v>
      </c>
      <c r="K2780">
        <v>0.40910000000000002</v>
      </c>
      <c r="L2780">
        <v>0.35</v>
      </c>
      <c r="M2780">
        <v>0.28360000000000002</v>
      </c>
      <c r="N2780">
        <v>11</v>
      </c>
      <c r="O2780">
        <v>50</v>
      </c>
      <c r="P2780">
        <v>61</v>
      </c>
    </row>
    <row r="2781" spans="1:16" x14ac:dyDescent="0.25">
      <c r="A2781">
        <v>989</v>
      </c>
      <c r="B2781" s="1">
        <v>40587</v>
      </c>
      <c r="C2781">
        <v>1</v>
      </c>
      <c r="D2781">
        <v>0</v>
      </c>
      <c r="E2781">
        <v>2</v>
      </c>
      <c r="F2781">
        <v>20</v>
      </c>
      <c r="G2781" t="b">
        <v>0</v>
      </c>
      <c r="H2781">
        <v>0</v>
      </c>
      <c r="I2781">
        <v>1</v>
      </c>
      <c r="J2781">
        <v>0.4</v>
      </c>
      <c r="K2781">
        <v>0.40910000000000002</v>
      </c>
      <c r="L2781">
        <v>0.35</v>
      </c>
      <c r="M2781">
        <v>0.32840000000000003</v>
      </c>
      <c r="N2781">
        <v>15</v>
      </c>
      <c r="O2781">
        <v>32</v>
      </c>
      <c r="P2781">
        <v>47</v>
      </c>
    </row>
    <row r="2782" spans="1:16" x14ac:dyDescent="0.25">
      <c r="A2782">
        <v>990</v>
      </c>
      <c r="B2782" s="1">
        <v>40587</v>
      </c>
      <c r="C2782">
        <v>1</v>
      </c>
      <c r="D2782">
        <v>0</v>
      </c>
      <c r="E2782">
        <v>2</v>
      </c>
      <c r="F2782">
        <v>21</v>
      </c>
      <c r="G2782" t="b">
        <v>0</v>
      </c>
      <c r="H2782">
        <v>0</v>
      </c>
      <c r="I2782">
        <v>1</v>
      </c>
      <c r="J2782">
        <v>0.4</v>
      </c>
      <c r="K2782">
        <v>0.40910000000000002</v>
      </c>
      <c r="L2782">
        <v>0.35</v>
      </c>
      <c r="M2782">
        <v>0.35820000000000002</v>
      </c>
      <c r="N2782">
        <v>6</v>
      </c>
      <c r="O2782">
        <v>45</v>
      </c>
      <c r="P2782">
        <v>51</v>
      </c>
    </row>
    <row r="2783" spans="1:16" x14ac:dyDescent="0.25">
      <c r="A2783">
        <v>991</v>
      </c>
      <c r="B2783" s="1">
        <v>40587</v>
      </c>
      <c r="C2783">
        <v>1</v>
      </c>
      <c r="D2783">
        <v>0</v>
      </c>
      <c r="E2783">
        <v>2</v>
      </c>
      <c r="F2783">
        <v>22</v>
      </c>
      <c r="G2783" t="b">
        <v>0</v>
      </c>
      <c r="H2783">
        <v>0</v>
      </c>
      <c r="I2783">
        <v>1</v>
      </c>
      <c r="J2783">
        <v>0.4</v>
      </c>
      <c r="K2783">
        <v>0.40910000000000002</v>
      </c>
      <c r="L2783">
        <v>0.35</v>
      </c>
      <c r="M2783">
        <v>0.29849999999999999</v>
      </c>
      <c r="N2783">
        <v>5</v>
      </c>
      <c r="O2783">
        <v>31</v>
      </c>
      <c r="P2783">
        <v>36</v>
      </c>
    </row>
    <row r="2784" spans="1:16" x14ac:dyDescent="0.25">
      <c r="A2784">
        <v>992</v>
      </c>
      <c r="B2784" s="1">
        <v>40587</v>
      </c>
      <c r="C2784">
        <v>1</v>
      </c>
      <c r="D2784">
        <v>0</v>
      </c>
      <c r="E2784">
        <v>2</v>
      </c>
      <c r="F2784">
        <v>23</v>
      </c>
      <c r="G2784" t="b">
        <v>0</v>
      </c>
      <c r="H2784">
        <v>0</v>
      </c>
      <c r="I2784">
        <v>1</v>
      </c>
      <c r="J2784">
        <v>0.4</v>
      </c>
      <c r="K2784">
        <v>0.40910000000000002</v>
      </c>
      <c r="L2784">
        <v>0.35</v>
      </c>
      <c r="M2784">
        <v>0.35820000000000002</v>
      </c>
      <c r="N2784">
        <v>3</v>
      </c>
      <c r="O2784">
        <v>27</v>
      </c>
      <c r="P2784">
        <v>30</v>
      </c>
    </row>
    <row r="2785" spans="1:16" x14ac:dyDescent="0.25">
      <c r="A2785">
        <v>993</v>
      </c>
      <c r="B2785" s="1">
        <v>40588</v>
      </c>
      <c r="C2785">
        <v>1</v>
      </c>
      <c r="D2785">
        <v>0</v>
      </c>
      <c r="E2785">
        <v>2</v>
      </c>
      <c r="F2785">
        <v>0</v>
      </c>
      <c r="G2785" t="b">
        <v>0</v>
      </c>
      <c r="H2785">
        <v>1</v>
      </c>
      <c r="I2785">
        <v>1</v>
      </c>
      <c r="J2785">
        <v>0.38</v>
      </c>
      <c r="K2785">
        <v>0.39389999999999997</v>
      </c>
      <c r="L2785">
        <v>0.37</v>
      </c>
      <c r="M2785">
        <v>0.35820000000000002</v>
      </c>
      <c r="N2785">
        <v>3</v>
      </c>
      <c r="O2785">
        <v>8</v>
      </c>
      <c r="P2785">
        <v>11</v>
      </c>
    </row>
    <row r="2786" spans="1:16" x14ac:dyDescent="0.25">
      <c r="A2786">
        <v>994</v>
      </c>
      <c r="B2786" s="1">
        <v>40588</v>
      </c>
      <c r="C2786">
        <v>1</v>
      </c>
      <c r="D2786">
        <v>0</v>
      </c>
      <c r="E2786">
        <v>2</v>
      </c>
      <c r="F2786">
        <v>1</v>
      </c>
      <c r="G2786" t="b">
        <v>0</v>
      </c>
      <c r="H2786">
        <v>1</v>
      </c>
      <c r="I2786">
        <v>1</v>
      </c>
      <c r="J2786">
        <v>0.38</v>
      </c>
      <c r="K2786">
        <v>0.39389999999999997</v>
      </c>
      <c r="L2786">
        <v>0.37</v>
      </c>
      <c r="M2786">
        <v>0.35820000000000002</v>
      </c>
      <c r="N2786">
        <v>1</v>
      </c>
      <c r="O2786">
        <v>6</v>
      </c>
      <c r="P2786">
        <v>7</v>
      </c>
    </row>
    <row r="2787" spans="1:16" x14ac:dyDescent="0.25">
      <c r="A2787">
        <v>995</v>
      </c>
      <c r="B2787" s="1">
        <v>40588</v>
      </c>
      <c r="C2787">
        <v>1</v>
      </c>
      <c r="D2787">
        <v>0</v>
      </c>
      <c r="E2787">
        <v>2</v>
      </c>
      <c r="F2787">
        <v>2</v>
      </c>
      <c r="G2787" t="b">
        <v>0</v>
      </c>
      <c r="H2787">
        <v>1</v>
      </c>
      <c r="I2787">
        <v>1</v>
      </c>
      <c r="J2787">
        <v>0.36</v>
      </c>
      <c r="K2787">
        <v>0.33329999999999999</v>
      </c>
      <c r="L2787">
        <v>0.4</v>
      </c>
      <c r="M2787">
        <v>0.29849999999999999</v>
      </c>
      <c r="N2787">
        <v>0</v>
      </c>
      <c r="O2787">
        <v>2</v>
      </c>
      <c r="P2787">
        <v>2</v>
      </c>
    </row>
    <row r="2788" spans="1:16" x14ac:dyDescent="0.25">
      <c r="A2788">
        <v>996</v>
      </c>
      <c r="B2788" s="1">
        <v>40588</v>
      </c>
      <c r="C2788">
        <v>1</v>
      </c>
      <c r="D2788">
        <v>0</v>
      </c>
      <c r="E2788">
        <v>2</v>
      </c>
      <c r="F2788">
        <v>3</v>
      </c>
      <c r="G2788" t="b">
        <v>0</v>
      </c>
      <c r="H2788">
        <v>1</v>
      </c>
      <c r="I2788">
        <v>1</v>
      </c>
      <c r="J2788">
        <v>0.34</v>
      </c>
      <c r="K2788">
        <v>0.31819999999999998</v>
      </c>
      <c r="L2788">
        <v>0.46</v>
      </c>
      <c r="M2788">
        <v>0.22389999999999999</v>
      </c>
      <c r="N2788">
        <v>1</v>
      </c>
      <c r="O2788">
        <v>1</v>
      </c>
      <c r="P2788">
        <v>2</v>
      </c>
    </row>
    <row r="2789" spans="1:16" x14ac:dyDescent="0.25">
      <c r="A2789">
        <v>997</v>
      </c>
      <c r="B2789" s="1">
        <v>40588</v>
      </c>
      <c r="C2789">
        <v>1</v>
      </c>
      <c r="D2789">
        <v>0</v>
      </c>
      <c r="E2789">
        <v>2</v>
      </c>
      <c r="F2789">
        <v>4</v>
      </c>
      <c r="G2789" t="b">
        <v>0</v>
      </c>
      <c r="H2789">
        <v>1</v>
      </c>
      <c r="I2789">
        <v>1</v>
      </c>
      <c r="J2789">
        <v>0.32</v>
      </c>
      <c r="K2789">
        <v>0.30299999999999999</v>
      </c>
      <c r="L2789">
        <v>0.53</v>
      </c>
      <c r="M2789">
        <v>0.28360000000000002</v>
      </c>
      <c r="N2789">
        <v>0</v>
      </c>
      <c r="O2789">
        <v>2</v>
      </c>
      <c r="P2789">
        <v>2</v>
      </c>
    </row>
    <row r="2790" spans="1:16" x14ac:dyDescent="0.25">
      <c r="A2790">
        <v>998</v>
      </c>
      <c r="B2790" s="1">
        <v>40588</v>
      </c>
      <c r="C2790">
        <v>1</v>
      </c>
      <c r="D2790">
        <v>0</v>
      </c>
      <c r="E2790">
        <v>2</v>
      </c>
      <c r="F2790">
        <v>5</v>
      </c>
      <c r="G2790" t="b">
        <v>0</v>
      </c>
      <c r="H2790">
        <v>1</v>
      </c>
      <c r="I2790">
        <v>1</v>
      </c>
      <c r="J2790">
        <v>0.32</v>
      </c>
      <c r="K2790">
        <v>0.30299999999999999</v>
      </c>
      <c r="L2790">
        <v>0.53</v>
      </c>
      <c r="M2790">
        <v>0.28360000000000002</v>
      </c>
      <c r="N2790">
        <v>0</v>
      </c>
      <c r="O2790">
        <v>3</v>
      </c>
      <c r="P2790">
        <v>3</v>
      </c>
    </row>
    <row r="2791" spans="1:16" x14ac:dyDescent="0.25">
      <c r="A2791">
        <v>999</v>
      </c>
      <c r="B2791" s="1">
        <v>40588</v>
      </c>
      <c r="C2791">
        <v>1</v>
      </c>
      <c r="D2791">
        <v>0</v>
      </c>
      <c r="E2791">
        <v>2</v>
      </c>
      <c r="F2791">
        <v>6</v>
      </c>
      <c r="G2791" t="b">
        <v>0</v>
      </c>
      <c r="H2791">
        <v>1</v>
      </c>
      <c r="I2791">
        <v>1</v>
      </c>
      <c r="J2791">
        <v>0.34</v>
      </c>
      <c r="K2791">
        <v>0.30299999999999999</v>
      </c>
      <c r="L2791">
        <v>0.46</v>
      </c>
      <c r="M2791">
        <v>0.29849999999999999</v>
      </c>
      <c r="N2791">
        <v>1</v>
      </c>
      <c r="O2791">
        <v>25</v>
      </c>
      <c r="P2791">
        <v>26</v>
      </c>
    </row>
    <row r="2792" spans="1:16" x14ac:dyDescent="0.25">
      <c r="A2792">
        <v>1000</v>
      </c>
      <c r="B2792" s="1">
        <v>40588</v>
      </c>
      <c r="C2792">
        <v>1</v>
      </c>
      <c r="D2792">
        <v>0</v>
      </c>
      <c r="E2792">
        <v>2</v>
      </c>
      <c r="F2792">
        <v>7</v>
      </c>
      <c r="G2792" t="b">
        <v>0</v>
      </c>
      <c r="H2792">
        <v>1</v>
      </c>
      <c r="I2792">
        <v>1</v>
      </c>
      <c r="J2792">
        <v>0.34</v>
      </c>
      <c r="K2792">
        <v>0.30299999999999999</v>
      </c>
      <c r="L2792">
        <v>0.46</v>
      </c>
      <c r="M2792">
        <v>0.29849999999999999</v>
      </c>
      <c r="N2792">
        <v>2</v>
      </c>
      <c r="O2792">
        <v>96</v>
      </c>
      <c r="P2792">
        <v>98</v>
      </c>
    </row>
    <row r="2793" spans="1:16" x14ac:dyDescent="0.25">
      <c r="B2793" s="1"/>
    </row>
    <row r="2794" spans="1:16" x14ac:dyDescent="0.25">
      <c r="B2794" s="1"/>
    </row>
    <row r="2795" spans="1:16" x14ac:dyDescent="0.25">
      <c r="B2795" s="1"/>
    </row>
    <row r="2796" spans="1:16" x14ac:dyDescent="0.25">
      <c r="B2796" s="1"/>
    </row>
    <row r="2797" spans="1:16" x14ac:dyDescent="0.25">
      <c r="B2797" s="1"/>
    </row>
    <row r="2798" spans="1:16" x14ac:dyDescent="0.25">
      <c r="B2798" s="1"/>
    </row>
    <row r="2799" spans="1:16" x14ac:dyDescent="0.25">
      <c r="B2799" s="1"/>
    </row>
    <row r="2800" spans="1:16" x14ac:dyDescent="0.25">
      <c r="B2800" s="1"/>
    </row>
    <row r="2801" spans="2:2" x14ac:dyDescent="0.25">
      <c r="B2801" s="1"/>
    </row>
    <row r="2802" spans="2:2" x14ac:dyDescent="0.25">
      <c r="B2802" s="1"/>
    </row>
    <row r="2803" spans="2:2" x14ac:dyDescent="0.25">
      <c r="B2803" s="1"/>
    </row>
    <row r="2804" spans="2:2" x14ac:dyDescent="0.25">
      <c r="B2804" s="1"/>
    </row>
    <row r="2805" spans="2:2" x14ac:dyDescent="0.25">
      <c r="B2805" s="1"/>
    </row>
    <row r="2806" spans="2:2" x14ac:dyDescent="0.25">
      <c r="B2806" s="1"/>
    </row>
    <row r="2807" spans="2:2" x14ac:dyDescent="0.25">
      <c r="B2807" s="1"/>
    </row>
    <row r="2808" spans="2:2" x14ac:dyDescent="0.25">
      <c r="B2808" s="1"/>
    </row>
    <row r="2809" spans="2:2" x14ac:dyDescent="0.25">
      <c r="B2809" s="1"/>
    </row>
    <row r="2810" spans="2:2" x14ac:dyDescent="0.25">
      <c r="B2810" s="1"/>
    </row>
    <row r="2811" spans="2:2" x14ac:dyDescent="0.25">
      <c r="B2811" s="1"/>
    </row>
    <row r="2812" spans="2:2" x14ac:dyDescent="0.25">
      <c r="B2812" s="1"/>
    </row>
    <row r="2813" spans="2:2" x14ac:dyDescent="0.25">
      <c r="B2813" s="1"/>
    </row>
    <row r="2814" spans="2:2" x14ac:dyDescent="0.25">
      <c r="B2814" s="1"/>
    </row>
    <row r="2815" spans="2:2" x14ac:dyDescent="0.25">
      <c r="B2815" s="1"/>
    </row>
    <row r="2816" spans="2:2" x14ac:dyDescent="0.25">
      <c r="B2816" s="1"/>
    </row>
    <row r="2817" spans="2:2" x14ac:dyDescent="0.25">
      <c r="B2817" s="1"/>
    </row>
    <row r="2818" spans="2:2" x14ac:dyDescent="0.25">
      <c r="B2818" s="1"/>
    </row>
    <row r="2819" spans="2:2" x14ac:dyDescent="0.25">
      <c r="B2819" s="1"/>
    </row>
    <row r="2820" spans="2:2" x14ac:dyDescent="0.25">
      <c r="B2820" s="1"/>
    </row>
    <row r="2821" spans="2:2" x14ac:dyDescent="0.25">
      <c r="B2821" s="1"/>
    </row>
    <row r="2822" spans="2:2" x14ac:dyDescent="0.25">
      <c r="B2822" s="1"/>
    </row>
    <row r="2823" spans="2:2" x14ac:dyDescent="0.25">
      <c r="B2823" s="1"/>
    </row>
    <row r="2824" spans="2:2" x14ac:dyDescent="0.25">
      <c r="B2824" s="1"/>
    </row>
    <row r="2825" spans="2:2" x14ac:dyDescent="0.25">
      <c r="B2825" s="1"/>
    </row>
    <row r="2826" spans="2:2" x14ac:dyDescent="0.25">
      <c r="B2826" s="1"/>
    </row>
    <row r="2827" spans="2:2" x14ac:dyDescent="0.25">
      <c r="B2827" s="1"/>
    </row>
    <row r="2828" spans="2:2" x14ac:dyDescent="0.25">
      <c r="B2828" s="1"/>
    </row>
    <row r="2829" spans="2:2" x14ac:dyDescent="0.25">
      <c r="B2829" s="1"/>
    </row>
    <row r="2830" spans="2:2" x14ac:dyDescent="0.25">
      <c r="B2830" s="1"/>
    </row>
    <row r="2831" spans="2:2" x14ac:dyDescent="0.25">
      <c r="B2831" s="1"/>
    </row>
    <row r="2832" spans="2:2" x14ac:dyDescent="0.25">
      <c r="B2832" s="1"/>
    </row>
    <row r="2833" spans="2:2" x14ac:dyDescent="0.25">
      <c r="B2833" s="1"/>
    </row>
    <row r="2834" spans="2:2" x14ac:dyDescent="0.25">
      <c r="B2834" s="1"/>
    </row>
    <row r="2835" spans="2:2" x14ac:dyDescent="0.25">
      <c r="B2835" s="1"/>
    </row>
    <row r="2836" spans="2:2" x14ac:dyDescent="0.25">
      <c r="B2836" s="1"/>
    </row>
    <row r="2837" spans="2:2" x14ac:dyDescent="0.25">
      <c r="B2837" s="1"/>
    </row>
    <row r="2838" spans="2:2" x14ac:dyDescent="0.25">
      <c r="B2838" s="1"/>
    </row>
    <row r="2839" spans="2:2" x14ac:dyDescent="0.25">
      <c r="B2839" s="1"/>
    </row>
    <row r="2840" spans="2:2" x14ac:dyDescent="0.25">
      <c r="B2840" s="1"/>
    </row>
    <row r="2841" spans="2:2" x14ac:dyDescent="0.25">
      <c r="B2841" s="1"/>
    </row>
    <row r="2842" spans="2:2" x14ac:dyDescent="0.25">
      <c r="B2842" s="1"/>
    </row>
    <row r="2843" spans="2:2" x14ac:dyDescent="0.25">
      <c r="B2843" s="1"/>
    </row>
    <row r="2844" spans="2:2" x14ac:dyDescent="0.25">
      <c r="B2844" s="1"/>
    </row>
    <row r="2845" spans="2:2" x14ac:dyDescent="0.25">
      <c r="B2845" s="1"/>
    </row>
    <row r="2846" spans="2:2" x14ac:dyDescent="0.25">
      <c r="B2846" s="1"/>
    </row>
    <row r="2847" spans="2:2" x14ac:dyDescent="0.25">
      <c r="B2847" s="1"/>
    </row>
    <row r="2848" spans="2:2" x14ac:dyDescent="0.25">
      <c r="B2848" s="1"/>
    </row>
    <row r="2849" spans="2:2" x14ac:dyDescent="0.25">
      <c r="B2849" s="1"/>
    </row>
    <row r="2850" spans="2:2" x14ac:dyDescent="0.25">
      <c r="B2850" s="1"/>
    </row>
    <row r="2851" spans="2:2" x14ac:dyDescent="0.25">
      <c r="B2851" s="1"/>
    </row>
    <row r="2852" spans="2:2" x14ac:dyDescent="0.25">
      <c r="B2852" s="1"/>
    </row>
    <row r="2853" spans="2:2" x14ac:dyDescent="0.25">
      <c r="B2853" s="1"/>
    </row>
    <row r="2854" spans="2:2" x14ac:dyDescent="0.25">
      <c r="B2854" s="1"/>
    </row>
    <row r="2855" spans="2:2" x14ac:dyDescent="0.25">
      <c r="B2855" s="1"/>
    </row>
    <row r="2856" spans="2:2" x14ac:dyDescent="0.25">
      <c r="B2856" s="1"/>
    </row>
    <row r="2857" spans="2:2" x14ac:dyDescent="0.25">
      <c r="B2857" s="1"/>
    </row>
    <row r="2858" spans="2:2" x14ac:dyDescent="0.25">
      <c r="B2858" s="1"/>
    </row>
    <row r="2859" spans="2:2" x14ac:dyDescent="0.25">
      <c r="B2859" s="1"/>
    </row>
    <row r="2860" spans="2:2" x14ac:dyDescent="0.25">
      <c r="B2860" s="1"/>
    </row>
    <row r="2861" spans="2:2" x14ac:dyDescent="0.25">
      <c r="B2861" s="1"/>
    </row>
    <row r="2862" spans="2:2" x14ac:dyDescent="0.25">
      <c r="B2862" s="1"/>
    </row>
    <row r="2863" spans="2:2" x14ac:dyDescent="0.25">
      <c r="B2863" s="1"/>
    </row>
    <row r="2864" spans="2:2" x14ac:dyDescent="0.25">
      <c r="B2864" s="1"/>
    </row>
    <row r="2865" spans="2:2" x14ac:dyDescent="0.25">
      <c r="B2865" s="1"/>
    </row>
    <row r="2866" spans="2:2" x14ac:dyDescent="0.25">
      <c r="B2866" s="1"/>
    </row>
    <row r="2867" spans="2:2" x14ac:dyDescent="0.25">
      <c r="B2867" s="1"/>
    </row>
    <row r="2868" spans="2:2" x14ac:dyDescent="0.25">
      <c r="B2868" s="1"/>
    </row>
    <row r="2869" spans="2:2" x14ac:dyDescent="0.25">
      <c r="B2869" s="1"/>
    </row>
    <row r="2870" spans="2:2" x14ac:dyDescent="0.25">
      <c r="B2870" s="1"/>
    </row>
    <row r="2871" spans="2:2" x14ac:dyDescent="0.25">
      <c r="B2871" s="1"/>
    </row>
    <row r="2872" spans="2:2" x14ac:dyDescent="0.25">
      <c r="B2872" s="1"/>
    </row>
    <row r="2873" spans="2:2" x14ac:dyDescent="0.25">
      <c r="B2873" s="1"/>
    </row>
    <row r="2874" spans="2:2" x14ac:dyDescent="0.25">
      <c r="B2874" s="1"/>
    </row>
    <row r="2875" spans="2:2" x14ac:dyDescent="0.25">
      <c r="B2875" s="1"/>
    </row>
    <row r="2876" spans="2:2" x14ac:dyDescent="0.25">
      <c r="B2876" s="1"/>
    </row>
    <row r="2877" spans="2:2" x14ac:dyDescent="0.25">
      <c r="B2877" s="1"/>
    </row>
    <row r="2878" spans="2:2" x14ac:dyDescent="0.25">
      <c r="B2878" s="1"/>
    </row>
    <row r="2879" spans="2:2" x14ac:dyDescent="0.25">
      <c r="B2879" s="1"/>
    </row>
    <row r="2880" spans="2:2" x14ac:dyDescent="0.25">
      <c r="B2880" s="1"/>
    </row>
    <row r="2881" spans="2:2" x14ac:dyDescent="0.25">
      <c r="B2881" s="1"/>
    </row>
    <row r="2882" spans="2:2" x14ac:dyDescent="0.25">
      <c r="B2882" s="1"/>
    </row>
    <row r="2883" spans="2:2" x14ac:dyDescent="0.25">
      <c r="B2883" s="1"/>
    </row>
    <row r="2884" spans="2:2" x14ac:dyDescent="0.25">
      <c r="B2884" s="1"/>
    </row>
    <row r="2885" spans="2:2" x14ac:dyDescent="0.25">
      <c r="B2885" s="1"/>
    </row>
    <row r="2886" spans="2:2" x14ac:dyDescent="0.25">
      <c r="B2886" s="1"/>
    </row>
    <row r="2887" spans="2:2" x14ac:dyDescent="0.25">
      <c r="B2887" s="1"/>
    </row>
    <row r="2888" spans="2:2" x14ac:dyDescent="0.25">
      <c r="B2888" s="1"/>
    </row>
    <row r="2889" spans="2:2" x14ac:dyDescent="0.25">
      <c r="B2889" s="1"/>
    </row>
    <row r="2890" spans="2:2" x14ac:dyDescent="0.25">
      <c r="B2890" s="1"/>
    </row>
    <row r="2891" spans="2:2" x14ac:dyDescent="0.25">
      <c r="B2891" s="1"/>
    </row>
    <row r="2892" spans="2:2" x14ac:dyDescent="0.25">
      <c r="B2892" s="1"/>
    </row>
    <row r="2893" spans="2:2" x14ac:dyDescent="0.25">
      <c r="B2893" s="1"/>
    </row>
    <row r="2894" spans="2:2" x14ac:dyDescent="0.25">
      <c r="B2894" s="1"/>
    </row>
    <row r="2895" spans="2:2" x14ac:dyDescent="0.25">
      <c r="B2895" s="1"/>
    </row>
    <row r="2896" spans="2:2" x14ac:dyDescent="0.25">
      <c r="B2896" s="1"/>
    </row>
    <row r="2897" spans="2:2" x14ac:dyDescent="0.25">
      <c r="B2897" s="1"/>
    </row>
    <row r="2898" spans="2:2" x14ac:dyDescent="0.25">
      <c r="B2898" s="1"/>
    </row>
    <row r="2899" spans="2:2" x14ac:dyDescent="0.25">
      <c r="B2899" s="1"/>
    </row>
    <row r="2900" spans="2:2" x14ac:dyDescent="0.25">
      <c r="B2900" s="1"/>
    </row>
    <row r="2901" spans="2:2" x14ac:dyDescent="0.25">
      <c r="B2901" s="1"/>
    </row>
    <row r="2902" spans="2:2" x14ac:dyDescent="0.25">
      <c r="B2902" s="1"/>
    </row>
    <row r="2903" spans="2:2" x14ac:dyDescent="0.25">
      <c r="B2903" s="1"/>
    </row>
    <row r="2904" spans="2:2" x14ac:dyDescent="0.25">
      <c r="B2904" s="1"/>
    </row>
    <row r="2905" spans="2:2" x14ac:dyDescent="0.25">
      <c r="B2905" s="1"/>
    </row>
    <row r="2906" spans="2:2" x14ac:dyDescent="0.25">
      <c r="B2906" s="1"/>
    </row>
    <row r="2907" spans="2:2" x14ac:dyDescent="0.25">
      <c r="B2907" s="1"/>
    </row>
    <row r="2908" spans="2:2" x14ac:dyDescent="0.25">
      <c r="B2908" s="1"/>
    </row>
    <row r="2909" spans="2:2" x14ac:dyDescent="0.25">
      <c r="B2909" s="1"/>
    </row>
    <row r="2910" spans="2:2" x14ac:dyDescent="0.25">
      <c r="B2910" s="1"/>
    </row>
    <row r="2911" spans="2:2" x14ac:dyDescent="0.25">
      <c r="B2911" s="1"/>
    </row>
    <row r="2912" spans="2:2" x14ac:dyDescent="0.25">
      <c r="B2912" s="1"/>
    </row>
    <row r="2913" spans="2:2" x14ac:dyDescent="0.25">
      <c r="B2913" s="1"/>
    </row>
    <row r="2914" spans="2:2" x14ac:dyDescent="0.25">
      <c r="B2914" s="1"/>
    </row>
    <row r="2915" spans="2:2" x14ac:dyDescent="0.25">
      <c r="B2915" s="1"/>
    </row>
    <row r="2916" spans="2:2" x14ac:dyDescent="0.25">
      <c r="B2916" s="1"/>
    </row>
    <row r="2917" spans="2:2" x14ac:dyDescent="0.25">
      <c r="B2917" s="1"/>
    </row>
    <row r="2918" spans="2:2" x14ac:dyDescent="0.25">
      <c r="B2918" s="1"/>
    </row>
    <row r="2919" spans="2:2" x14ac:dyDescent="0.25">
      <c r="B2919" s="1"/>
    </row>
    <row r="2920" spans="2:2" x14ac:dyDescent="0.25">
      <c r="B2920" s="1"/>
    </row>
    <row r="2921" spans="2:2" x14ac:dyDescent="0.25">
      <c r="B2921" s="1"/>
    </row>
    <row r="2922" spans="2:2" x14ac:dyDescent="0.25">
      <c r="B2922" s="1"/>
    </row>
    <row r="2923" spans="2:2" x14ac:dyDescent="0.25">
      <c r="B2923" s="1"/>
    </row>
    <row r="2924" spans="2:2" x14ac:dyDescent="0.25">
      <c r="B2924" s="1"/>
    </row>
    <row r="2925" spans="2:2" x14ac:dyDescent="0.25">
      <c r="B2925" s="1"/>
    </row>
    <row r="2926" spans="2:2" x14ac:dyDescent="0.25">
      <c r="B2926" s="1"/>
    </row>
    <row r="2927" spans="2:2" x14ac:dyDescent="0.25">
      <c r="B2927" s="1"/>
    </row>
    <row r="2928" spans="2:2" x14ac:dyDescent="0.25">
      <c r="B2928" s="1"/>
    </row>
    <row r="2929" spans="2:2" x14ac:dyDescent="0.25">
      <c r="B2929" s="1"/>
    </row>
    <row r="2930" spans="2:2" x14ac:dyDescent="0.25">
      <c r="B2930" s="1"/>
    </row>
    <row r="2931" spans="2:2" x14ac:dyDescent="0.25">
      <c r="B2931" s="1"/>
    </row>
    <row r="2932" spans="2:2" x14ac:dyDescent="0.25">
      <c r="B2932" s="1"/>
    </row>
    <row r="2933" spans="2:2" x14ac:dyDescent="0.25">
      <c r="B2933" s="1"/>
    </row>
    <row r="2934" spans="2:2" x14ac:dyDescent="0.25">
      <c r="B2934" s="1"/>
    </row>
    <row r="2935" spans="2:2" x14ac:dyDescent="0.25">
      <c r="B2935" s="1"/>
    </row>
    <row r="2936" spans="2:2" x14ac:dyDescent="0.25">
      <c r="B2936" s="1"/>
    </row>
    <row r="2937" spans="2:2" x14ac:dyDescent="0.25">
      <c r="B2937" s="1"/>
    </row>
    <row r="2938" spans="2:2" x14ac:dyDescent="0.25">
      <c r="B2938" s="1"/>
    </row>
    <row r="2939" spans="2:2" x14ac:dyDescent="0.25">
      <c r="B2939" s="1"/>
    </row>
    <row r="2940" spans="2:2" x14ac:dyDescent="0.25">
      <c r="B2940" s="1"/>
    </row>
    <row r="2941" spans="2:2" x14ac:dyDescent="0.25">
      <c r="B2941" s="1"/>
    </row>
    <row r="2942" spans="2:2" x14ac:dyDescent="0.25">
      <c r="B2942" s="1"/>
    </row>
    <row r="2943" spans="2:2" x14ac:dyDescent="0.25">
      <c r="B2943" s="1"/>
    </row>
    <row r="2944" spans="2:2" x14ac:dyDescent="0.25">
      <c r="B2944" s="1"/>
    </row>
    <row r="2945" spans="2:2" x14ac:dyDescent="0.25">
      <c r="B2945" s="1"/>
    </row>
    <row r="2946" spans="2:2" x14ac:dyDescent="0.25">
      <c r="B2946" s="1"/>
    </row>
    <row r="2947" spans="2:2" x14ac:dyDescent="0.25">
      <c r="B2947" s="1"/>
    </row>
    <row r="2948" spans="2:2" x14ac:dyDescent="0.25">
      <c r="B2948" s="1"/>
    </row>
    <row r="2949" spans="2:2" x14ac:dyDescent="0.25">
      <c r="B2949" s="1"/>
    </row>
    <row r="2950" spans="2:2" x14ac:dyDescent="0.25">
      <c r="B2950" s="1"/>
    </row>
    <row r="2951" spans="2:2" x14ac:dyDescent="0.25">
      <c r="B2951" s="1"/>
    </row>
    <row r="2952" spans="2:2" x14ac:dyDescent="0.25">
      <c r="B2952" s="1"/>
    </row>
    <row r="2953" spans="2:2" x14ac:dyDescent="0.25">
      <c r="B2953" s="1"/>
    </row>
    <row r="2954" spans="2:2" x14ac:dyDescent="0.25">
      <c r="B2954" s="1"/>
    </row>
    <row r="2955" spans="2:2" x14ac:dyDescent="0.25">
      <c r="B2955" s="1"/>
    </row>
    <row r="2956" spans="2:2" x14ac:dyDescent="0.25">
      <c r="B2956" s="1"/>
    </row>
    <row r="2957" spans="2:2" x14ac:dyDescent="0.25">
      <c r="B2957" s="1"/>
    </row>
    <row r="2958" spans="2:2" x14ac:dyDescent="0.25">
      <c r="B2958" s="1"/>
    </row>
    <row r="2959" spans="2:2" x14ac:dyDescent="0.25">
      <c r="B2959" s="1"/>
    </row>
    <row r="2960" spans="2:2" x14ac:dyDescent="0.25">
      <c r="B2960" s="1"/>
    </row>
    <row r="2961" spans="2:2" x14ac:dyDescent="0.25">
      <c r="B2961" s="1"/>
    </row>
    <row r="2962" spans="2:2" x14ac:dyDescent="0.25">
      <c r="B2962" s="1"/>
    </row>
    <row r="2963" spans="2:2" x14ac:dyDescent="0.25">
      <c r="B2963" s="1"/>
    </row>
    <row r="2964" spans="2:2" x14ac:dyDescent="0.25">
      <c r="B2964" s="1"/>
    </row>
    <row r="2965" spans="2:2" x14ac:dyDescent="0.25">
      <c r="B2965" s="1"/>
    </row>
    <row r="2966" spans="2:2" x14ac:dyDescent="0.25">
      <c r="B2966" s="1"/>
    </row>
    <row r="2967" spans="2:2" x14ac:dyDescent="0.25">
      <c r="B2967" s="1"/>
    </row>
    <row r="2968" spans="2:2" x14ac:dyDescent="0.25">
      <c r="B2968" s="1"/>
    </row>
    <row r="2969" spans="2:2" x14ac:dyDescent="0.25">
      <c r="B2969" s="1"/>
    </row>
    <row r="2970" spans="2:2" x14ac:dyDescent="0.25">
      <c r="B2970" s="1"/>
    </row>
    <row r="2971" spans="2:2" x14ac:dyDescent="0.25">
      <c r="B2971" s="1"/>
    </row>
    <row r="2972" spans="2:2" x14ac:dyDescent="0.25">
      <c r="B2972" s="1"/>
    </row>
    <row r="2973" spans="2:2" x14ac:dyDescent="0.25">
      <c r="B2973" s="1"/>
    </row>
    <row r="2974" spans="2:2" x14ac:dyDescent="0.25">
      <c r="B2974" s="1"/>
    </row>
    <row r="2975" spans="2:2" x14ac:dyDescent="0.25">
      <c r="B2975" s="1"/>
    </row>
    <row r="2976" spans="2:2" x14ac:dyDescent="0.25">
      <c r="B2976" s="1"/>
    </row>
    <row r="2977" spans="2:2" x14ac:dyDescent="0.25">
      <c r="B2977" s="1"/>
    </row>
    <row r="2978" spans="2:2" x14ac:dyDescent="0.25">
      <c r="B2978" s="1"/>
    </row>
    <row r="2979" spans="2:2" x14ac:dyDescent="0.25">
      <c r="B2979" s="1"/>
    </row>
    <row r="2980" spans="2:2" x14ac:dyDescent="0.25">
      <c r="B2980" s="1"/>
    </row>
    <row r="2981" spans="2:2" x14ac:dyDescent="0.25">
      <c r="B2981" s="1"/>
    </row>
    <row r="2982" spans="2:2" x14ac:dyDescent="0.25">
      <c r="B2982" s="1"/>
    </row>
    <row r="2983" spans="2:2" x14ac:dyDescent="0.25">
      <c r="B2983" s="1"/>
    </row>
    <row r="2984" spans="2:2" x14ac:dyDescent="0.25">
      <c r="B2984" s="1"/>
    </row>
    <row r="2985" spans="2:2" x14ac:dyDescent="0.25">
      <c r="B2985" s="1"/>
    </row>
    <row r="2986" spans="2:2" x14ac:dyDescent="0.25">
      <c r="B2986" s="1"/>
    </row>
    <row r="2987" spans="2:2" x14ac:dyDescent="0.25">
      <c r="B2987" s="1"/>
    </row>
    <row r="2988" spans="2:2" x14ac:dyDescent="0.25">
      <c r="B2988" s="1"/>
    </row>
    <row r="2989" spans="2:2" x14ac:dyDescent="0.25">
      <c r="B2989" s="1"/>
    </row>
    <row r="2990" spans="2:2" x14ac:dyDescent="0.25">
      <c r="B2990" s="1"/>
    </row>
    <row r="2991" spans="2:2" x14ac:dyDescent="0.25">
      <c r="B2991" s="1"/>
    </row>
    <row r="2992" spans="2:2" x14ac:dyDescent="0.25">
      <c r="B2992" s="1"/>
    </row>
    <row r="2993" spans="2:2" x14ac:dyDescent="0.25">
      <c r="B2993" s="1"/>
    </row>
    <row r="2994" spans="2:2" x14ac:dyDescent="0.25">
      <c r="B2994" s="1"/>
    </row>
    <row r="2995" spans="2:2" x14ac:dyDescent="0.25">
      <c r="B2995" s="1"/>
    </row>
    <row r="2996" spans="2:2" x14ac:dyDescent="0.25">
      <c r="B2996" s="1"/>
    </row>
    <row r="2997" spans="2:2" x14ac:dyDescent="0.25">
      <c r="B2997" s="1"/>
    </row>
    <row r="2998" spans="2:2" x14ac:dyDescent="0.25">
      <c r="B2998" s="1"/>
    </row>
    <row r="2999" spans="2:2" x14ac:dyDescent="0.25">
      <c r="B2999" s="1"/>
    </row>
    <row r="3000" spans="2:2" x14ac:dyDescent="0.25">
      <c r="B3000" s="1"/>
    </row>
    <row r="3001" spans="2:2" x14ac:dyDescent="0.25">
      <c r="B3001" s="1"/>
    </row>
    <row r="3002" spans="2:2" x14ac:dyDescent="0.25">
      <c r="B3002" s="1"/>
    </row>
    <row r="3003" spans="2:2" x14ac:dyDescent="0.25">
      <c r="B3003" s="1"/>
    </row>
    <row r="3004" spans="2:2" x14ac:dyDescent="0.25">
      <c r="B3004" s="1"/>
    </row>
    <row r="3005" spans="2:2" x14ac:dyDescent="0.25">
      <c r="B3005" s="1"/>
    </row>
    <row r="3006" spans="2:2" x14ac:dyDescent="0.25">
      <c r="B3006" s="1"/>
    </row>
    <row r="3007" spans="2:2" x14ac:dyDescent="0.25">
      <c r="B3007" s="1"/>
    </row>
    <row r="3008" spans="2:2" x14ac:dyDescent="0.25">
      <c r="B3008" s="1"/>
    </row>
    <row r="3009" spans="2:2" x14ac:dyDescent="0.25">
      <c r="B3009" s="1"/>
    </row>
    <row r="3010" spans="2:2" x14ac:dyDescent="0.25">
      <c r="B3010" s="1"/>
    </row>
    <row r="3011" spans="2:2" x14ac:dyDescent="0.25">
      <c r="B3011" s="1"/>
    </row>
    <row r="3012" spans="2:2" x14ac:dyDescent="0.25">
      <c r="B3012" s="1"/>
    </row>
    <row r="3013" spans="2:2" x14ac:dyDescent="0.25">
      <c r="B3013" s="1"/>
    </row>
    <row r="3014" spans="2:2" x14ac:dyDescent="0.25">
      <c r="B3014" s="1"/>
    </row>
    <row r="3015" spans="2:2" x14ac:dyDescent="0.25">
      <c r="B3015" s="1"/>
    </row>
    <row r="3016" spans="2:2" x14ac:dyDescent="0.25">
      <c r="B3016" s="1"/>
    </row>
    <row r="3017" spans="2:2" x14ac:dyDescent="0.25">
      <c r="B3017" s="1"/>
    </row>
    <row r="3018" spans="2:2" x14ac:dyDescent="0.25">
      <c r="B3018" s="1"/>
    </row>
    <row r="3019" spans="2:2" x14ac:dyDescent="0.25">
      <c r="B3019" s="1"/>
    </row>
    <row r="3020" spans="2:2" x14ac:dyDescent="0.25">
      <c r="B3020" s="1"/>
    </row>
    <row r="3021" spans="2:2" x14ac:dyDescent="0.25">
      <c r="B3021" s="1"/>
    </row>
    <row r="3022" spans="2:2" x14ac:dyDescent="0.25">
      <c r="B3022" s="1"/>
    </row>
    <row r="3023" spans="2:2" x14ac:dyDescent="0.25">
      <c r="B3023" s="1"/>
    </row>
    <row r="3024" spans="2:2" x14ac:dyDescent="0.25">
      <c r="B3024" s="1"/>
    </row>
    <row r="3025" spans="2:2" x14ac:dyDescent="0.25">
      <c r="B3025" s="1"/>
    </row>
    <row r="3026" spans="2:2" x14ac:dyDescent="0.25">
      <c r="B3026" s="1"/>
    </row>
    <row r="3027" spans="2:2" x14ac:dyDescent="0.25">
      <c r="B3027" s="1"/>
    </row>
    <row r="3028" spans="2:2" x14ac:dyDescent="0.25">
      <c r="B3028" s="1"/>
    </row>
    <row r="3029" spans="2:2" x14ac:dyDescent="0.25">
      <c r="B3029" s="1"/>
    </row>
    <row r="3030" spans="2:2" x14ac:dyDescent="0.25">
      <c r="B3030" s="1"/>
    </row>
    <row r="3031" spans="2:2" x14ac:dyDescent="0.25">
      <c r="B3031" s="1"/>
    </row>
    <row r="3032" spans="2:2" x14ac:dyDescent="0.25">
      <c r="B3032" s="1"/>
    </row>
    <row r="3033" spans="2:2" x14ac:dyDescent="0.25">
      <c r="B3033" s="1"/>
    </row>
    <row r="3034" spans="2:2" x14ac:dyDescent="0.25">
      <c r="B3034" s="1"/>
    </row>
    <row r="3035" spans="2:2" x14ac:dyDescent="0.25">
      <c r="B3035" s="1"/>
    </row>
    <row r="3036" spans="2:2" x14ac:dyDescent="0.25">
      <c r="B3036" s="1"/>
    </row>
    <row r="3037" spans="2:2" x14ac:dyDescent="0.25">
      <c r="B3037" s="1"/>
    </row>
    <row r="3038" spans="2:2" x14ac:dyDescent="0.25">
      <c r="B3038" s="1"/>
    </row>
    <row r="3039" spans="2:2" x14ac:dyDescent="0.25">
      <c r="B3039" s="1"/>
    </row>
    <row r="3040" spans="2:2" x14ac:dyDescent="0.25">
      <c r="B3040" s="1"/>
    </row>
    <row r="3041" spans="2:2" x14ac:dyDescent="0.25">
      <c r="B3041" s="1"/>
    </row>
    <row r="3042" spans="2:2" x14ac:dyDescent="0.25">
      <c r="B3042" s="1"/>
    </row>
    <row r="3043" spans="2:2" x14ac:dyDescent="0.25">
      <c r="B3043" s="1"/>
    </row>
    <row r="3044" spans="2:2" x14ac:dyDescent="0.25">
      <c r="B3044" s="1"/>
    </row>
    <row r="3045" spans="2:2" x14ac:dyDescent="0.25">
      <c r="B3045" s="1"/>
    </row>
    <row r="3046" spans="2:2" x14ac:dyDescent="0.25">
      <c r="B3046" s="1"/>
    </row>
    <row r="3047" spans="2:2" x14ac:dyDescent="0.25">
      <c r="B3047" s="1"/>
    </row>
    <row r="3048" spans="2:2" x14ac:dyDescent="0.25">
      <c r="B3048" s="1"/>
    </row>
    <row r="3049" spans="2:2" x14ac:dyDescent="0.25">
      <c r="B3049" s="1"/>
    </row>
    <row r="3050" spans="2:2" x14ac:dyDescent="0.25">
      <c r="B3050" s="1"/>
    </row>
    <row r="3051" spans="2:2" x14ac:dyDescent="0.25">
      <c r="B3051" s="1"/>
    </row>
    <row r="3052" spans="2:2" x14ac:dyDescent="0.25">
      <c r="B3052" s="1"/>
    </row>
    <row r="3053" spans="2:2" x14ac:dyDescent="0.25">
      <c r="B3053" s="1"/>
    </row>
    <row r="3054" spans="2:2" x14ac:dyDescent="0.25">
      <c r="B3054" s="1"/>
    </row>
    <row r="3055" spans="2:2" x14ac:dyDescent="0.25">
      <c r="B3055" s="1"/>
    </row>
    <row r="3056" spans="2:2" x14ac:dyDescent="0.25">
      <c r="B3056" s="1"/>
    </row>
    <row r="3057" spans="2:2" x14ac:dyDescent="0.25">
      <c r="B3057" s="1"/>
    </row>
    <row r="3058" spans="2:2" x14ac:dyDescent="0.25">
      <c r="B3058" s="1"/>
    </row>
    <row r="3059" spans="2:2" x14ac:dyDescent="0.25">
      <c r="B3059" s="1"/>
    </row>
    <row r="3060" spans="2:2" x14ac:dyDescent="0.25">
      <c r="B3060" s="1"/>
    </row>
    <row r="3061" spans="2:2" x14ac:dyDescent="0.25">
      <c r="B3061" s="1"/>
    </row>
    <row r="3062" spans="2:2" x14ac:dyDescent="0.25">
      <c r="B3062" s="1"/>
    </row>
    <row r="3063" spans="2:2" x14ac:dyDescent="0.25">
      <c r="B3063" s="1"/>
    </row>
    <row r="3064" spans="2:2" x14ac:dyDescent="0.25">
      <c r="B3064" s="1"/>
    </row>
    <row r="3065" spans="2:2" x14ac:dyDescent="0.25">
      <c r="B3065" s="1"/>
    </row>
    <row r="3066" spans="2:2" x14ac:dyDescent="0.25">
      <c r="B3066" s="1"/>
    </row>
    <row r="3067" spans="2:2" x14ac:dyDescent="0.25">
      <c r="B3067" s="1"/>
    </row>
    <row r="3068" spans="2:2" x14ac:dyDescent="0.25">
      <c r="B3068" s="1"/>
    </row>
    <row r="3069" spans="2:2" x14ac:dyDescent="0.25">
      <c r="B3069" s="1"/>
    </row>
    <row r="3070" spans="2:2" x14ac:dyDescent="0.25">
      <c r="B3070" s="1"/>
    </row>
    <row r="3071" spans="2:2" x14ac:dyDescent="0.25">
      <c r="B3071" s="1"/>
    </row>
    <row r="3072" spans="2:2" x14ac:dyDescent="0.25">
      <c r="B3072" s="1"/>
    </row>
    <row r="3073" spans="2:2" x14ac:dyDescent="0.25">
      <c r="B3073" s="1"/>
    </row>
    <row r="3074" spans="2:2" x14ac:dyDescent="0.25">
      <c r="B3074" s="1"/>
    </row>
    <row r="3075" spans="2:2" x14ac:dyDescent="0.25">
      <c r="B3075" s="1"/>
    </row>
    <row r="3076" spans="2:2" x14ac:dyDescent="0.25">
      <c r="B3076" s="1"/>
    </row>
    <row r="3077" spans="2:2" x14ac:dyDescent="0.25">
      <c r="B3077" s="1"/>
    </row>
    <row r="3078" spans="2:2" x14ac:dyDescent="0.25">
      <c r="B3078" s="1"/>
    </row>
    <row r="3079" spans="2:2" x14ac:dyDescent="0.25">
      <c r="B3079" s="1"/>
    </row>
    <row r="3080" spans="2:2" x14ac:dyDescent="0.25">
      <c r="B3080" s="1"/>
    </row>
    <row r="3081" spans="2:2" x14ac:dyDescent="0.25">
      <c r="B3081" s="1"/>
    </row>
    <row r="3082" spans="2:2" x14ac:dyDescent="0.25">
      <c r="B3082" s="1"/>
    </row>
    <row r="3083" spans="2:2" x14ac:dyDescent="0.25">
      <c r="B3083" s="1"/>
    </row>
    <row r="3084" spans="2:2" x14ac:dyDescent="0.25">
      <c r="B3084" s="1"/>
    </row>
    <row r="3085" spans="2:2" x14ac:dyDescent="0.25">
      <c r="B3085" s="1"/>
    </row>
    <row r="3086" spans="2:2" x14ac:dyDescent="0.25">
      <c r="B3086" s="1"/>
    </row>
    <row r="3087" spans="2:2" x14ac:dyDescent="0.25">
      <c r="B3087" s="1"/>
    </row>
    <row r="3088" spans="2:2" x14ac:dyDescent="0.25">
      <c r="B3088" s="1"/>
    </row>
    <row r="3089" spans="2:2" x14ac:dyDescent="0.25">
      <c r="B3089" s="1"/>
    </row>
    <row r="3090" spans="2:2" x14ac:dyDescent="0.25">
      <c r="B3090" s="1"/>
    </row>
    <row r="3091" spans="2:2" x14ac:dyDescent="0.25">
      <c r="B3091" s="1"/>
    </row>
    <row r="3092" spans="2:2" x14ac:dyDescent="0.25">
      <c r="B3092" s="1"/>
    </row>
    <row r="3093" spans="2:2" x14ac:dyDescent="0.25">
      <c r="B3093" s="1"/>
    </row>
    <row r="3094" spans="2:2" x14ac:dyDescent="0.25">
      <c r="B3094" s="1"/>
    </row>
    <row r="3095" spans="2:2" x14ac:dyDescent="0.25">
      <c r="B3095" s="1"/>
    </row>
    <row r="3096" spans="2:2" x14ac:dyDescent="0.25">
      <c r="B3096" s="1"/>
    </row>
    <row r="3097" spans="2:2" x14ac:dyDescent="0.25">
      <c r="B3097" s="1"/>
    </row>
    <row r="3098" spans="2:2" x14ac:dyDescent="0.25">
      <c r="B3098" s="1"/>
    </row>
    <row r="3099" spans="2:2" x14ac:dyDescent="0.25">
      <c r="B3099" s="1"/>
    </row>
    <row r="3100" spans="2:2" x14ac:dyDescent="0.25">
      <c r="B3100" s="1"/>
    </row>
    <row r="3101" spans="2:2" x14ac:dyDescent="0.25">
      <c r="B3101" s="1"/>
    </row>
    <row r="3102" spans="2:2" x14ac:dyDescent="0.25">
      <c r="B3102" s="1"/>
    </row>
    <row r="3103" spans="2:2" x14ac:dyDescent="0.25">
      <c r="B3103" s="1"/>
    </row>
    <row r="3104" spans="2:2" x14ac:dyDescent="0.25">
      <c r="B3104" s="1"/>
    </row>
    <row r="3105" spans="2:2" x14ac:dyDescent="0.25">
      <c r="B3105" s="1"/>
    </row>
    <row r="3106" spans="2:2" x14ac:dyDescent="0.25">
      <c r="B3106" s="1"/>
    </row>
    <row r="3107" spans="2:2" x14ac:dyDescent="0.25">
      <c r="B3107" s="1"/>
    </row>
    <row r="3108" spans="2:2" x14ac:dyDescent="0.25">
      <c r="B3108" s="1"/>
    </row>
    <row r="3109" spans="2:2" x14ac:dyDescent="0.25">
      <c r="B3109" s="1"/>
    </row>
    <row r="3110" spans="2:2" x14ac:dyDescent="0.25">
      <c r="B3110" s="1"/>
    </row>
    <row r="3111" spans="2:2" x14ac:dyDescent="0.25">
      <c r="B3111" s="1"/>
    </row>
    <row r="3112" spans="2:2" x14ac:dyDescent="0.25">
      <c r="B3112" s="1"/>
    </row>
    <row r="3113" spans="2:2" x14ac:dyDescent="0.25">
      <c r="B3113" s="1"/>
    </row>
    <row r="3114" spans="2:2" x14ac:dyDescent="0.25">
      <c r="B3114" s="1"/>
    </row>
    <row r="3115" spans="2:2" x14ac:dyDescent="0.25">
      <c r="B3115" s="1"/>
    </row>
    <row r="3116" spans="2:2" x14ac:dyDescent="0.25">
      <c r="B3116" s="1"/>
    </row>
    <row r="3117" spans="2:2" x14ac:dyDescent="0.25">
      <c r="B3117" s="1"/>
    </row>
    <row r="3118" spans="2:2" x14ac:dyDescent="0.25">
      <c r="B3118" s="1"/>
    </row>
    <row r="3119" spans="2:2" x14ac:dyDescent="0.25">
      <c r="B3119" s="1"/>
    </row>
    <row r="3120" spans="2:2" x14ac:dyDescent="0.25">
      <c r="B3120" s="1"/>
    </row>
    <row r="3121" spans="2:2" x14ac:dyDescent="0.25">
      <c r="B3121" s="1"/>
    </row>
    <row r="3122" spans="2:2" x14ac:dyDescent="0.25">
      <c r="B3122" s="1"/>
    </row>
    <row r="3123" spans="2:2" x14ac:dyDescent="0.25">
      <c r="B3123" s="1"/>
    </row>
    <row r="3124" spans="2:2" x14ac:dyDescent="0.25">
      <c r="B3124" s="1"/>
    </row>
    <row r="3125" spans="2:2" x14ac:dyDescent="0.25">
      <c r="B3125" s="1"/>
    </row>
    <row r="3126" spans="2:2" x14ac:dyDescent="0.25">
      <c r="B3126" s="1"/>
    </row>
    <row r="3127" spans="2:2" x14ac:dyDescent="0.25">
      <c r="B3127" s="1"/>
    </row>
    <row r="3128" spans="2:2" x14ac:dyDescent="0.25">
      <c r="B3128" s="1"/>
    </row>
    <row r="3129" spans="2:2" x14ac:dyDescent="0.25">
      <c r="B3129" s="1"/>
    </row>
    <row r="3130" spans="2:2" x14ac:dyDescent="0.25">
      <c r="B3130" s="1"/>
    </row>
    <row r="3131" spans="2:2" x14ac:dyDescent="0.25">
      <c r="B3131" s="1"/>
    </row>
    <row r="3132" spans="2:2" x14ac:dyDescent="0.25">
      <c r="B3132" s="1"/>
    </row>
    <row r="3133" spans="2:2" x14ac:dyDescent="0.25">
      <c r="B3133" s="1"/>
    </row>
    <row r="3134" spans="2:2" x14ac:dyDescent="0.25">
      <c r="B3134" s="1"/>
    </row>
    <row r="3135" spans="2:2" x14ac:dyDescent="0.25">
      <c r="B3135" s="1"/>
    </row>
    <row r="3136" spans="2:2" x14ac:dyDescent="0.25">
      <c r="B3136" s="1"/>
    </row>
    <row r="3137" spans="2:2" x14ac:dyDescent="0.25">
      <c r="B3137" s="1"/>
    </row>
    <row r="3138" spans="2:2" x14ac:dyDescent="0.25">
      <c r="B3138" s="1"/>
    </row>
    <row r="3139" spans="2:2" x14ac:dyDescent="0.25">
      <c r="B3139" s="1"/>
    </row>
    <row r="3140" spans="2:2" x14ac:dyDescent="0.25">
      <c r="B3140" s="1"/>
    </row>
    <row r="3141" spans="2:2" x14ac:dyDescent="0.25">
      <c r="B3141" s="1"/>
    </row>
    <row r="3142" spans="2:2" x14ac:dyDescent="0.25">
      <c r="B3142" s="1"/>
    </row>
    <row r="3143" spans="2:2" x14ac:dyDescent="0.25">
      <c r="B3143" s="1"/>
    </row>
    <row r="3144" spans="2:2" x14ac:dyDescent="0.25">
      <c r="B3144" s="1"/>
    </row>
    <row r="3145" spans="2:2" x14ac:dyDescent="0.25">
      <c r="B3145" s="1"/>
    </row>
    <row r="3146" spans="2:2" x14ac:dyDescent="0.25">
      <c r="B3146" s="1"/>
    </row>
    <row r="3147" spans="2:2" x14ac:dyDescent="0.25">
      <c r="B3147" s="1"/>
    </row>
    <row r="3148" spans="2:2" x14ac:dyDescent="0.25">
      <c r="B3148" s="1"/>
    </row>
    <row r="3149" spans="2:2" x14ac:dyDescent="0.25">
      <c r="B3149" s="1"/>
    </row>
    <row r="3150" spans="2:2" x14ac:dyDescent="0.25">
      <c r="B3150" s="1"/>
    </row>
    <row r="3151" spans="2:2" x14ac:dyDescent="0.25">
      <c r="B3151" s="1"/>
    </row>
    <row r="3152" spans="2:2" x14ac:dyDescent="0.25">
      <c r="B3152" s="1"/>
    </row>
    <row r="3153" spans="2:2" x14ac:dyDescent="0.25">
      <c r="B3153" s="1"/>
    </row>
    <row r="3154" spans="2:2" x14ac:dyDescent="0.25">
      <c r="B3154" s="1"/>
    </row>
    <row r="3155" spans="2:2" x14ac:dyDescent="0.25">
      <c r="B3155" s="1"/>
    </row>
    <row r="3156" spans="2:2" x14ac:dyDescent="0.25">
      <c r="B3156" s="1"/>
    </row>
    <row r="3157" spans="2:2" x14ac:dyDescent="0.25">
      <c r="B3157" s="1"/>
    </row>
    <row r="3158" spans="2:2" x14ac:dyDescent="0.25">
      <c r="B3158" s="1"/>
    </row>
    <row r="3159" spans="2:2" x14ac:dyDescent="0.25">
      <c r="B3159" s="1"/>
    </row>
    <row r="3160" spans="2:2" x14ac:dyDescent="0.25">
      <c r="B3160" s="1"/>
    </row>
    <row r="3161" spans="2:2" x14ac:dyDescent="0.25">
      <c r="B3161" s="1"/>
    </row>
    <row r="3162" spans="2:2" x14ac:dyDescent="0.25">
      <c r="B3162" s="1"/>
    </row>
    <row r="3163" spans="2:2" x14ac:dyDescent="0.25">
      <c r="B3163" s="1"/>
    </row>
    <row r="3164" spans="2:2" x14ac:dyDescent="0.25">
      <c r="B3164" s="1"/>
    </row>
    <row r="3165" spans="2:2" x14ac:dyDescent="0.25">
      <c r="B3165" s="1"/>
    </row>
    <row r="3166" spans="2:2" x14ac:dyDescent="0.25">
      <c r="B3166" s="1"/>
    </row>
    <row r="3167" spans="2:2" x14ac:dyDescent="0.25">
      <c r="B3167" s="1"/>
    </row>
    <row r="3168" spans="2:2" x14ac:dyDescent="0.25">
      <c r="B3168" s="1"/>
    </row>
    <row r="3169" spans="2:2" x14ac:dyDescent="0.25">
      <c r="B3169" s="1"/>
    </row>
    <row r="3170" spans="2:2" x14ac:dyDescent="0.25">
      <c r="B3170" s="1"/>
    </row>
    <row r="3171" spans="2:2" x14ac:dyDescent="0.25">
      <c r="B3171" s="1"/>
    </row>
    <row r="3172" spans="2:2" x14ac:dyDescent="0.25">
      <c r="B3172" s="1"/>
    </row>
    <row r="3173" spans="2:2" x14ac:dyDescent="0.25">
      <c r="B3173" s="1"/>
    </row>
    <row r="3174" spans="2:2" x14ac:dyDescent="0.25">
      <c r="B3174" s="1"/>
    </row>
    <row r="3175" spans="2:2" x14ac:dyDescent="0.25">
      <c r="B3175" s="1"/>
    </row>
    <row r="3176" spans="2:2" x14ac:dyDescent="0.25">
      <c r="B3176" s="1"/>
    </row>
    <row r="3177" spans="2:2" x14ac:dyDescent="0.25">
      <c r="B3177" s="1"/>
    </row>
    <row r="3178" spans="2:2" x14ac:dyDescent="0.25">
      <c r="B3178" s="1"/>
    </row>
    <row r="3179" spans="2:2" x14ac:dyDescent="0.25">
      <c r="B3179" s="1"/>
    </row>
    <row r="3180" spans="2:2" x14ac:dyDescent="0.25">
      <c r="B3180" s="1"/>
    </row>
    <row r="3181" spans="2:2" x14ac:dyDescent="0.25">
      <c r="B3181" s="1"/>
    </row>
    <row r="3182" spans="2:2" x14ac:dyDescent="0.25">
      <c r="B3182" s="1"/>
    </row>
    <row r="3183" spans="2:2" x14ac:dyDescent="0.25">
      <c r="B3183" s="1"/>
    </row>
    <row r="3184" spans="2:2" x14ac:dyDescent="0.25">
      <c r="B3184" s="1"/>
    </row>
    <row r="3185" spans="2:2" x14ac:dyDescent="0.25">
      <c r="B3185" s="1"/>
    </row>
    <row r="3186" spans="2:2" x14ac:dyDescent="0.25">
      <c r="B3186" s="1"/>
    </row>
    <row r="3187" spans="2:2" x14ac:dyDescent="0.25">
      <c r="B3187" s="1"/>
    </row>
    <row r="3188" spans="2:2" x14ac:dyDescent="0.25">
      <c r="B3188" s="1"/>
    </row>
    <row r="3189" spans="2:2" x14ac:dyDescent="0.25">
      <c r="B3189" s="1"/>
    </row>
    <row r="3190" spans="2:2" x14ac:dyDescent="0.25">
      <c r="B3190" s="1"/>
    </row>
    <row r="3191" spans="2:2" x14ac:dyDescent="0.25">
      <c r="B3191" s="1"/>
    </row>
    <row r="3192" spans="2:2" x14ac:dyDescent="0.25">
      <c r="B3192" s="1"/>
    </row>
    <row r="3193" spans="2:2" x14ac:dyDescent="0.25">
      <c r="B3193" s="1"/>
    </row>
    <row r="3194" spans="2:2" x14ac:dyDescent="0.25">
      <c r="B3194" s="1"/>
    </row>
    <row r="3195" spans="2:2" x14ac:dyDescent="0.25">
      <c r="B3195" s="1"/>
    </row>
    <row r="3196" spans="2:2" x14ac:dyDescent="0.25">
      <c r="B3196" s="1"/>
    </row>
    <row r="3197" spans="2:2" x14ac:dyDescent="0.25">
      <c r="B3197" s="1"/>
    </row>
    <row r="3198" spans="2:2" x14ac:dyDescent="0.25">
      <c r="B3198" s="1"/>
    </row>
    <row r="3199" spans="2:2" x14ac:dyDescent="0.25">
      <c r="B3199" s="1"/>
    </row>
    <row r="3200" spans="2:2" x14ac:dyDescent="0.25">
      <c r="B3200" s="1"/>
    </row>
    <row r="3201" spans="2:2" x14ac:dyDescent="0.25">
      <c r="B3201" s="1"/>
    </row>
    <row r="3202" spans="2:2" x14ac:dyDescent="0.25">
      <c r="B3202" s="1"/>
    </row>
    <row r="3203" spans="2:2" x14ac:dyDescent="0.25">
      <c r="B3203" s="1"/>
    </row>
    <row r="3204" spans="2:2" x14ac:dyDescent="0.25">
      <c r="B3204" s="1"/>
    </row>
    <row r="3205" spans="2:2" x14ac:dyDescent="0.25">
      <c r="B3205" s="1"/>
    </row>
    <row r="3206" spans="2:2" x14ac:dyDescent="0.25">
      <c r="B3206" s="1"/>
    </row>
    <row r="3207" spans="2:2" x14ac:dyDescent="0.25">
      <c r="B3207" s="1"/>
    </row>
    <row r="3208" spans="2:2" x14ac:dyDescent="0.25">
      <c r="B3208" s="1"/>
    </row>
    <row r="3209" spans="2:2" x14ac:dyDescent="0.25">
      <c r="B3209" s="1"/>
    </row>
    <row r="3210" spans="2:2" x14ac:dyDescent="0.25">
      <c r="B3210" s="1"/>
    </row>
    <row r="3211" spans="2:2" x14ac:dyDescent="0.25">
      <c r="B3211" s="1"/>
    </row>
    <row r="3212" spans="2:2" x14ac:dyDescent="0.25">
      <c r="B3212" s="1"/>
    </row>
    <row r="3213" spans="2:2" x14ac:dyDescent="0.25">
      <c r="B3213" s="1"/>
    </row>
    <row r="3214" spans="2:2" x14ac:dyDescent="0.25">
      <c r="B3214" s="1"/>
    </row>
    <row r="3215" spans="2:2" x14ac:dyDescent="0.25">
      <c r="B3215" s="1"/>
    </row>
    <row r="3216" spans="2:2" x14ac:dyDescent="0.25">
      <c r="B3216" s="1"/>
    </row>
    <row r="3217" spans="2:2" x14ac:dyDescent="0.25">
      <c r="B3217" s="1"/>
    </row>
    <row r="3218" spans="2:2" x14ac:dyDescent="0.25">
      <c r="B3218" s="1"/>
    </row>
    <row r="3219" spans="2:2" x14ac:dyDescent="0.25">
      <c r="B3219" s="1"/>
    </row>
    <row r="3220" spans="2:2" x14ac:dyDescent="0.25">
      <c r="B3220" s="1"/>
    </row>
    <row r="3221" spans="2:2" x14ac:dyDescent="0.25">
      <c r="B3221" s="1"/>
    </row>
    <row r="3222" spans="2:2" x14ac:dyDescent="0.25">
      <c r="B3222" s="1"/>
    </row>
    <row r="3223" spans="2:2" x14ac:dyDescent="0.25">
      <c r="B3223" s="1"/>
    </row>
    <row r="3224" spans="2:2" x14ac:dyDescent="0.25">
      <c r="B3224" s="1"/>
    </row>
    <row r="3225" spans="2:2" x14ac:dyDescent="0.25">
      <c r="B3225" s="1"/>
    </row>
    <row r="3226" spans="2:2" x14ac:dyDescent="0.25">
      <c r="B3226" s="1"/>
    </row>
    <row r="3227" spans="2:2" x14ac:dyDescent="0.25">
      <c r="B3227" s="1"/>
    </row>
    <row r="3228" spans="2:2" x14ac:dyDescent="0.25">
      <c r="B3228" s="1"/>
    </row>
    <row r="3229" spans="2:2" x14ac:dyDescent="0.25">
      <c r="B3229" s="1"/>
    </row>
    <row r="3230" spans="2:2" x14ac:dyDescent="0.25">
      <c r="B3230" s="1"/>
    </row>
    <row r="3231" spans="2:2" x14ac:dyDescent="0.25">
      <c r="B3231" s="1"/>
    </row>
    <row r="3232" spans="2:2" x14ac:dyDescent="0.25">
      <c r="B3232" s="1"/>
    </row>
    <row r="3233" spans="2:2" x14ac:dyDescent="0.25">
      <c r="B3233" s="1"/>
    </row>
    <row r="3234" spans="2:2" x14ac:dyDescent="0.25">
      <c r="B3234" s="1"/>
    </row>
    <row r="3235" spans="2:2" x14ac:dyDescent="0.25">
      <c r="B3235" s="1"/>
    </row>
    <row r="3236" spans="2:2" x14ac:dyDescent="0.25">
      <c r="B3236" s="1"/>
    </row>
    <row r="3237" spans="2:2" x14ac:dyDescent="0.25">
      <c r="B3237" s="1"/>
    </row>
    <row r="3238" spans="2:2" x14ac:dyDescent="0.25">
      <c r="B3238" s="1"/>
    </row>
    <row r="3239" spans="2:2" x14ac:dyDescent="0.25">
      <c r="B3239" s="1"/>
    </row>
    <row r="3240" spans="2:2" x14ac:dyDescent="0.25">
      <c r="B3240" s="1"/>
    </row>
    <row r="3241" spans="2:2" x14ac:dyDescent="0.25">
      <c r="B3241" s="1"/>
    </row>
    <row r="3242" spans="2:2" x14ac:dyDescent="0.25">
      <c r="B3242" s="1"/>
    </row>
    <row r="3243" spans="2:2" x14ac:dyDescent="0.25">
      <c r="B3243" s="1"/>
    </row>
    <row r="3244" spans="2:2" x14ac:dyDescent="0.25">
      <c r="B3244" s="1"/>
    </row>
    <row r="3245" spans="2:2" x14ac:dyDescent="0.25">
      <c r="B3245" s="1"/>
    </row>
    <row r="3246" spans="2:2" x14ac:dyDescent="0.25">
      <c r="B3246" s="1"/>
    </row>
    <row r="3247" spans="2:2" x14ac:dyDescent="0.25">
      <c r="B3247" s="1"/>
    </row>
    <row r="3248" spans="2:2" x14ac:dyDescent="0.25">
      <c r="B3248" s="1"/>
    </row>
    <row r="3249" spans="2:2" x14ac:dyDescent="0.25">
      <c r="B3249" s="1"/>
    </row>
    <row r="3250" spans="2:2" x14ac:dyDescent="0.25">
      <c r="B3250" s="1"/>
    </row>
    <row r="3251" spans="2:2" x14ac:dyDescent="0.25">
      <c r="B3251" s="1"/>
    </row>
    <row r="3252" spans="2:2" x14ac:dyDescent="0.25">
      <c r="B3252" s="1"/>
    </row>
    <row r="3253" spans="2:2" x14ac:dyDescent="0.25">
      <c r="B3253" s="1"/>
    </row>
    <row r="3254" spans="2:2" x14ac:dyDescent="0.25">
      <c r="B3254" s="1"/>
    </row>
    <row r="3255" spans="2:2" x14ac:dyDescent="0.25">
      <c r="B3255" s="1"/>
    </row>
    <row r="3256" spans="2:2" x14ac:dyDescent="0.25">
      <c r="B3256" s="1"/>
    </row>
    <row r="3257" spans="2:2" x14ac:dyDescent="0.25">
      <c r="B3257" s="1"/>
    </row>
    <row r="3258" spans="2:2" x14ac:dyDescent="0.25">
      <c r="B3258" s="1"/>
    </row>
    <row r="3259" spans="2:2" x14ac:dyDescent="0.25">
      <c r="B3259" s="1"/>
    </row>
    <row r="3260" spans="2:2" x14ac:dyDescent="0.25">
      <c r="B3260" s="1"/>
    </row>
    <row r="3261" spans="2:2" x14ac:dyDescent="0.25">
      <c r="B3261" s="1"/>
    </row>
    <row r="3262" spans="2:2" x14ac:dyDescent="0.25">
      <c r="B3262" s="1"/>
    </row>
    <row r="3263" spans="2:2" x14ac:dyDescent="0.25">
      <c r="B3263" s="1"/>
    </row>
    <row r="3264" spans="2:2" x14ac:dyDescent="0.25">
      <c r="B3264" s="1"/>
    </row>
    <row r="3265" spans="2:2" x14ac:dyDescent="0.25">
      <c r="B3265" s="1"/>
    </row>
    <row r="3266" spans="2:2" x14ac:dyDescent="0.25">
      <c r="B3266" s="1"/>
    </row>
    <row r="3267" spans="2:2" x14ac:dyDescent="0.25">
      <c r="B3267" s="1"/>
    </row>
    <row r="3268" spans="2:2" x14ac:dyDescent="0.25">
      <c r="B3268" s="1"/>
    </row>
    <row r="3269" spans="2:2" x14ac:dyDescent="0.25">
      <c r="B3269" s="1"/>
    </row>
    <row r="3270" spans="2:2" x14ac:dyDescent="0.25">
      <c r="B3270" s="1"/>
    </row>
    <row r="3271" spans="2:2" x14ac:dyDescent="0.25">
      <c r="B3271" s="1"/>
    </row>
    <row r="3272" spans="2:2" x14ac:dyDescent="0.25">
      <c r="B3272" s="1"/>
    </row>
    <row r="3273" spans="2:2" x14ac:dyDescent="0.25">
      <c r="B3273" s="1"/>
    </row>
    <row r="3274" spans="2:2" x14ac:dyDescent="0.25">
      <c r="B3274" s="1"/>
    </row>
    <row r="3275" spans="2:2" x14ac:dyDescent="0.25">
      <c r="B3275" s="1"/>
    </row>
    <row r="3276" spans="2:2" x14ac:dyDescent="0.25">
      <c r="B3276" s="1"/>
    </row>
    <row r="3277" spans="2:2" x14ac:dyDescent="0.25">
      <c r="B3277" s="1"/>
    </row>
    <row r="3278" spans="2:2" x14ac:dyDescent="0.25">
      <c r="B3278" s="1"/>
    </row>
    <row r="3279" spans="2:2" x14ac:dyDescent="0.25">
      <c r="B3279" s="1"/>
    </row>
    <row r="3280" spans="2:2" x14ac:dyDescent="0.25">
      <c r="B3280" s="1"/>
    </row>
    <row r="3281" spans="2:2" x14ac:dyDescent="0.25">
      <c r="B3281" s="1"/>
    </row>
    <row r="3282" spans="2:2" x14ac:dyDescent="0.25">
      <c r="B3282" s="1"/>
    </row>
    <row r="3283" spans="2:2" x14ac:dyDescent="0.25">
      <c r="B3283" s="1"/>
    </row>
    <row r="3284" spans="2:2" x14ac:dyDescent="0.25">
      <c r="B3284" s="1"/>
    </row>
    <row r="3285" spans="2:2" x14ac:dyDescent="0.25">
      <c r="B3285" s="1"/>
    </row>
    <row r="3286" spans="2:2" x14ac:dyDescent="0.25">
      <c r="B3286" s="1"/>
    </row>
    <row r="3287" spans="2:2" x14ac:dyDescent="0.25">
      <c r="B3287" s="1"/>
    </row>
    <row r="3288" spans="2:2" x14ac:dyDescent="0.25">
      <c r="B3288" s="1"/>
    </row>
    <row r="3289" spans="2:2" x14ac:dyDescent="0.25">
      <c r="B3289" s="1"/>
    </row>
    <row r="3290" spans="2:2" x14ac:dyDescent="0.25">
      <c r="B3290" s="1"/>
    </row>
    <row r="3291" spans="2:2" x14ac:dyDescent="0.25">
      <c r="B3291" s="1"/>
    </row>
    <row r="3292" spans="2:2" x14ac:dyDescent="0.25">
      <c r="B3292" s="1"/>
    </row>
    <row r="3293" spans="2:2" x14ac:dyDescent="0.25">
      <c r="B3293" s="1"/>
    </row>
    <row r="3294" spans="2:2" x14ac:dyDescent="0.25">
      <c r="B3294" s="1"/>
    </row>
    <row r="3295" spans="2:2" x14ac:dyDescent="0.25">
      <c r="B3295" s="1"/>
    </row>
    <row r="3296" spans="2:2" x14ac:dyDescent="0.25">
      <c r="B3296" s="1"/>
    </row>
    <row r="3297" spans="2:2" x14ac:dyDescent="0.25">
      <c r="B3297" s="1"/>
    </row>
    <row r="3298" spans="2:2" x14ac:dyDescent="0.25">
      <c r="B3298" s="1"/>
    </row>
    <row r="3299" spans="2:2" x14ac:dyDescent="0.25">
      <c r="B3299" s="1"/>
    </row>
    <row r="3300" spans="2:2" x14ac:dyDescent="0.25">
      <c r="B3300" s="1"/>
    </row>
    <row r="3301" spans="2:2" x14ac:dyDescent="0.25">
      <c r="B3301" s="1"/>
    </row>
    <row r="3302" spans="2:2" x14ac:dyDescent="0.25">
      <c r="B3302" s="1"/>
    </row>
    <row r="3303" spans="2:2" x14ac:dyDescent="0.25">
      <c r="B3303" s="1"/>
    </row>
    <row r="3304" spans="2:2" x14ac:dyDescent="0.25">
      <c r="B3304" s="1"/>
    </row>
    <row r="3305" spans="2:2" x14ac:dyDescent="0.25">
      <c r="B3305" s="1"/>
    </row>
    <row r="3306" spans="2:2" x14ac:dyDescent="0.25">
      <c r="B3306" s="1"/>
    </row>
    <row r="3307" spans="2:2" x14ac:dyDescent="0.25">
      <c r="B3307" s="1"/>
    </row>
    <row r="3308" spans="2:2" x14ac:dyDescent="0.25">
      <c r="B3308" s="1"/>
    </row>
    <row r="3309" spans="2:2" x14ac:dyDescent="0.25">
      <c r="B3309" s="1"/>
    </row>
    <row r="3310" spans="2:2" x14ac:dyDescent="0.25">
      <c r="B3310" s="1"/>
    </row>
    <row r="3311" spans="2:2" x14ac:dyDescent="0.25">
      <c r="B3311" s="1"/>
    </row>
    <row r="3312" spans="2:2" x14ac:dyDescent="0.25">
      <c r="B3312" s="1"/>
    </row>
    <row r="3313" spans="2:2" x14ac:dyDescent="0.25">
      <c r="B3313" s="1"/>
    </row>
    <row r="3314" spans="2:2" x14ac:dyDescent="0.25">
      <c r="B3314" s="1"/>
    </row>
    <row r="3315" spans="2:2" x14ac:dyDescent="0.25">
      <c r="B3315" s="1"/>
    </row>
    <row r="3316" spans="2:2" x14ac:dyDescent="0.25">
      <c r="B3316" s="1"/>
    </row>
    <row r="3317" spans="2:2" x14ac:dyDescent="0.25">
      <c r="B3317" s="1"/>
    </row>
    <row r="3318" spans="2:2" x14ac:dyDescent="0.25">
      <c r="B3318" s="1"/>
    </row>
    <row r="3319" spans="2:2" x14ac:dyDescent="0.25">
      <c r="B3319" s="1"/>
    </row>
    <row r="3320" spans="2:2" x14ac:dyDescent="0.25">
      <c r="B3320" s="1"/>
    </row>
    <row r="3321" spans="2:2" x14ac:dyDescent="0.25">
      <c r="B3321" s="1"/>
    </row>
    <row r="3322" spans="2:2" x14ac:dyDescent="0.25">
      <c r="B3322" s="1"/>
    </row>
    <row r="3323" spans="2:2" x14ac:dyDescent="0.25">
      <c r="B3323" s="1"/>
    </row>
    <row r="3324" spans="2:2" x14ac:dyDescent="0.25">
      <c r="B3324" s="1"/>
    </row>
    <row r="3325" spans="2:2" x14ac:dyDescent="0.25">
      <c r="B3325" s="1"/>
    </row>
    <row r="3326" spans="2:2" x14ac:dyDescent="0.25">
      <c r="B3326" s="1"/>
    </row>
    <row r="3327" spans="2:2" x14ac:dyDescent="0.25">
      <c r="B3327" s="1"/>
    </row>
    <row r="3328" spans="2:2" x14ac:dyDescent="0.25">
      <c r="B3328" s="1"/>
    </row>
    <row r="3329" spans="2:2" x14ac:dyDescent="0.25">
      <c r="B3329" s="1"/>
    </row>
    <row r="3330" spans="2:2" x14ac:dyDescent="0.25">
      <c r="B3330" s="1"/>
    </row>
    <row r="3331" spans="2:2" x14ac:dyDescent="0.25">
      <c r="B3331" s="1"/>
    </row>
    <row r="3332" spans="2:2" x14ac:dyDescent="0.25">
      <c r="B3332" s="1"/>
    </row>
    <row r="3333" spans="2:2" x14ac:dyDescent="0.25">
      <c r="B3333" s="1"/>
    </row>
    <row r="3334" spans="2:2" x14ac:dyDescent="0.25">
      <c r="B3334" s="1"/>
    </row>
    <row r="3335" spans="2:2" x14ac:dyDescent="0.25">
      <c r="B3335" s="1"/>
    </row>
    <row r="3336" spans="2:2" x14ac:dyDescent="0.25">
      <c r="B3336" s="1"/>
    </row>
    <row r="3337" spans="2:2" x14ac:dyDescent="0.25">
      <c r="B3337" s="1"/>
    </row>
    <row r="3338" spans="2:2" x14ac:dyDescent="0.25">
      <c r="B3338" s="1"/>
    </row>
    <row r="3339" spans="2:2" x14ac:dyDescent="0.25">
      <c r="B3339" s="1"/>
    </row>
    <row r="3340" spans="2:2" x14ac:dyDescent="0.25">
      <c r="B3340" s="1"/>
    </row>
    <row r="3341" spans="2:2" x14ac:dyDescent="0.25">
      <c r="B3341" s="1"/>
    </row>
    <row r="3342" spans="2:2" x14ac:dyDescent="0.25">
      <c r="B3342" s="1"/>
    </row>
    <row r="3343" spans="2:2" x14ac:dyDescent="0.25">
      <c r="B3343" s="1"/>
    </row>
    <row r="3344" spans="2:2" x14ac:dyDescent="0.25">
      <c r="B3344" s="1"/>
    </row>
    <row r="3345" spans="2:2" x14ac:dyDescent="0.25">
      <c r="B3345" s="1"/>
    </row>
    <row r="3346" spans="2:2" x14ac:dyDescent="0.25">
      <c r="B3346" s="1"/>
    </row>
    <row r="3347" spans="2:2" x14ac:dyDescent="0.25">
      <c r="B3347" s="1"/>
    </row>
    <row r="3348" spans="2:2" x14ac:dyDescent="0.25">
      <c r="B3348" s="1"/>
    </row>
    <row r="3349" spans="2:2" x14ac:dyDescent="0.25">
      <c r="B3349" s="1"/>
    </row>
    <row r="3350" spans="2:2" x14ac:dyDescent="0.25">
      <c r="B3350" s="1"/>
    </row>
    <row r="3351" spans="2:2" x14ac:dyDescent="0.25">
      <c r="B3351" s="1"/>
    </row>
    <row r="3352" spans="2:2" x14ac:dyDescent="0.25">
      <c r="B3352" s="1"/>
    </row>
    <row r="3353" spans="2:2" x14ac:dyDescent="0.25">
      <c r="B3353" s="1"/>
    </row>
    <row r="3354" spans="2:2" x14ac:dyDescent="0.25">
      <c r="B3354" s="1"/>
    </row>
    <row r="3355" spans="2:2" x14ac:dyDescent="0.25">
      <c r="B3355" s="1"/>
    </row>
    <row r="3356" spans="2:2" x14ac:dyDescent="0.25">
      <c r="B3356" s="1"/>
    </row>
    <row r="3357" spans="2:2" x14ac:dyDescent="0.25">
      <c r="B3357" s="1"/>
    </row>
    <row r="3358" spans="2:2" x14ac:dyDescent="0.25">
      <c r="B3358" s="1"/>
    </row>
    <row r="3359" spans="2:2" x14ac:dyDescent="0.25">
      <c r="B3359" s="1"/>
    </row>
    <row r="3360" spans="2:2" x14ac:dyDescent="0.25">
      <c r="B3360" s="1"/>
    </row>
    <row r="3361" spans="2:2" x14ac:dyDescent="0.25">
      <c r="B3361" s="1"/>
    </row>
    <row r="3362" spans="2:2" x14ac:dyDescent="0.25">
      <c r="B3362" s="1"/>
    </row>
    <row r="3363" spans="2:2" x14ac:dyDescent="0.25">
      <c r="B3363" s="1"/>
    </row>
    <row r="3364" spans="2:2" x14ac:dyDescent="0.25">
      <c r="B3364" s="1"/>
    </row>
    <row r="3365" spans="2:2" x14ac:dyDescent="0.25">
      <c r="B3365" s="1"/>
    </row>
    <row r="3366" spans="2:2" x14ac:dyDescent="0.25">
      <c r="B3366" s="1"/>
    </row>
    <row r="3367" spans="2:2" x14ac:dyDescent="0.25">
      <c r="B3367" s="1"/>
    </row>
    <row r="3368" spans="2:2" x14ac:dyDescent="0.25">
      <c r="B3368" s="1"/>
    </row>
    <row r="3369" spans="2:2" x14ac:dyDescent="0.25">
      <c r="B3369" s="1"/>
    </row>
    <row r="3370" spans="2:2" x14ac:dyDescent="0.25">
      <c r="B3370" s="1"/>
    </row>
    <row r="3371" spans="2:2" x14ac:dyDescent="0.25">
      <c r="B3371" s="1"/>
    </row>
    <row r="3372" spans="2:2" x14ac:dyDescent="0.25">
      <c r="B3372" s="1"/>
    </row>
    <row r="3373" spans="2:2" x14ac:dyDescent="0.25">
      <c r="B3373" s="1"/>
    </row>
    <row r="3374" spans="2:2" x14ac:dyDescent="0.25">
      <c r="B3374" s="1"/>
    </row>
    <row r="3375" spans="2:2" x14ac:dyDescent="0.25">
      <c r="B3375" s="1"/>
    </row>
    <row r="3376" spans="2:2" x14ac:dyDescent="0.25">
      <c r="B3376" s="1"/>
    </row>
    <row r="3377" spans="2:2" x14ac:dyDescent="0.25">
      <c r="B3377" s="1"/>
    </row>
    <row r="3378" spans="2:2" x14ac:dyDescent="0.25">
      <c r="B3378" s="1"/>
    </row>
    <row r="3379" spans="2:2" x14ac:dyDescent="0.25">
      <c r="B3379" s="1"/>
    </row>
    <row r="3380" spans="2:2" x14ac:dyDescent="0.25">
      <c r="B3380" s="1"/>
    </row>
    <row r="3381" spans="2:2" x14ac:dyDescent="0.25">
      <c r="B3381" s="1"/>
    </row>
    <row r="3382" spans="2:2" x14ac:dyDescent="0.25">
      <c r="B3382" s="1"/>
    </row>
    <row r="3383" spans="2:2" x14ac:dyDescent="0.25">
      <c r="B3383" s="1"/>
    </row>
    <row r="3384" spans="2:2" x14ac:dyDescent="0.25">
      <c r="B3384" s="1"/>
    </row>
    <row r="3385" spans="2:2" x14ac:dyDescent="0.25">
      <c r="B3385" s="1"/>
    </row>
    <row r="3386" spans="2:2" x14ac:dyDescent="0.25">
      <c r="B3386" s="1"/>
    </row>
    <row r="3387" spans="2:2" x14ac:dyDescent="0.25">
      <c r="B3387" s="1"/>
    </row>
    <row r="3388" spans="2:2" x14ac:dyDescent="0.25">
      <c r="B3388" s="1"/>
    </row>
    <row r="3389" spans="2:2" x14ac:dyDescent="0.25">
      <c r="B3389" s="1"/>
    </row>
    <row r="3390" spans="2:2" x14ac:dyDescent="0.25">
      <c r="B3390" s="1"/>
    </row>
    <row r="3391" spans="2:2" x14ac:dyDescent="0.25">
      <c r="B3391" s="1"/>
    </row>
    <row r="3392" spans="2:2" x14ac:dyDescent="0.25">
      <c r="B3392" s="1"/>
    </row>
    <row r="3393" spans="2:2" x14ac:dyDescent="0.25">
      <c r="B3393" s="1"/>
    </row>
    <row r="3394" spans="2:2" x14ac:dyDescent="0.25">
      <c r="B3394" s="1"/>
    </row>
    <row r="3395" spans="2:2" x14ac:dyDescent="0.25">
      <c r="B3395" s="1"/>
    </row>
    <row r="3396" spans="2:2" x14ac:dyDescent="0.25">
      <c r="B3396" s="1"/>
    </row>
    <row r="3397" spans="2:2" x14ac:dyDescent="0.25">
      <c r="B3397" s="1"/>
    </row>
    <row r="3398" spans="2:2" x14ac:dyDescent="0.25">
      <c r="B3398" s="1"/>
    </row>
    <row r="3399" spans="2:2" x14ac:dyDescent="0.25">
      <c r="B3399" s="1"/>
    </row>
    <row r="3400" spans="2:2" x14ac:dyDescent="0.25">
      <c r="B3400" s="1"/>
    </row>
    <row r="3401" spans="2:2" x14ac:dyDescent="0.25">
      <c r="B3401" s="1"/>
    </row>
    <row r="3402" spans="2:2" x14ac:dyDescent="0.25">
      <c r="B3402" s="1"/>
    </row>
    <row r="3403" spans="2:2" x14ac:dyDescent="0.25">
      <c r="B3403" s="1"/>
    </row>
    <row r="3404" spans="2:2" x14ac:dyDescent="0.25">
      <c r="B3404" s="1"/>
    </row>
    <row r="3405" spans="2:2" x14ac:dyDescent="0.25">
      <c r="B3405" s="1"/>
    </row>
    <row r="3406" spans="2:2" x14ac:dyDescent="0.25">
      <c r="B3406" s="1"/>
    </row>
    <row r="3407" spans="2:2" x14ac:dyDescent="0.25">
      <c r="B3407" s="1"/>
    </row>
    <row r="3408" spans="2:2" x14ac:dyDescent="0.25">
      <c r="B3408" s="1"/>
    </row>
    <row r="3409" spans="2:2" x14ac:dyDescent="0.25">
      <c r="B3409" s="1"/>
    </row>
    <row r="3410" spans="2:2" x14ac:dyDescent="0.25">
      <c r="B3410" s="1"/>
    </row>
    <row r="3411" spans="2:2" x14ac:dyDescent="0.25">
      <c r="B3411" s="1"/>
    </row>
    <row r="3412" spans="2:2" x14ac:dyDescent="0.25">
      <c r="B3412" s="1"/>
    </row>
    <row r="3413" spans="2:2" x14ac:dyDescent="0.25">
      <c r="B3413" s="1"/>
    </row>
    <row r="3414" spans="2:2" x14ac:dyDescent="0.25">
      <c r="B3414" s="1"/>
    </row>
    <row r="3415" spans="2:2" x14ac:dyDescent="0.25">
      <c r="B3415" s="1"/>
    </row>
    <row r="3416" spans="2:2" x14ac:dyDescent="0.25">
      <c r="B3416" s="1"/>
    </row>
    <row r="3417" spans="2:2" x14ac:dyDescent="0.25">
      <c r="B3417" s="1"/>
    </row>
    <row r="3418" spans="2:2" x14ac:dyDescent="0.25">
      <c r="B3418" s="1"/>
    </row>
    <row r="3419" spans="2:2" x14ac:dyDescent="0.25">
      <c r="B3419" s="1"/>
    </row>
    <row r="3420" spans="2:2" x14ac:dyDescent="0.25">
      <c r="B3420" s="1"/>
    </row>
    <row r="3421" spans="2:2" x14ac:dyDescent="0.25">
      <c r="B3421" s="1"/>
    </row>
    <row r="3422" spans="2:2" x14ac:dyDescent="0.25">
      <c r="B3422" s="1"/>
    </row>
    <row r="3423" spans="2:2" x14ac:dyDescent="0.25">
      <c r="B3423" s="1"/>
    </row>
    <row r="3424" spans="2:2" x14ac:dyDescent="0.25">
      <c r="B3424" s="1"/>
    </row>
    <row r="3425" spans="2:2" x14ac:dyDescent="0.25">
      <c r="B3425" s="1"/>
    </row>
    <row r="3426" spans="2:2" x14ac:dyDescent="0.25">
      <c r="B3426" s="1"/>
    </row>
    <row r="3427" spans="2:2" x14ac:dyDescent="0.25">
      <c r="B3427" s="1"/>
    </row>
    <row r="3428" spans="2:2" x14ac:dyDescent="0.25">
      <c r="B3428" s="1"/>
    </row>
    <row r="3429" spans="2:2" x14ac:dyDescent="0.25">
      <c r="B3429" s="1"/>
    </row>
    <row r="3430" spans="2:2" x14ac:dyDescent="0.25">
      <c r="B3430" s="1"/>
    </row>
    <row r="3431" spans="2:2" x14ac:dyDescent="0.25">
      <c r="B3431" s="1"/>
    </row>
    <row r="3432" spans="2:2" x14ac:dyDescent="0.25">
      <c r="B3432" s="1"/>
    </row>
    <row r="3433" spans="2:2" x14ac:dyDescent="0.25">
      <c r="B3433" s="1"/>
    </row>
    <row r="3434" spans="2:2" x14ac:dyDescent="0.25">
      <c r="B3434" s="1"/>
    </row>
    <row r="3435" spans="2:2" x14ac:dyDescent="0.25">
      <c r="B3435" s="1"/>
    </row>
    <row r="3436" spans="2:2" x14ac:dyDescent="0.25">
      <c r="B3436" s="1"/>
    </row>
    <row r="3437" spans="2:2" x14ac:dyDescent="0.25">
      <c r="B3437" s="1"/>
    </row>
    <row r="3438" spans="2:2" x14ac:dyDescent="0.25">
      <c r="B3438" s="1"/>
    </row>
    <row r="3439" spans="2:2" x14ac:dyDescent="0.25">
      <c r="B3439" s="1"/>
    </row>
    <row r="3440" spans="2:2" x14ac:dyDescent="0.25">
      <c r="B3440" s="1"/>
    </row>
    <row r="3441" spans="2:2" x14ac:dyDescent="0.25">
      <c r="B3441" s="1"/>
    </row>
    <row r="3442" spans="2:2" x14ac:dyDescent="0.25">
      <c r="B3442" s="1"/>
    </row>
    <row r="3443" spans="2:2" x14ac:dyDescent="0.25">
      <c r="B3443" s="1"/>
    </row>
    <row r="3444" spans="2:2" x14ac:dyDescent="0.25">
      <c r="B3444" s="1"/>
    </row>
    <row r="3445" spans="2:2" x14ac:dyDescent="0.25">
      <c r="B3445" s="1"/>
    </row>
    <row r="3446" spans="2:2" x14ac:dyDescent="0.25">
      <c r="B3446" s="1"/>
    </row>
    <row r="3447" spans="2:2" x14ac:dyDescent="0.25">
      <c r="B3447" s="1"/>
    </row>
    <row r="3448" spans="2:2" x14ac:dyDescent="0.25">
      <c r="B3448" s="1"/>
    </row>
    <row r="3449" spans="2:2" x14ac:dyDescent="0.25">
      <c r="B3449" s="1"/>
    </row>
    <row r="3450" spans="2:2" x14ac:dyDescent="0.25">
      <c r="B3450" s="1"/>
    </row>
    <row r="3451" spans="2:2" x14ac:dyDescent="0.25">
      <c r="B3451" s="1"/>
    </row>
    <row r="3452" spans="2:2" x14ac:dyDescent="0.25">
      <c r="B3452" s="1"/>
    </row>
    <row r="3453" spans="2:2" x14ac:dyDescent="0.25">
      <c r="B3453" s="1"/>
    </row>
    <row r="3454" spans="2:2" x14ac:dyDescent="0.25">
      <c r="B3454" s="1"/>
    </row>
    <row r="3455" spans="2:2" x14ac:dyDescent="0.25">
      <c r="B3455" s="1"/>
    </row>
    <row r="3456" spans="2:2" x14ac:dyDescent="0.25">
      <c r="B3456" s="1"/>
    </row>
    <row r="3457" spans="2:2" x14ac:dyDescent="0.25">
      <c r="B3457" s="1"/>
    </row>
    <row r="3458" spans="2:2" x14ac:dyDescent="0.25">
      <c r="B3458" s="1"/>
    </row>
    <row r="3459" spans="2:2" x14ac:dyDescent="0.25">
      <c r="B3459" s="1"/>
    </row>
    <row r="3460" spans="2:2" x14ac:dyDescent="0.25">
      <c r="B3460" s="1"/>
    </row>
    <row r="3461" spans="2:2" x14ac:dyDescent="0.25">
      <c r="B3461" s="1"/>
    </row>
    <row r="3462" spans="2:2" x14ac:dyDescent="0.25">
      <c r="B3462" s="1"/>
    </row>
    <row r="3463" spans="2:2" x14ac:dyDescent="0.25">
      <c r="B3463" s="1"/>
    </row>
    <row r="3464" spans="2:2" x14ac:dyDescent="0.25">
      <c r="B3464" s="1"/>
    </row>
    <row r="3465" spans="2:2" x14ac:dyDescent="0.25">
      <c r="B3465" s="1"/>
    </row>
    <row r="3466" spans="2:2" x14ac:dyDescent="0.25">
      <c r="B3466" s="1"/>
    </row>
    <row r="3467" spans="2:2" x14ac:dyDescent="0.25">
      <c r="B3467" s="1"/>
    </row>
    <row r="3468" spans="2:2" x14ac:dyDescent="0.25">
      <c r="B3468" s="1"/>
    </row>
    <row r="3469" spans="2:2" x14ac:dyDescent="0.25">
      <c r="B3469" s="1"/>
    </row>
    <row r="3470" spans="2:2" x14ac:dyDescent="0.25">
      <c r="B3470" s="1"/>
    </row>
    <row r="3471" spans="2:2" x14ac:dyDescent="0.25">
      <c r="B3471" s="1"/>
    </row>
    <row r="3472" spans="2:2" x14ac:dyDescent="0.25">
      <c r="B3472" s="1"/>
    </row>
    <row r="3473" spans="2:2" x14ac:dyDescent="0.25">
      <c r="B3473" s="1"/>
    </row>
    <row r="3474" spans="2:2" x14ac:dyDescent="0.25">
      <c r="B3474" s="1"/>
    </row>
    <row r="3475" spans="2:2" x14ac:dyDescent="0.25">
      <c r="B3475" s="1"/>
    </row>
    <row r="3476" spans="2:2" x14ac:dyDescent="0.25">
      <c r="B3476" s="1"/>
    </row>
    <row r="3477" spans="2:2" x14ac:dyDescent="0.25">
      <c r="B3477" s="1"/>
    </row>
    <row r="3478" spans="2:2" x14ac:dyDescent="0.25">
      <c r="B3478" s="1"/>
    </row>
    <row r="3479" spans="2:2" x14ac:dyDescent="0.25">
      <c r="B3479" s="1"/>
    </row>
    <row r="3480" spans="2:2" x14ac:dyDescent="0.25">
      <c r="B3480" s="1"/>
    </row>
    <row r="3481" spans="2:2" x14ac:dyDescent="0.25">
      <c r="B3481" s="1"/>
    </row>
    <row r="3482" spans="2:2" x14ac:dyDescent="0.25">
      <c r="B3482" s="1"/>
    </row>
    <row r="3483" spans="2:2" x14ac:dyDescent="0.25">
      <c r="B3483" s="1"/>
    </row>
    <row r="3484" spans="2:2" x14ac:dyDescent="0.25">
      <c r="B3484" s="1"/>
    </row>
    <row r="3485" spans="2:2" x14ac:dyDescent="0.25">
      <c r="B3485" s="1"/>
    </row>
    <row r="3486" spans="2:2" x14ac:dyDescent="0.25">
      <c r="B3486" s="1"/>
    </row>
    <row r="3487" spans="2:2" x14ac:dyDescent="0.25">
      <c r="B3487" s="1"/>
    </row>
    <row r="3488" spans="2:2" x14ac:dyDescent="0.25">
      <c r="B3488" s="1"/>
    </row>
    <row r="3489" spans="2:2" x14ac:dyDescent="0.25">
      <c r="B3489" s="1"/>
    </row>
    <row r="3490" spans="2:2" x14ac:dyDescent="0.25">
      <c r="B3490" s="1"/>
    </row>
    <row r="3491" spans="2:2" x14ac:dyDescent="0.25">
      <c r="B3491" s="1"/>
    </row>
    <row r="3492" spans="2:2" x14ac:dyDescent="0.25">
      <c r="B3492" s="1"/>
    </row>
    <row r="3493" spans="2:2" x14ac:dyDescent="0.25">
      <c r="B3493" s="1"/>
    </row>
    <row r="3494" spans="2:2" x14ac:dyDescent="0.25">
      <c r="B3494" s="1"/>
    </row>
    <row r="3495" spans="2:2" x14ac:dyDescent="0.25">
      <c r="B3495" s="1"/>
    </row>
    <row r="3496" spans="2:2" x14ac:dyDescent="0.25">
      <c r="B3496" s="1"/>
    </row>
    <row r="3497" spans="2:2" x14ac:dyDescent="0.25">
      <c r="B3497" s="1"/>
    </row>
    <row r="3498" spans="2:2" x14ac:dyDescent="0.25">
      <c r="B3498" s="1"/>
    </row>
    <row r="3499" spans="2:2" x14ac:dyDescent="0.25">
      <c r="B3499" s="1"/>
    </row>
    <row r="3500" spans="2:2" x14ac:dyDescent="0.25">
      <c r="B3500" s="1"/>
    </row>
    <row r="3501" spans="2:2" x14ac:dyDescent="0.25">
      <c r="B3501" s="1"/>
    </row>
    <row r="3502" spans="2:2" x14ac:dyDescent="0.25">
      <c r="B3502" s="1"/>
    </row>
    <row r="3503" spans="2:2" x14ac:dyDescent="0.25">
      <c r="B3503" s="1"/>
    </row>
    <row r="3504" spans="2:2" x14ac:dyDescent="0.25">
      <c r="B3504" s="1"/>
    </row>
    <row r="3505" spans="2:2" x14ac:dyDescent="0.25">
      <c r="B3505" s="1"/>
    </row>
    <row r="3506" spans="2:2" x14ac:dyDescent="0.25">
      <c r="B3506" s="1"/>
    </row>
    <row r="3507" spans="2:2" x14ac:dyDescent="0.25">
      <c r="B3507" s="1"/>
    </row>
    <row r="3508" spans="2:2" x14ac:dyDescent="0.25">
      <c r="B3508" s="1"/>
    </row>
    <row r="3509" spans="2:2" x14ac:dyDescent="0.25">
      <c r="B3509" s="1"/>
    </row>
    <row r="3510" spans="2:2" x14ac:dyDescent="0.25">
      <c r="B3510" s="1"/>
    </row>
    <row r="3511" spans="2:2" x14ac:dyDescent="0.25">
      <c r="B3511" s="1"/>
    </row>
    <row r="3512" spans="2:2" x14ac:dyDescent="0.25">
      <c r="B3512" s="1"/>
    </row>
    <row r="3513" spans="2:2" x14ac:dyDescent="0.25">
      <c r="B3513" s="1"/>
    </row>
    <row r="3514" spans="2:2" x14ac:dyDescent="0.25">
      <c r="B3514" s="1"/>
    </row>
    <row r="3515" spans="2:2" x14ac:dyDescent="0.25">
      <c r="B3515" s="1"/>
    </row>
    <row r="3516" spans="2:2" x14ac:dyDescent="0.25">
      <c r="B3516" s="1"/>
    </row>
    <row r="3517" spans="2:2" x14ac:dyDescent="0.25">
      <c r="B3517" s="1"/>
    </row>
    <row r="3518" spans="2:2" x14ac:dyDescent="0.25">
      <c r="B3518" s="1"/>
    </row>
    <row r="3519" spans="2:2" x14ac:dyDescent="0.25">
      <c r="B3519" s="1"/>
    </row>
    <row r="3520" spans="2:2" x14ac:dyDescent="0.25">
      <c r="B3520" s="1"/>
    </row>
    <row r="3521" spans="2:2" x14ac:dyDescent="0.25">
      <c r="B3521" s="1"/>
    </row>
    <row r="3522" spans="2:2" x14ac:dyDescent="0.25">
      <c r="B3522" s="1"/>
    </row>
    <row r="3523" spans="2:2" x14ac:dyDescent="0.25">
      <c r="B3523" s="1"/>
    </row>
    <row r="3524" spans="2:2" x14ac:dyDescent="0.25">
      <c r="B3524" s="1"/>
    </row>
    <row r="3525" spans="2:2" x14ac:dyDescent="0.25">
      <c r="B3525" s="1"/>
    </row>
    <row r="3526" spans="2:2" x14ac:dyDescent="0.25">
      <c r="B3526" s="1"/>
    </row>
    <row r="3527" spans="2:2" x14ac:dyDescent="0.25">
      <c r="B3527" s="1"/>
    </row>
    <row r="3528" spans="2:2" x14ac:dyDescent="0.25">
      <c r="B3528" s="1"/>
    </row>
    <row r="3529" spans="2:2" x14ac:dyDescent="0.25">
      <c r="B3529" s="1"/>
    </row>
    <row r="3530" spans="2:2" x14ac:dyDescent="0.25">
      <c r="B3530" s="1"/>
    </row>
    <row r="3531" spans="2:2" x14ac:dyDescent="0.25">
      <c r="B3531" s="1"/>
    </row>
    <row r="3532" spans="2:2" x14ac:dyDescent="0.25">
      <c r="B3532" s="1"/>
    </row>
    <row r="3533" spans="2:2" x14ac:dyDescent="0.25">
      <c r="B3533" s="1"/>
    </row>
    <row r="3534" spans="2:2" x14ac:dyDescent="0.25">
      <c r="B3534" s="1"/>
    </row>
    <row r="3535" spans="2:2" x14ac:dyDescent="0.25">
      <c r="B3535" s="1"/>
    </row>
    <row r="3536" spans="2:2" x14ac:dyDescent="0.25">
      <c r="B3536" s="1"/>
    </row>
    <row r="3537" spans="2:2" x14ac:dyDescent="0.25">
      <c r="B3537" s="1"/>
    </row>
    <row r="3538" spans="2:2" x14ac:dyDescent="0.25">
      <c r="B3538" s="1"/>
    </row>
    <row r="3539" spans="2:2" x14ac:dyDescent="0.25">
      <c r="B3539" s="1"/>
    </row>
    <row r="3540" spans="2:2" x14ac:dyDescent="0.25">
      <c r="B3540" s="1"/>
    </row>
    <row r="3541" spans="2:2" x14ac:dyDescent="0.25">
      <c r="B3541" s="1"/>
    </row>
    <row r="3542" spans="2:2" x14ac:dyDescent="0.25">
      <c r="B3542" s="1"/>
    </row>
    <row r="3543" spans="2:2" x14ac:dyDescent="0.25">
      <c r="B3543" s="1"/>
    </row>
    <row r="3544" spans="2:2" x14ac:dyDescent="0.25">
      <c r="B3544" s="1"/>
    </row>
    <row r="3545" spans="2:2" x14ac:dyDescent="0.25">
      <c r="B3545" s="1"/>
    </row>
    <row r="3546" spans="2:2" x14ac:dyDescent="0.25">
      <c r="B3546" s="1"/>
    </row>
    <row r="3547" spans="2:2" x14ac:dyDescent="0.25">
      <c r="B3547" s="1"/>
    </row>
    <row r="3548" spans="2:2" x14ac:dyDescent="0.25">
      <c r="B3548" s="1"/>
    </row>
    <row r="3549" spans="2:2" x14ac:dyDescent="0.25">
      <c r="B3549" s="1"/>
    </row>
    <row r="3550" spans="2:2" x14ac:dyDescent="0.25">
      <c r="B3550" s="1"/>
    </row>
    <row r="3551" spans="2:2" x14ac:dyDescent="0.25">
      <c r="B3551" s="1"/>
    </row>
    <row r="3552" spans="2:2" x14ac:dyDescent="0.25">
      <c r="B3552" s="1"/>
    </row>
    <row r="3553" spans="2:2" x14ac:dyDescent="0.25">
      <c r="B3553" s="1"/>
    </row>
    <row r="3554" spans="2:2" x14ac:dyDescent="0.25">
      <c r="B3554" s="1"/>
    </row>
    <row r="3555" spans="2:2" x14ac:dyDescent="0.25">
      <c r="B3555" s="1"/>
    </row>
    <row r="3556" spans="2:2" x14ac:dyDescent="0.25">
      <c r="B3556" s="1"/>
    </row>
    <row r="3557" spans="2:2" x14ac:dyDescent="0.25">
      <c r="B3557" s="1"/>
    </row>
    <row r="3558" spans="2:2" x14ac:dyDescent="0.25">
      <c r="B3558" s="1"/>
    </row>
    <row r="3559" spans="2:2" x14ac:dyDescent="0.25">
      <c r="B3559" s="1"/>
    </row>
    <row r="3560" spans="2:2" x14ac:dyDescent="0.25">
      <c r="B3560" s="1"/>
    </row>
    <row r="3561" spans="2:2" x14ac:dyDescent="0.25">
      <c r="B3561" s="1"/>
    </row>
    <row r="3562" spans="2:2" x14ac:dyDescent="0.25">
      <c r="B3562" s="1"/>
    </row>
    <row r="3563" spans="2:2" x14ac:dyDescent="0.25">
      <c r="B3563" s="1"/>
    </row>
    <row r="3564" spans="2:2" x14ac:dyDescent="0.25">
      <c r="B3564" s="1"/>
    </row>
    <row r="3565" spans="2:2" x14ac:dyDescent="0.25">
      <c r="B3565" s="1"/>
    </row>
    <row r="3566" spans="2:2" x14ac:dyDescent="0.25">
      <c r="B3566" s="1"/>
    </row>
    <row r="3567" spans="2:2" x14ac:dyDescent="0.25">
      <c r="B3567" s="1"/>
    </row>
    <row r="3568" spans="2:2" x14ac:dyDescent="0.25">
      <c r="B3568" s="1"/>
    </row>
    <row r="3569" spans="2:2" x14ac:dyDescent="0.25">
      <c r="B3569" s="1"/>
    </row>
    <row r="3570" spans="2:2" x14ac:dyDescent="0.25">
      <c r="B3570" s="1"/>
    </row>
    <row r="3571" spans="2:2" x14ac:dyDescent="0.25">
      <c r="B3571" s="1"/>
    </row>
    <row r="3572" spans="2:2" x14ac:dyDescent="0.25">
      <c r="B3572" s="1"/>
    </row>
    <row r="3573" spans="2:2" x14ac:dyDescent="0.25">
      <c r="B3573" s="1"/>
    </row>
    <row r="3574" spans="2:2" x14ac:dyDescent="0.25">
      <c r="B3574" s="1"/>
    </row>
    <row r="3575" spans="2:2" x14ac:dyDescent="0.25">
      <c r="B3575" s="1"/>
    </row>
    <row r="3576" spans="2:2" x14ac:dyDescent="0.25">
      <c r="B3576" s="1"/>
    </row>
    <row r="3577" spans="2:2" x14ac:dyDescent="0.25">
      <c r="B3577" s="1"/>
    </row>
    <row r="3578" spans="2:2" x14ac:dyDescent="0.25">
      <c r="B3578" s="1"/>
    </row>
    <row r="3579" spans="2:2" x14ac:dyDescent="0.25">
      <c r="B3579" s="1"/>
    </row>
    <row r="3580" spans="2:2" x14ac:dyDescent="0.25">
      <c r="B3580" s="1"/>
    </row>
    <row r="3581" spans="2:2" x14ac:dyDescent="0.25">
      <c r="B3581" s="1"/>
    </row>
    <row r="3582" spans="2:2" x14ac:dyDescent="0.25">
      <c r="B3582" s="1"/>
    </row>
    <row r="3583" spans="2:2" x14ac:dyDescent="0.25">
      <c r="B3583" s="1"/>
    </row>
    <row r="3584" spans="2:2" x14ac:dyDescent="0.25">
      <c r="B3584" s="1"/>
    </row>
    <row r="3585" spans="2:2" x14ac:dyDescent="0.25">
      <c r="B3585" s="1"/>
    </row>
    <row r="3586" spans="2:2" x14ac:dyDescent="0.25">
      <c r="B3586" s="1"/>
    </row>
    <row r="3587" spans="2:2" x14ac:dyDescent="0.25">
      <c r="B3587" s="1"/>
    </row>
    <row r="3588" spans="2:2" x14ac:dyDescent="0.25">
      <c r="B3588" s="1"/>
    </row>
    <row r="3589" spans="2:2" x14ac:dyDescent="0.25">
      <c r="B3589" s="1"/>
    </row>
    <row r="3590" spans="2:2" x14ac:dyDescent="0.25">
      <c r="B3590" s="1"/>
    </row>
    <row r="3591" spans="2:2" x14ac:dyDescent="0.25">
      <c r="B3591" s="1"/>
    </row>
    <row r="3592" spans="2:2" x14ac:dyDescent="0.25">
      <c r="B3592" s="1"/>
    </row>
    <row r="3593" spans="2:2" x14ac:dyDescent="0.25">
      <c r="B3593" s="1"/>
    </row>
    <row r="3594" spans="2:2" x14ac:dyDescent="0.25">
      <c r="B3594" s="1"/>
    </row>
    <row r="3595" spans="2:2" x14ac:dyDescent="0.25">
      <c r="B3595" s="1"/>
    </row>
    <row r="3596" spans="2:2" x14ac:dyDescent="0.25">
      <c r="B3596" s="1"/>
    </row>
    <row r="3597" spans="2:2" x14ac:dyDescent="0.25">
      <c r="B3597" s="1"/>
    </row>
    <row r="3598" spans="2:2" x14ac:dyDescent="0.25">
      <c r="B3598" s="1"/>
    </row>
    <row r="3599" spans="2:2" x14ac:dyDescent="0.25">
      <c r="B3599" s="1"/>
    </row>
    <row r="3600" spans="2:2" x14ac:dyDescent="0.25">
      <c r="B3600" s="1"/>
    </row>
    <row r="3601" spans="2:2" x14ac:dyDescent="0.25">
      <c r="B3601" s="1"/>
    </row>
    <row r="3602" spans="2:2" x14ac:dyDescent="0.25">
      <c r="B3602" s="1"/>
    </row>
    <row r="3603" spans="2:2" x14ac:dyDescent="0.25">
      <c r="B3603" s="1"/>
    </row>
    <row r="3604" spans="2:2" x14ac:dyDescent="0.25">
      <c r="B3604" s="1"/>
    </row>
    <row r="3605" spans="2:2" x14ac:dyDescent="0.25">
      <c r="B3605" s="1"/>
    </row>
    <row r="3606" spans="2:2" x14ac:dyDescent="0.25">
      <c r="B3606" s="1"/>
    </row>
    <row r="3607" spans="2:2" x14ac:dyDescent="0.25">
      <c r="B3607" s="1"/>
    </row>
    <row r="3608" spans="2:2" x14ac:dyDescent="0.25">
      <c r="B3608" s="1"/>
    </row>
    <row r="3609" spans="2:2" x14ac:dyDescent="0.25">
      <c r="B3609" s="1"/>
    </row>
    <row r="3610" spans="2:2" x14ac:dyDescent="0.25">
      <c r="B3610" s="1"/>
    </row>
    <row r="3611" spans="2:2" x14ac:dyDescent="0.25">
      <c r="B3611" s="1"/>
    </row>
    <row r="3612" spans="2:2" x14ac:dyDescent="0.25">
      <c r="B3612" s="1"/>
    </row>
    <row r="3613" spans="2:2" x14ac:dyDescent="0.25">
      <c r="B3613" s="1"/>
    </row>
    <row r="3614" spans="2:2" x14ac:dyDescent="0.25">
      <c r="B3614" s="1"/>
    </row>
    <row r="3615" spans="2:2" x14ac:dyDescent="0.25">
      <c r="B3615" s="1"/>
    </row>
    <row r="3616" spans="2:2" x14ac:dyDescent="0.25">
      <c r="B3616" s="1"/>
    </row>
    <row r="3617" spans="2:2" x14ac:dyDescent="0.25">
      <c r="B3617" s="1"/>
    </row>
    <row r="3618" spans="2:2" x14ac:dyDescent="0.25">
      <c r="B3618" s="1"/>
    </row>
    <row r="3619" spans="2:2" x14ac:dyDescent="0.25">
      <c r="B3619" s="1"/>
    </row>
    <row r="3620" spans="2:2" x14ac:dyDescent="0.25">
      <c r="B3620" s="1"/>
    </row>
    <row r="3621" spans="2:2" x14ac:dyDescent="0.25">
      <c r="B3621" s="1"/>
    </row>
    <row r="3622" spans="2:2" x14ac:dyDescent="0.25">
      <c r="B3622" s="1"/>
    </row>
    <row r="3623" spans="2:2" x14ac:dyDescent="0.25">
      <c r="B3623" s="1"/>
    </row>
    <row r="3624" spans="2:2" x14ac:dyDescent="0.25">
      <c r="B3624" s="1"/>
    </row>
    <row r="3625" spans="2:2" x14ac:dyDescent="0.25">
      <c r="B3625" s="1"/>
    </row>
    <row r="3626" spans="2:2" x14ac:dyDescent="0.25">
      <c r="B3626" s="1"/>
    </row>
    <row r="3627" spans="2:2" x14ac:dyDescent="0.25">
      <c r="B3627" s="1"/>
    </row>
    <row r="3628" spans="2:2" x14ac:dyDescent="0.25">
      <c r="B3628" s="1"/>
    </row>
    <row r="3629" spans="2:2" x14ac:dyDescent="0.25">
      <c r="B3629" s="1"/>
    </row>
    <row r="3630" spans="2:2" x14ac:dyDescent="0.25">
      <c r="B3630" s="1"/>
    </row>
    <row r="3631" spans="2:2" x14ac:dyDescent="0.25">
      <c r="B3631" s="1"/>
    </row>
    <row r="3632" spans="2:2" x14ac:dyDescent="0.25">
      <c r="B3632" s="1"/>
    </row>
    <row r="3633" spans="2:2" x14ac:dyDescent="0.25">
      <c r="B3633" s="1"/>
    </row>
    <row r="3634" spans="2:2" x14ac:dyDescent="0.25">
      <c r="B3634" s="1"/>
    </row>
    <row r="3635" spans="2:2" x14ac:dyDescent="0.25">
      <c r="B3635" s="1"/>
    </row>
    <row r="3636" spans="2:2" x14ac:dyDescent="0.25">
      <c r="B3636" s="1"/>
    </row>
    <row r="3637" spans="2:2" x14ac:dyDescent="0.25">
      <c r="B3637" s="1"/>
    </row>
    <row r="3638" spans="2:2" x14ac:dyDescent="0.25">
      <c r="B3638" s="1"/>
    </row>
    <row r="3639" spans="2:2" x14ac:dyDescent="0.25">
      <c r="B3639" s="1"/>
    </row>
    <row r="3640" spans="2:2" x14ac:dyDescent="0.25">
      <c r="B3640" s="1"/>
    </row>
    <row r="3641" spans="2:2" x14ac:dyDescent="0.25">
      <c r="B3641" s="1"/>
    </row>
    <row r="3642" spans="2:2" x14ac:dyDescent="0.25">
      <c r="B3642" s="1"/>
    </row>
    <row r="3643" spans="2:2" x14ac:dyDescent="0.25">
      <c r="B3643" s="1"/>
    </row>
    <row r="3644" spans="2:2" x14ac:dyDescent="0.25">
      <c r="B3644" s="1"/>
    </row>
    <row r="3645" spans="2:2" x14ac:dyDescent="0.25">
      <c r="B3645" s="1"/>
    </row>
    <row r="3646" spans="2:2" x14ac:dyDescent="0.25">
      <c r="B3646" s="1"/>
    </row>
    <row r="3647" spans="2:2" x14ac:dyDescent="0.25">
      <c r="B3647" s="1"/>
    </row>
    <row r="3648" spans="2:2" x14ac:dyDescent="0.25">
      <c r="B3648" s="1"/>
    </row>
    <row r="3649" spans="2:2" x14ac:dyDescent="0.25">
      <c r="B3649" s="1"/>
    </row>
    <row r="3650" spans="2:2" x14ac:dyDescent="0.25">
      <c r="B3650" s="1"/>
    </row>
    <row r="3651" spans="2:2" x14ac:dyDescent="0.25">
      <c r="B3651" s="1"/>
    </row>
    <row r="3652" spans="2:2" x14ac:dyDescent="0.25">
      <c r="B3652" s="1"/>
    </row>
    <row r="3653" spans="2:2" x14ac:dyDescent="0.25">
      <c r="B3653" s="1"/>
    </row>
    <row r="3654" spans="2:2" x14ac:dyDescent="0.25">
      <c r="B3654" s="1"/>
    </row>
    <row r="3655" spans="2:2" x14ac:dyDescent="0.25">
      <c r="B3655" s="1"/>
    </row>
    <row r="3656" spans="2:2" x14ac:dyDescent="0.25">
      <c r="B3656" s="1"/>
    </row>
    <row r="3657" spans="2:2" x14ac:dyDescent="0.25">
      <c r="B3657" s="1"/>
    </row>
    <row r="3658" spans="2:2" x14ac:dyDescent="0.25">
      <c r="B3658" s="1"/>
    </row>
    <row r="3659" spans="2:2" x14ac:dyDescent="0.25">
      <c r="B3659" s="1"/>
    </row>
    <row r="3660" spans="2:2" x14ac:dyDescent="0.25">
      <c r="B3660" s="1"/>
    </row>
    <row r="3661" spans="2:2" x14ac:dyDescent="0.25">
      <c r="B3661" s="1"/>
    </row>
    <row r="3662" spans="2:2" x14ac:dyDescent="0.25">
      <c r="B3662" s="1"/>
    </row>
    <row r="3663" spans="2:2" x14ac:dyDescent="0.25">
      <c r="B3663" s="1"/>
    </row>
    <row r="3664" spans="2:2" x14ac:dyDescent="0.25">
      <c r="B3664" s="1"/>
    </row>
    <row r="3665" spans="2:2" x14ac:dyDescent="0.25">
      <c r="B3665" s="1"/>
    </row>
    <row r="3666" spans="2:2" x14ac:dyDescent="0.25">
      <c r="B3666" s="1"/>
    </row>
    <row r="3667" spans="2:2" x14ac:dyDescent="0.25">
      <c r="B3667" s="1"/>
    </row>
    <row r="3668" spans="2:2" x14ac:dyDescent="0.25">
      <c r="B3668" s="1"/>
    </row>
    <row r="3669" spans="2:2" x14ac:dyDescent="0.25">
      <c r="B3669" s="1"/>
    </row>
    <row r="3670" spans="2:2" x14ac:dyDescent="0.25">
      <c r="B3670" s="1"/>
    </row>
    <row r="3671" spans="2:2" x14ac:dyDescent="0.25">
      <c r="B3671" s="1"/>
    </row>
    <row r="3672" spans="2:2" x14ac:dyDescent="0.25">
      <c r="B3672" s="1"/>
    </row>
    <row r="3673" spans="2:2" x14ac:dyDescent="0.25">
      <c r="B3673" s="1"/>
    </row>
    <row r="3674" spans="2:2" x14ac:dyDescent="0.25">
      <c r="B3674" s="1"/>
    </row>
    <row r="3675" spans="2:2" x14ac:dyDescent="0.25">
      <c r="B3675" s="1"/>
    </row>
    <row r="3676" spans="2:2" x14ac:dyDescent="0.25">
      <c r="B3676" s="1"/>
    </row>
    <row r="3677" spans="2:2" x14ac:dyDescent="0.25">
      <c r="B3677" s="1"/>
    </row>
    <row r="3678" spans="2:2" x14ac:dyDescent="0.25">
      <c r="B3678" s="1"/>
    </row>
    <row r="3679" spans="2:2" x14ac:dyDescent="0.25">
      <c r="B3679" s="1"/>
    </row>
    <row r="3680" spans="2:2" x14ac:dyDescent="0.25">
      <c r="B3680" s="1"/>
    </row>
    <row r="3681" spans="2:2" x14ac:dyDescent="0.25">
      <c r="B3681" s="1"/>
    </row>
    <row r="3682" spans="2:2" x14ac:dyDescent="0.25">
      <c r="B3682" s="1"/>
    </row>
    <row r="3683" spans="2:2" x14ac:dyDescent="0.25">
      <c r="B3683" s="1"/>
    </row>
    <row r="3684" spans="2:2" x14ac:dyDescent="0.25">
      <c r="B3684" s="1"/>
    </row>
    <row r="3685" spans="2:2" x14ac:dyDescent="0.25">
      <c r="B3685" s="1"/>
    </row>
    <row r="3686" spans="2:2" x14ac:dyDescent="0.25">
      <c r="B3686" s="1"/>
    </row>
    <row r="3687" spans="2:2" x14ac:dyDescent="0.25">
      <c r="B3687" s="1"/>
    </row>
    <row r="3688" spans="2:2" x14ac:dyDescent="0.25">
      <c r="B3688" s="1"/>
    </row>
    <row r="3689" spans="2:2" x14ac:dyDescent="0.25">
      <c r="B3689" s="1"/>
    </row>
    <row r="3690" spans="2:2" x14ac:dyDescent="0.25">
      <c r="B3690" s="1"/>
    </row>
    <row r="3691" spans="2:2" x14ac:dyDescent="0.25">
      <c r="B3691" s="1"/>
    </row>
    <row r="3692" spans="2:2" x14ac:dyDescent="0.25">
      <c r="B3692" s="1"/>
    </row>
    <row r="3693" spans="2:2" x14ac:dyDescent="0.25">
      <c r="B3693" s="1"/>
    </row>
    <row r="3694" spans="2:2" x14ac:dyDescent="0.25">
      <c r="B3694" s="1"/>
    </row>
    <row r="3695" spans="2:2" x14ac:dyDescent="0.25">
      <c r="B3695" s="1"/>
    </row>
    <row r="3696" spans="2:2" x14ac:dyDescent="0.25">
      <c r="B3696" s="1"/>
    </row>
    <row r="3697" spans="2:2" x14ac:dyDescent="0.25">
      <c r="B3697" s="1"/>
    </row>
    <row r="3698" spans="2:2" x14ac:dyDescent="0.25">
      <c r="B3698" s="1"/>
    </row>
    <row r="3699" spans="2:2" x14ac:dyDescent="0.25">
      <c r="B3699" s="1"/>
    </row>
    <row r="3700" spans="2:2" x14ac:dyDescent="0.25">
      <c r="B3700" s="1"/>
    </row>
    <row r="3701" spans="2:2" x14ac:dyDescent="0.25">
      <c r="B3701" s="1"/>
    </row>
    <row r="3702" spans="2:2" x14ac:dyDescent="0.25">
      <c r="B3702" s="1"/>
    </row>
    <row r="3703" spans="2:2" x14ac:dyDescent="0.25">
      <c r="B3703" s="1"/>
    </row>
    <row r="3704" spans="2:2" x14ac:dyDescent="0.25">
      <c r="B3704" s="1"/>
    </row>
    <row r="3705" spans="2:2" x14ac:dyDescent="0.25">
      <c r="B3705" s="1"/>
    </row>
    <row r="3706" spans="2:2" x14ac:dyDescent="0.25">
      <c r="B3706" s="1"/>
    </row>
    <row r="3707" spans="2:2" x14ac:dyDescent="0.25">
      <c r="B3707" s="1"/>
    </row>
    <row r="3708" spans="2:2" x14ac:dyDescent="0.25">
      <c r="B3708" s="1"/>
    </row>
    <row r="3709" spans="2:2" x14ac:dyDescent="0.25">
      <c r="B3709" s="1"/>
    </row>
    <row r="3710" spans="2:2" x14ac:dyDescent="0.25">
      <c r="B3710" s="1"/>
    </row>
    <row r="3711" spans="2:2" x14ac:dyDescent="0.25">
      <c r="B3711" s="1"/>
    </row>
    <row r="3712" spans="2:2" x14ac:dyDescent="0.25">
      <c r="B3712" s="1"/>
    </row>
    <row r="3713" spans="2:2" x14ac:dyDescent="0.25">
      <c r="B3713" s="1"/>
    </row>
    <row r="3714" spans="2:2" x14ac:dyDescent="0.25">
      <c r="B3714" s="1"/>
    </row>
    <row r="3715" spans="2:2" x14ac:dyDescent="0.25">
      <c r="B3715" s="1"/>
    </row>
    <row r="3716" spans="2:2" x14ac:dyDescent="0.25">
      <c r="B3716" s="1"/>
    </row>
    <row r="3717" spans="2:2" x14ac:dyDescent="0.25">
      <c r="B3717" s="1"/>
    </row>
    <row r="3718" spans="2:2" x14ac:dyDescent="0.25">
      <c r="B3718" s="1"/>
    </row>
    <row r="3719" spans="2:2" x14ac:dyDescent="0.25">
      <c r="B3719" s="1"/>
    </row>
    <row r="3720" spans="2:2" x14ac:dyDescent="0.25">
      <c r="B3720" s="1"/>
    </row>
    <row r="3721" spans="2:2" x14ac:dyDescent="0.25">
      <c r="B3721" s="1"/>
    </row>
    <row r="3722" spans="2:2" x14ac:dyDescent="0.25">
      <c r="B3722" s="1"/>
    </row>
    <row r="3723" spans="2:2" x14ac:dyDescent="0.25">
      <c r="B3723" s="1"/>
    </row>
    <row r="3724" spans="2:2" x14ac:dyDescent="0.25">
      <c r="B3724" s="1"/>
    </row>
    <row r="3725" spans="2:2" x14ac:dyDescent="0.25">
      <c r="B3725" s="1"/>
    </row>
    <row r="3726" spans="2:2" x14ac:dyDescent="0.25">
      <c r="B3726" s="1"/>
    </row>
    <row r="3727" spans="2:2" x14ac:dyDescent="0.25">
      <c r="B3727" s="1"/>
    </row>
    <row r="3728" spans="2:2" x14ac:dyDescent="0.25">
      <c r="B3728" s="1"/>
    </row>
    <row r="3729" spans="2:2" x14ac:dyDescent="0.25">
      <c r="B3729" s="1"/>
    </row>
    <row r="3730" spans="2:2" x14ac:dyDescent="0.25">
      <c r="B3730" s="1"/>
    </row>
    <row r="3731" spans="2:2" x14ac:dyDescent="0.25">
      <c r="B3731" s="1"/>
    </row>
    <row r="3732" spans="2:2" x14ac:dyDescent="0.25">
      <c r="B3732" s="1"/>
    </row>
    <row r="3733" spans="2:2" x14ac:dyDescent="0.25">
      <c r="B3733" s="1"/>
    </row>
    <row r="3734" spans="2:2" x14ac:dyDescent="0.25">
      <c r="B3734" s="1"/>
    </row>
    <row r="3735" spans="2:2" x14ac:dyDescent="0.25">
      <c r="B3735" s="1"/>
    </row>
    <row r="3736" spans="2:2" x14ac:dyDescent="0.25">
      <c r="B3736" s="1"/>
    </row>
    <row r="3737" spans="2:2" x14ac:dyDescent="0.25">
      <c r="B3737" s="1"/>
    </row>
    <row r="3738" spans="2:2" x14ac:dyDescent="0.25">
      <c r="B3738" s="1"/>
    </row>
    <row r="3739" spans="2:2" x14ac:dyDescent="0.25">
      <c r="B3739" s="1"/>
    </row>
    <row r="3740" spans="2:2" x14ac:dyDescent="0.25">
      <c r="B3740" s="1"/>
    </row>
    <row r="3741" spans="2:2" x14ac:dyDescent="0.25">
      <c r="B3741" s="1"/>
    </row>
    <row r="3742" spans="2:2" x14ac:dyDescent="0.25">
      <c r="B3742" s="1"/>
    </row>
    <row r="3743" spans="2:2" x14ac:dyDescent="0.25">
      <c r="B3743" s="1"/>
    </row>
    <row r="3744" spans="2:2" x14ac:dyDescent="0.25">
      <c r="B3744" s="1"/>
    </row>
    <row r="3745" spans="2:2" x14ac:dyDescent="0.25">
      <c r="B3745" s="1"/>
    </row>
    <row r="3746" spans="2:2" x14ac:dyDescent="0.25">
      <c r="B3746" s="1"/>
    </row>
    <row r="3747" spans="2:2" x14ac:dyDescent="0.25">
      <c r="B3747" s="1"/>
    </row>
    <row r="3748" spans="2:2" x14ac:dyDescent="0.25">
      <c r="B3748" s="1"/>
    </row>
    <row r="3749" spans="2:2" x14ac:dyDescent="0.25">
      <c r="B3749" s="1"/>
    </row>
    <row r="3750" spans="2:2" x14ac:dyDescent="0.25">
      <c r="B3750" s="1"/>
    </row>
    <row r="3751" spans="2:2" x14ac:dyDescent="0.25">
      <c r="B3751" s="1"/>
    </row>
    <row r="3752" spans="2:2" x14ac:dyDescent="0.25">
      <c r="B3752" s="1"/>
    </row>
    <row r="3753" spans="2:2" x14ac:dyDescent="0.25">
      <c r="B3753" s="1"/>
    </row>
    <row r="3754" spans="2:2" x14ac:dyDescent="0.25">
      <c r="B3754" s="1"/>
    </row>
    <row r="3755" spans="2:2" x14ac:dyDescent="0.25">
      <c r="B3755" s="1"/>
    </row>
    <row r="3756" spans="2:2" x14ac:dyDescent="0.25">
      <c r="B3756" s="1"/>
    </row>
    <row r="3757" spans="2:2" x14ac:dyDescent="0.25">
      <c r="B3757" s="1"/>
    </row>
    <row r="3758" spans="2:2" x14ac:dyDescent="0.25">
      <c r="B3758" s="1"/>
    </row>
    <row r="3759" spans="2:2" x14ac:dyDescent="0.25">
      <c r="B3759" s="1"/>
    </row>
    <row r="3760" spans="2:2" x14ac:dyDescent="0.25">
      <c r="B3760" s="1"/>
    </row>
    <row r="3761" spans="2:2" x14ac:dyDescent="0.25">
      <c r="B3761" s="1"/>
    </row>
    <row r="3762" spans="2:2" x14ac:dyDescent="0.25">
      <c r="B3762" s="1"/>
    </row>
    <row r="3763" spans="2:2" x14ac:dyDescent="0.25">
      <c r="B3763" s="1"/>
    </row>
    <row r="3764" spans="2:2" x14ac:dyDescent="0.25">
      <c r="B3764" s="1"/>
    </row>
    <row r="3765" spans="2:2" x14ac:dyDescent="0.25">
      <c r="B3765" s="1"/>
    </row>
    <row r="3766" spans="2:2" x14ac:dyDescent="0.25">
      <c r="B3766" s="1"/>
    </row>
    <row r="3767" spans="2:2" x14ac:dyDescent="0.25">
      <c r="B3767" s="1"/>
    </row>
    <row r="3768" spans="2:2" x14ac:dyDescent="0.25">
      <c r="B3768" s="1"/>
    </row>
    <row r="3769" spans="2:2" x14ac:dyDescent="0.25">
      <c r="B3769" s="1"/>
    </row>
    <row r="3770" spans="2:2" x14ac:dyDescent="0.25">
      <c r="B3770" s="1"/>
    </row>
    <row r="3771" spans="2:2" x14ac:dyDescent="0.25">
      <c r="B3771" s="1"/>
    </row>
    <row r="3772" spans="2:2" x14ac:dyDescent="0.25">
      <c r="B3772" s="1"/>
    </row>
    <row r="3773" spans="2:2" x14ac:dyDescent="0.25">
      <c r="B3773" s="1"/>
    </row>
    <row r="3774" spans="2:2" x14ac:dyDescent="0.25">
      <c r="B3774" s="1"/>
    </row>
    <row r="3775" spans="2:2" x14ac:dyDescent="0.25">
      <c r="B3775" s="1"/>
    </row>
    <row r="3776" spans="2:2" x14ac:dyDescent="0.25">
      <c r="B3776" s="1"/>
    </row>
    <row r="3777" spans="2:2" x14ac:dyDescent="0.25">
      <c r="B3777" s="1"/>
    </row>
    <row r="3778" spans="2:2" x14ac:dyDescent="0.25">
      <c r="B3778" s="1"/>
    </row>
    <row r="3779" spans="2:2" x14ac:dyDescent="0.25">
      <c r="B3779" s="1"/>
    </row>
    <row r="3780" spans="2:2" x14ac:dyDescent="0.25">
      <c r="B3780" s="1"/>
    </row>
    <row r="3781" spans="2:2" x14ac:dyDescent="0.25">
      <c r="B3781" s="1"/>
    </row>
    <row r="3782" spans="2:2" x14ac:dyDescent="0.25">
      <c r="B3782" s="1"/>
    </row>
    <row r="3783" spans="2:2" x14ac:dyDescent="0.25">
      <c r="B3783" s="1"/>
    </row>
    <row r="3784" spans="2:2" x14ac:dyDescent="0.25">
      <c r="B3784" s="1"/>
    </row>
    <row r="3785" spans="2:2" x14ac:dyDescent="0.25">
      <c r="B3785" s="1"/>
    </row>
    <row r="3786" spans="2:2" x14ac:dyDescent="0.25">
      <c r="B3786" s="1"/>
    </row>
    <row r="3787" spans="2:2" x14ac:dyDescent="0.25">
      <c r="B3787" s="1"/>
    </row>
    <row r="3788" spans="2:2" x14ac:dyDescent="0.25">
      <c r="B3788" s="1"/>
    </row>
    <row r="3789" spans="2:2" x14ac:dyDescent="0.25">
      <c r="B3789" s="1"/>
    </row>
    <row r="3790" spans="2:2" x14ac:dyDescent="0.25">
      <c r="B3790" s="1"/>
    </row>
    <row r="3791" spans="2:2" x14ac:dyDescent="0.25">
      <c r="B3791" s="1"/>
    </row>
    <row r="3792" spans="2:2" x14ac:dyDescent="0.25">
      <c r="B3792" s="1"/>
    </row>
    <row r="3793" spans="2:2" x14ac:dyDescent="0.25">
      <c r="B3793" s="1"/>
    </row>
    <row r="3794" spans="2:2" x14ac:dyDescent="0.25">
      <c r="B3794" s="1"/>
    </row>
    <row r="3795" spans="2:2" x14ac:dyDescent="0.25">
      <c r="B3795" s="1"/>
    </row>
    <row r="3796" spans="2:2" x14ac:dyDescent="0.25">
      <c r="B3796" s="1"/>
    </row>
    <row r="3797" spans="2:2" x14ac:dyDescent="0.25">
      <c r="B3797" s="1"/>
    </row>
    <row r="3798" spans="2:2" x14ac:dyDescent="0.25">
      <c r="B3798" s="1"/>
    </row>
    <row r="3799" spans="2:2" x14ac:dyDescent="0.25">
      <c r="B3799" s="1"/>
    </row>
    <row r="3800" spans="2:2" x14ac:dyDescent="0.25">
      <c r="B3800" s="1"/>
    </row>
    <row r="3801" spans="2:2" x14ac:dyDescent="0.25">
      <c r="B3801" s="1"/>
    </row>
    <row r="3802" spans="2:2" x14ac:dyDescent="0.25">
      <c r="B3802" s="1"/>
    </row>
    <row r="3803" spans="2:2" x14ac:dyDescent="0.25">
      <c r="B3803" s="1"/>
    </row>
    <row r="3804" spans="2:2" x14ac:dyDescent="0.25">
      <c r="B3804" s="1"/>
    </row>
    <row r="3805" spans="2:2" x14ac:dyDescent="0.25">
      <c r="B3805" s="1"/>
    </row>
    <row r="3806" spans="2:2" x14ac:dyDescent="0.25">
      <c r="B3806" s="1"/>
    </row>
    <row r="3807" spans="2:2" x14ac:dyDescent="0.25">
      <c r="B3807" s="1"/>
    </row>
    <row r="3808" spans="2:2" x14ac:dyDescent="0.25">
      <c r="B3808" s="1"/>
    </row>
    <row r="3809" spans="2:2" x14ac:dyDescent="0.25">
      <c r="B3809" s="1"/>
    </row>
    <row r="3810" spans="2:2" x14ac:dyDescent="0.25">
      <c r="B3810" s="1"/>
    </row>
    <row r="3811" spans="2:2" x14ac:dyDescent="0.25">
      <c r="B3811" s="1"/>
    </row>
    <row r="3812" spans="2:2" x14ac:dyDescent="0.25">
      <c r="B3812" s="1"/>
    </row>
    <row r="3813" spans="2:2" x14ac:dyDescent="0.25">
      <c r="B3813" s="1"/>
    </row>
    <row r="3814" spans="2:2" x14ac:dyDescent="0.25">
      <c r="B3814" s="1"/>
    </row>
    <row r="3815" spans="2:2" x14ac:dyDescent="0.25">
      <c r="B3815" s="1"/>
    </row>
    <row r="3816" spans="2:2" x14ac:dyDescent="0.25">
      <c r="B3816" s="1"/>
    </row>
    <row r="3817" spans="2:2" x14ac:dyDescent="0.25">
      <c r="B3817" s="1"/>
    </row>
    <row r="3818" spans="2:2" x14ac:dyDescent="0.25">
      <c r="B3818" s="1"/>
    </row>
    <row r="3819" spans="2:2" x14ac:dyDescent="0.25">
      <c r="B3819" s="1"/>
    </row>
    <row r="3820" spans="2:2" x14ac:dyDescent="0.25">
      <c r="B3820" s="1"/>
    </row>
    <row r="3821" spans="2:2" x14ac:dyDescent="0.25">
      <c r="B3821" s="1"/>
    </row>
    <row r="3822" spans="2:2" x14ac:dyDescent="0.25">
      <c r="B3822" s="1"/>
    </row>
    <row r="3823" spans="2:2" x14ac:dyDescent="0.25">
      <c r="B3823" s="1"/>
    </row>
    <row r="3824" spans="2:2" x14ac:dyDescent="0.25">
      <c r="B3824" s="1"/>
    </row>
    <row r="3825" spans="2:2" x14ac:dyDescent="0.25">
      <c r="B3825" s="1"/>
    </row>
    <row r="3826" spans="2:2" x14ac:dyDescent="0.25">
      <c r="B3826" s="1"/>
    </row>
    <row r="3827" spans="2:2" x14ac:dyDescent="0.25">
      <c r="B3827" s="1"/>
    </row>
    <row r="3828" spans="2:2" x14ac:dyDescent="0.25">
      <c r="B3828" s="1"/>
    </row>
    <row r="3829" spans="2:2" x14ac:dyDescent="0.25">
      <c r="B3829" s="1"/>
    </row>
    <row r="3830" spans="2:2" x14ac:dyDescent="0.25">
      <c r="B3830" s="1"/>
    </row>
    <row r="3831" spans="2:2" x14ac:dyDescent="0.25">
      <c r="B3831" s="1"/>
    </row>
    <row r="3832" spans="2:2" x14ac:dyDescent="0.25">
      <c r="B3832" s="1"/>
    </row>
    <row r="3833" spans="2:2" x14ac:dyDescent="0.25">
      <c r="B3833" s="1"/>
    </row>
    <row r="3834" spans="2:2" x14ac:dyDescent="0.25">
      <c r="B3834" s="1"/>
    </row>
    <row r="3835" spans="2:2" x14ac:dyDescent="0.25">
      <c r="B3835" s="1"/>
    </row>
    <row r="3836" spans="2:2" x14ac:dyDescent="0.25">
      <c r="B3836" s="1"/>
    </row>
    <row r="3837" spans="2:2" x14ac:dyDescent="0.25">
      <c r="B3837" s="1"/>
    </row>
    <row r="3838" spans="2:2" x14ac:dyDescent="0.25">
      <c r="B3838" s="1"/>
    </row>
    <row r="3839" spans="2:2" x14ac:dyDescent="0.25">
      <c r="B3839" s="1"/>
    </row>
    <row r="3840" spans="2:2" x14ac:dyDescent="0.25">
      <c r="B3840" s="1"/>
    </row>
    <row r="3841" spans="2:2" x14ac:dyDescent="0.25">
      <c r="B3841" s="1"/>
    </row>
    <row r="3842" spans="2:2" x14ac:dyDescent="0.25">
      <c r="B3842" s="1"/>
    </row>
    <row r="3843" spans="2:2" x14ac:dyDescent="0.25">
      <c r="B3843" s="1"/>
    </row>
    <row r="3844" spans="2:2" x14ac:dyDescent="0.25">
      <c r="B3844" s="1"/>
    </row>
    <row r="3845" spans="2:2" x14ac:dyDescent="0.25">
      <c r="B3845" s="1"/>
    </row>
    <row r="3846" spans="2:2" x14ac:dyDescent="0.25">
      <c r="B3846" s="1"/>
    </row>
    <row r="3847" spans="2:2" x14ac:dyDescent="0.25">
      <c r="B3847" s="1"/>
    </row>
    <row r="3848" spans="2:2" x14ac:dyDescent="0.25">
      <c r="B3848" s="1"/>
    </row>
    <row r="3849" spans="2:2" x14ac:dyDescent="0.25">
      <c r="B3849" s="1"/>
    </row>
    <row r="3850" spans="2:2" x14ac:dyDescent="0.25">
      <c r="B3850" s="1"/>
    </row>
    <row r="3851" spans="2:2" x14ac:dyDescent="0.25">
      <c r="B3851" s="1"/>
    </row>
    <row r="3852" spans="2:2" x14ac:dyDescent="0.25">
      <c r="B3852" s="1"/>
    </row>
    <row r="3853" spans="2:2" x14ac:dyDescent="0.25">
      <c r="B3853" s="1"/>
    </row>
    <row r="3854" spans="2:2" x14ac:dyDescent="0.25">
      <c r="B3854" s="1"/>
    </row>
    <row r="3855" spans="2:2" x14ac:dyDescent="0.25">
      <c r="B3855" s="1"/>
    </row>
    <row r="3856" spans="2:2" x14ac:dyDescent="0.25">
      <c r="B3856" s="1"/>
    </row>
    <row r="3857" spans="2:2" x14ac:dyDescent="0.25">
      <c r="B3857" s="1"/>
    </row>
    <row r="3858" spans="2:2" x14ac:dyDescent="0.25">
      <c r="B3858" s="1"/>
    </row>
    <row r="3859" spans="2:2" x14ac:dyDescent="0.25">
      <c r="B3859" s="1"/>
    </row>
    <row r="3860" spans="2:2" x14ac:dyDescent="0.25">
      <c r="B3860" s="1"/>
    </row>
    <row r="3861" spans="2:2" x14ac:dyDescent="0.25">
      <c r="B3861" s="1"/>
    </row>
    <row r="3862" spans="2:2" x14ac:dyDescent="0.25">
      <c r="B3862" s="1"/>
    </row>
    <row r="3863" spans="2:2" x14ac:dyDescent="0.25">
      <c r="B3863" s="1"/>
    </row>
    <row r="3864" spans="2:2" x14ac:dyDescent="0.25">
      <c r="B3864" s="1"/>
    </row>
    <row r="3865" spans="2:2" x14ac:dyDescent="0.25">
      <c r="B3865" s="1"/>
    </row>
    <row r="3866" spans="2:2" x14ac:dyDescent="0.25">
      <c r="B3866" s="1"/>
    </row>
    <row r="3867" spans="2:2" x14ac:dyDescent="0.25">
      <c r="B3867" s="1"/>
    </row>
    <row r="3868" spans="2:2" x14ac:dyDescent="0.25">
      <c r="B3868" s="1"/>
    </row>
    <row r="3869" spans="2:2" x14ac:dyDescent="0.25">
      <c r="B3869" s="1"/>
    </row>
    <row r="3870" spans="2:2" x14ac:dyDescent="0.25">
      <c r="B3870" s="1"/>
    </row>
    <row r="3871" spans="2:2" x14ac:dyDescent="0.25">
      <c r="B3871" s="1"/>
    </row>
    <row r="3872" spans="2:2" x14ac:dyDescent="0.25">
      <c r="B3872" s="1"/>
    </row>
    <row r="3873" spans="2:2" x14ac:dyDescent="0.25">
      <c r="B3873" s="1"/>
    </row>
    <row r="3874" spans="2:2" x14ac:dyDescent="0.25">
      <c r="B3874" s="1"/>
    </row>
    <row r="3875" spans="2:2" x14ac:dyDescent="0.25">
      <c r="B3875" s="1"/>
    </row>
    <row r="3876" spans="2:2" x14ac:dyDescent="0.25">
      <c r="B3876" s="1"/>
    </row>
    <row r="3877" spans="2:2" x14ac:dyDescent="0.25">
      <c r="B3877" s="1"/>
    </row>
    <row r="3878" spans="2:2" x14ac:dyDescent="0.25">
      <c r="B3878" s="1"/>
    </row>
    <row r="3879" spans="2:2" x14ac:dyDescent="0.25">
      <c r="B3879" s="1"/>
    </row>
    <row r="3880" spans="2:2" x14ac:dyDescent="0.25">
      <c r="B3880" s="1"/>
    </row>
    <row r="3881" spans="2:2" x14ac:dyDescent="0.25">
      <c r="B3881" s="1"/>
    </row>
    <row r="3882" spans="2:2" x14ac:dyDescent="0.25">
      <c r="B3882" s="1"/>
    </row>
    <row r="3883" spans="2:2" x14ac:dyDescent="0.25">
      <c r="B3883" s="1"/>
    </row>
    <row r="3884" spans="2:2" x14ac:dyDescent="0.25">
      <c r="B3884" s="1"/>
    </row>
    <row r="3885" spans="2:2" x14ac:dyDescent="0.25">
      <c r="B3885" s="1"/>
    </row>
    <row r="3886" spans="2:2" x14ac:dyDescent="0.25">
      <c r="B3886" s="1"/>
    </row>
    <row r="3887" spans="2:2" x14ac:dyDescent="0.25">
      <c r="B3887" s="1"/>
    </row>
    <row r="3888" spans="2:2" x14ac:dyDescent="0.25">
      <c r="B3888" s="1"/>
    </row>
    <row r="3889" spans="2:2" x14ac:dyDescent="0.25">
      <c r="B3889" s="1"/>
    </row>
    <row r="3890" spans="2:2" x14ac:dyDescent="0.25">
      <c r="B3890" s="1"/>
    </row>
    <row r="3891" spans="2:2" x14ac:dyDescent="0.25">
      <c r="B3891" s="1"/>
    </row>
    <row r="3892" spans="2:2" x14ac:dyDescent="0.25">
      <c r="B3892" s="1"/>
    </row>
    <row r="3893" spans="2:2" x14ac:dyDescent="0.25">
      <c r="B3893" s="1"/>
    </row>
    <row r="3894" spans="2:2" x14ac:dyDescent="0.25">
      <c r="B3894" s="1"/>
    </row>
    <row r="3895" spans="2:2" x14ac:dyDescent="0.25">
      <c r="B3895" s="1"/>
    </row>
    <row r="3896" spans="2:2" x14ac:dyDescent="0.25">
      <c r="B3896" s="1"/>
    </row>
    <row r="3897" spans="2:2" x14ac:dyDescent="0.25">
      <c r="B3897" s="1"/>
    </row>
    <row r="3898" spans="2:2" x14ac:dyDescent="0.25">
      <c r="B3898" s="1"/>
    </row>
    <row r="3899" spans="2:2" x14ac:dyDescent="0.25">
      <c r="B3899" s="1"/>
    </row>
    <row r="3900" spans="2:2" x14ac:dyDescent="0.25">
      <c r="B3900" s="1"/>
    </row>
    <row r="3901" spans="2:2" x14ac:dyDescent="0.25">
      <c r="B3901" s="1"/>
    </row>
    <row r="3902" spans="2:2" x14ac:dyDescent="0.25">
      <c r="B3902" s="1"/>
    </row>
    <row r="3903" spans="2:2" x14ac:dyDescent="0.25">
      <c r="B3903" s="1"/>
    </row>
    <row r="3904" spans="2:2" x14ac:dyDescent="0.25">
      <c r="B3904" s="1"/>
    </row>
    <row r="3905" spans="2:2" x14ac:dyDescent="0.25">
      <c r="B3905" s="1"/>
    </row>
    <row r="3906" spans="2:2" x14ac:dyDescent="0.25">
      <c r="B3906" s="1"/>
    </row>
    <row r="3907" spans="2:2" x14ac:dyDescent="0.25">
      <c r="B3907" s="1"/>
    </row>
    <row r="3908" spans="2:2" x14ac:dyDescent="0.25">
      <c r="B3908" s="1"/>
    </row>
    <row r="3909" spans="2:2" x14ac:dyDescent="0.25">
      <c r="B3909" s="1"/>
    </row>
    <row r="3910" spans="2:2" x14ac:dyDescent="0.25">
      <c r="B3910" s="1"/>
    </row>
    <row r="3911" spans="2:2" x14ac:dyDescent="0.25">
      <c r="B3911" s="1"/>
    </row>
    <row r="3912" spans="2:2" x14ac:dyDescent="0.25">
      <c r="B3912" s="1"/>
    </row>
    <row r="3913" spans="2:2" x14ac:dyDescent="0.25">
      <c r="B3913" s="1"/>
    </row>
    <row r="3914" spans="2:2" x14ac:dyDescent="0.25">
      <c r="B3914" s="1"/>
    </row>
    <row r="3915" spans="2:2" x14ac:dyDescent="0.25">
      <c r="B3915" s="1"/>
    </row>
    <row r="3916" spans="2:2" x14ac:dyDescent="0.25">
      <c r="B3916" s="1"/>
    </row>
    <row r="3917" spans="2:2" x14ac:dyDescent="0.25">
      <c r="B3917" s="1"/>
    </row>
    <row r="3918" spans="2:2" x14ac:dyDescent="0.25">
      <c r="B3918" s="1"/>
    </row>
    <row r="3919" spans="2:2" x14ac:dyDescent="0.25">
      <c r="B3919" s="1"/>
    </row>
    <row r="3920" spans="2:2" x14ac:dyDescent="0.25">
      <c r="B3920" s="1"/>
    </row>
    <row r="3921" spans="2:2" x14ac:dyDescent="0.25">
      <c r="B3921" s="1"/>
    </row>
    <row r="3922" spans="2:2" x14ac:dyDescent="0.25">
      <c r="B3922" s="1"/>
    </row>
    <row r="3923" spans="2:2" x14ac:dyDescent="0.25">
      <c r="B3923" s="1"/>
    </row>
    <row r="3924" spans="2:2" x14ac:dyDescent="0.25">
      <c r="B3924" s="1"/>
    </row>
    <row r="3925" spans="2:2" x14ac:dyDescent="0.25">
      <c r="B3925" s="1"/>
    </row>
    <row r="3926" spans="2:2" x14ac:dyDescent="0.25">
      <c r="B3926" s="1"/>
    </row>
    <row r="3927" spans="2:2" x14ac:dyDescent="0.25">
      <c r="B3927" s="1"/>
    </row>
    <row r="3928" spans="2:2" x14ac:dyDescent="0.25">
      <c r="B3928" s="1"/>
    </row>
    <row r="3929" spans="2:2" x14ac:dyDescent="0.25">
      <c r="B3929" s="1"/>
    </row>
    <row r="3930" spans="2:2" x14ac:dyDescent="0.25">
      <c r="B3930" s="1"/>
    </row>
    <row r="3931" spans="2:2" x14ac:dyDescent="0.25">
      <c r="B3931" s="1"/>
    </row>
    <row r="3932" spans="2:2" x14ac:dyDescent="0.25">
      <c r="B3932" s="1"/>
    </row>
    <row r="3933" spans="2:2" x14ac:dyDescent="0.25">
      <c r="B3933" s="1"/>
    </row>
    <row r="3934" spans="2:2" x14ac:dyDescent="0.25">
      <c r="B3934" s="1"/>
    </row>
    <row r="3935" spans="2:2" x14ac:dyDescent="0.25">
      <c r="B3935" s="1"/>
    </row>
    <row r="3936" spans="2:2" x14ac:dyDescent="0.25">
      <c r="B3936" s="1"/>
    </row>
    <row r="3937" spans="2:2" x14ac:dyDescent="0.25">
      <c r="B3937" s="1"/>
    </row>
    <row r="3938" spans="2:2" x14ac:dyDescent="0.25">
      <c r="B3938" s="1"/>
    </row>
    <row r="3939" spans="2:2" x14ac:dyDescent="0.25">
      <c r="B3939" s="1"/>
    </row>
    <row r="3940" spans="2:2" x14ac:dyDescent="0.25">
      <c r="B3940" s="1"/>
    </row>
    <row r="3941" spans="2:2" x14ac:dyDescent="0.25">
      <c r="B3941" s="1"/>
    </row>
    <row r="3942" spans="2:2" x14ac:dyDescent="0.25">
      <c r="B3942" s="1"/>
    </row>
    <row r="3943" spans="2:2" x14ac:dyDescent="0.25">
      <c r="B3943" s="1"/>
    </row>
    <row r="3944" spans="2:2" x14ac:dyDescent="0.25">
      <c r="B3944" s="1"/>
    </row>
    <row r="3945" spans="2:2" x14ac:dyDescent="0.25">
      <c r="B3945" s="1"/>
    </row>
    <row r="3946" spans="2:2" x14ac:dyDescent="0.25">
      <c r="B3946" s="1"/>
    </row>
    <row r="3947" spans="2:2" x14ac:dyDescent="0.25">
      <c r="B3947" s="1"/>
    </row>
    <row r="3948" spans="2:2" x14ac:dyDescent="0.25">
      <c r="B3948" s="1"/>
    </row>
    <row r="3949" spans="2:2" x14ac:dyDescent="0.25">
      <c r="B3949" s="1"/>
    </row>
    <row r="3950" spans="2:2" x14ac:dyDescent="0.25">
      <c r="B3950" s="1"/>
    </row>
    <row r="3951" spans="2:2" x14ac:dyDescent="0.25">
      <c r="B3951" s="1"/>
    </row>
    <row r="3952" spans="2:2" x14ac:dyDescent="0.25">
      <c r="B3952" s="1"/>
    </row>
    <row r="3953" spans="2:2" x14ac:dyDescent="0.25">
      <c r="B3953" s="1"/>
    </row>
    <row r="3954" spans="2:2" x14ac:dyDescent="0.25">
      <c r="B3954" s="1"/>
    </row>
    <row r="3955" spans="2:2" x14ac:dyDescent="0.25">
      <c r="B3955" s="1"/>
    </row>
    <row r="3956" spans="2:2" x14ac:dyDescent="0.25">
      <c r="B3956" s="1"/>
    </row>
    <row r="3957" spans="2:2" x14ac:dyDescent="0.25">
      <c r="B3957" s="1"/>
    </row>
    <row r="3958" spans="2:2" x14ac:dyDescent="0.25">
      <c r="B3958" s="1"/>
    </row>
    <row r="3959" spans="2:2" x14ac:dyDescent="0.25">
      <c r="B3959" s="1"/>
    </row>
    <row r="3960" spans="2:2" x14ac:dyDescent="0.25">
      <c r="B3960" s="1"/>
    </row>
    <row r="3961" spans="2:2" x14ac:dyDescent="0.25">
      <c r="B3961" s="1"/>
    </row>
    <row r="3962" spans="2:2" x14ac:dyDescent="0.25">
      <c r="B3962" s="1"/>
    </row>
    <row r="3963" spans="2:2" x14ac:dyDescent="0.25">
      <c r="B3963" s="1"/>
    </row>
    <row r="3964" spans="2:2" x14ac:dyDescent="0.25">
      <c r="B3964" s="1"/>
    </row>
    <row r="3965" spans="2:2" x14ac:dyDescent="0.25">
      <c r="B3965" s="1"/>
    </row>
    <row r="3966" spans="2:2" x14ac:dyDescent="0.25">
      <c r="B3966" s="1"/>
    </row>
    <row r="3967" spans="2:2" x14ac:dyDescent="0.25">
      <c r="B3967" s="1"/>
    </row>
    <row r="3968" spans="2:2" x14ac:dyDescent="0.25">
      <c r="B3968" s="1"/>
    </row>
    <row r="3969" spans="2:2" x14ac:dyDescent="0.25">
      <c r="B3969" s="1"/>
    </row>
    <row r="3970" spans="2:2" x14ac:dyDescent="0.25">
      <c r="B3970" s="1"/>
    </row>
    <row r="3971" spans="2:2" x14ac:dyDescent="0.25">
      <c r="B3971" s="1"/>
    </row>
    <row r="3972" spans="2:2" x14ac:dyDescent="0.25">
      <c r="B3972" s="1"/>
    </row>
    <row r="3973" spans="2:2" x14ac:dyDescent="0.25">
      <c r="B3973" s="1"/>
    </row>
    <row r="3974" spans="2:2" x14ac:dyDescent="0.25">
      <c r="B3974" s="1"/>
    </row>
    <row r="3975" spans="2:2" x14ac:dyDescent="0.25">
      <c r="B3975" s="1"/>
    </row>
    <row r="3976" spans="2:2" x14ac:dyDescent="0.25">
      <c r="B3976" s="1"/>
    </row>
    <row r="3977" spans="2:2" x14ac:dyDescent="0.25">
      <c r="B3977" s="1"/>
    </row>
    <row r="3978" spans="2:2" x14ac:dyDescent="0.25">
      <c r="B3978" s="1"/>
    </row>
    <row r="3979" spans="2:2" x14ac:dyDescent="0.25">
      <c r="B3979" s="1"/>
    </row>
    <row r="3980" spans="2:2" x14ac:dyDescent="0.25">
      <c r="B3980" s="1"/>
    </row>
    <row r="3981" spans="2:2" x14ac:dyDescent="0.25">
      <c r="B3981" s="1"/>
    </row>
    <row r="3982" spans="2:2" x14ac:dyDescent="0.25">
      <c r="B3982" s="1"/>
    </row>
    <row r="3983" spans="2:2" x14ac:dyDescent="0.25">
      <c r="B3983" s="1"/>
    </row>
    <row r="3984" spans="2:2" x14ac:dyDescent="0.25">
      <c r="B3984" s="1"/>
    </row>
    <row r="3985" spans="2:2" x14ac:dyDescent="0.25">
      <c r="B3985" s="1"/>
    </row>
    <row r="3986" spans="2:2" x14ac:dyDescent="0.25">
      <c r="B3986" s="1"/>
    </row>
    <row r="3987" spans="2:2" x14ac:dyDescent="0.25">
      <c r="B3987" s="1"/>
    </row>
    <row r="3988" spans="2:2" x14ac:dyDescent="0.25">
      <c r="B3988" s="1"/>
    </row>
    <row r="3989" spans="2:2" x14ac:dyDescent="0.25">
      <c r="B3989" s="1"/>
    </row>
    <row r="3990" spans="2:2" x14ac:dyDescent="0.25">
      <c r="B3990" s="1"/>
    </row>
    <row r="3991" spans="2:2" x14ac:dyDescent="0.25">
      <c r="B3991" s="1"/>
    </row>
    <row r="3992" spans="2:2" x14ac:dyDescent="0.25">
      <c r="B3992" s="1"/>
    </row>
    <row r="3993" spans="2:2" x14ac:dyDescent="0.25">
      <c r="B3993" s="1"/>
    </row>
    <row r="3994" spans="2:2" x14ac:dyDescent="0.25">
      <c r="B3994" s="1"/>
    </row>
    <row r="3995" spans="2:2" x14ac:dyDescent="0.25">
      <c r="B3995" s="1"/>
    </row>
    <row r="3996" spans="2:2" x14ac:dyDescent="0.25">
      <c r="B3996" s="1"/>
    </row>
    <row r="3997" spans="2:2" x14ac:dyDescent="0.25">
      <c r="B3997" s="1"/>
    </row>
    <row r="3998" spans="2:2" x14ac:dyDescent="0.25">
      <c r="B3998" s="1"/>
    </row>
    <row r="3999" spans="2:2" x14ac:dyDescent="0.25">
      <c r="B3999" s="1"/>
    </row>
    <row r="4000" spans="2:2" x14ac:dyDescent="0.25">
      <c r="B4000" s="1"/>
    </row>
    <row r="4001" spans="2:2" x14ac:dyDescent="0.25">
      <c r="B4001" s="1"/>
    </row>
    <row r="4002" spans="2:2" x14ac:dyDescent="0.25">
      <c r="B4002" s="1"/>
    </row>
    <row r="4003" spans="2:2" x14ac:dyDescent="0.25">
      <c r="B4003" s="1"/>
    </row>
    <row r="4004" spans="2:2" x14ac:dyDescent="0.25">
      <c r="B4004" s="1"/>
    </row>
    <row r="4005" spans="2:2" x14ac:dyDescent="0.25">
      <c r="B4005" s="1"/>
    </row>
    <row r="4006" spans="2:2" x14ac:dyDescent="0.25">
      <c r="B4006" s="1"/>
    </row>
    <row r="4007" spans="2:2" x14ac:dyDescent="0.25">
      <c r="B4007" s="1"/>
    </row>
    <row r="4008" spans="2:2" x14ac:dyDescent="0.25">
      <c r="B4008" s="1"/>
    </row>
    <row r="4009" spans="2:2" x14ac:dyDescent="0.25">
      <c r="B4009" s="1"/>
    </row>
    <row r="4010" spans="2:2" x14ac:dyDescent="0.25">
      <c r="B4010" s="1"/>
    </row>
    <row r="4011" spans="2:2" x14ac:dyDescent="0.25">
      <c r="B4011" s="1"/>
    </row>
    <row r="4012" spans="2:2" x14ac:dyDescent="0.25">
      <c r="B4012" s="1"/>
    </row>
    <row r="4013" spans="2:2" x14ac:dyDescent="0.25">
      <c r="B4013" s="1"/>
    </row>
    <row r="4014" spans="2:2" x14ac:dyDescent="0.25">
      <c r="B4014" s="1"/>
    </row>
    <row r="4015" spans="2:2" x14ac:dyDescent="0.25">
      <c r="B4015" s="1"/>
    </row>
    <row r="4016" spans="2:2" x14ac:dyDescent="0.25">
      <c r="B4016" s="1"/>
    </row>
    <row r="4017" spans="2:2" x14ac:dyDescent="0.25">
      <c r="B4017" s="1"/>
    </row>
    <row r="4018" spans="2:2" x14ac:dyDescent="0.25">
      <c r="B4018" s="1"/>
    </row>
    <row r="4019" spans="2:2" x14ac:dyDescent="0.25">
      <c r="B4019" s="1"/>
    </row>
    <row r="4020" spans="2:2" x14ac:dyDescent="0.25">
      <c r="B4020" s="1"/>
    </row>
    <row r="4021" spans="2:2" x14ac:dyDescent="0.25">
      <c r="B4021" s="1"/>
    </row>
    <row r="4022" spans="2:2" x14ac:dyDescent="0.25">
      <c r="B4022" s="1"/>
    </row>
    <row r="4023" spans="2:2" x14ac:dyDescent="0.25">
      <c r="B4023" s="1"/>
    </row>
    <row r="4024" spans="2:2" x14ac:dyDescent="0.25">
      <c r="B4024" s="1"/>
    </row>
    <row r="4025" spans="2:2" x14ac:dyDescent="0.25">
      <c r="B4025" s="1"/>
    </row>
    <row r="4026" spans="2:2" x14ac:dyDescent="0.25">
      <c r="B4026" s="1"/>
    </row>
    <row r="4027" spans="2:2" x14ac:dyDescent="0.25">
      <c r="B4027" s="1"/>
    </row>
    <row r="4028" spans="2:2" x14ac:dyDescent="0.25">
      <c r="B4028" s="1"/>
    </row>
    <row r="4029" spans="2:2" x14ac:dyDescent="0.25">
      <c r="B4029" s="1"/>
    </row>
    <row r="4030" spans="2:2" x14ac:dyDescent="0.25">
      <c r="B4030" s="1"/>
    </row>
    <row r="4031" spans="2:2" x14ac:dyDescent="0.25">
      <c r="B4031" s="1"/>
    </row>
    <row r="4032" spans="2:2" x14ac:dyDescent="0.25">
      <c r="B4032" s="1"/>
    </row>
    <row r="4033" spans="2:2" x14ac:dyDescent="0.25">
      <c r="B4033" s="1"/>
    </row>
    <row r="4034" spans="2:2" x14ac:dyDescent="0.25">
      <c r="B4034" s="1"/>
    </row>
    <row r="4035" spans="2:2" x14ac:dyDescent="0.25">
      <c r="B4035" s="1"/>
    </row>
    <row r="4036" spans="2:2" x14ac:dyDescent="0.25">
      <c r="B4036" s="1"/>
    </row>
    <row r="4037" spans="2:2" x14ac:dyDescent="0.25">
      <c r="B4037" s="1"/>
    </row>
    <row r="4038" spans="2:2" x14ac:dyDescent="0.25">
      <c r="B4038" s="1"/>
    </row>
    <row r="4039" spans="2:2" x14ac:dyDescent="0.25">
      <c r="B4039" s="1"/>
    </row>
    <row r="4040" spans="2:2" x14ac:dyDescent="0.25">
      <c r="B4040" s="1"/>
    </row>
    <row r="4041" spans="2:2" x14ac:dyDescent="0.25">
      <c r="B4041" s="1"/>
    </row>
    <row r="4042" spans="2:2" x14ac:dyDescent="0.25">
      <c r="B4042" s="1"/>
    </row>
    <row r="4043" spans="2:2" x14ac:dyDescent="0.25">
      <c r="B4043" s="1"/>
    </row>
    <row r="4044" spans="2:2" x14ac:dyDescent="0.25">
      <c r="B4044" s="1"/>
    </row>
    <row r="4045" spans="2:2" x14ac:dyDescent="0.25">
      <c r="B4045" s="1"/>
    </row>
    <row r="4046" spans="2:2" x14ac:dyDescent="0.25">
      <c r="B4046" s="1"/>
    </row>
    <row r="4047" spans="2:2" x14ac:dyDescent="0.25">
      <c r="B4047" s="1"/>
    </row>
    <row r="4048" spans="2:2" x14ac:dyDescent="0.25">
      <c r="B4048" s="1"/>
    </row>
    <row r="4049" spans="2:2" x14ac:dyDescent="0.25">
      <c r="B4049" s="1"/>
    </row>
    <row r="4050" spans="2:2" x14ac:dyDescent="0.25">
      <c r="B4050" s="1"/>
    </row>
    <row r="4051" spans="2:2" x14ac:dyDescent="0.25">
      <c r="B4051" s="1"/>
    </row>
    <row r="4052" spans="2:2" x14ac:dyDescent="0.25">
      <c r="B4052" s="1"/>
    </row>
    <row r="4053" spans="2:2" x14ac:dyDescent="0.25">
      <c r="B4053" s="1"/>
    </row>
    <row r="4054" spans="2:2" x14ac:dyDescent="0.25">
      <c r="B4054" s="1"/>
    </row>
    <row r="4055" spans="2:2" x14ac:dyDescent="0.25">
      <c r="B4055" s="1"/>
    </row>
    <row r="4056" spans="2:2" x14ac:dyDescent="0.25">
      <c r="B4056" s="1"/>
    </row>
    <row r="4057" spans="2:2" x14ac:dyDescent="0.25">
      <c r="B4057" s="1"/>
    </row>
    <row r="4058" spans="2:2" x14ac:dyDescent="0.25">
      <c r="B4058" s="1"/>
    </row>
    <row r="4059" spans="2:2" x14ac:dyDescent="0.25">
      <c r="B4059" s="1"/>
    </row>
    <row r="4060" spans="2:2" x14ac:dyDescent="0.25">
      <c r="B4060" s="1"/>
    </row>
    <row r="4061" spans="2:2" x14ac:dyDescent="0.25">
      <c r="B4061" s="1"/>
    </row>
    <row r="4062" spans="2:2" x14ac:dyDescent="0.25">
      <c r="B4062" s="1"/>
    </row>
    <row r="4063" spans="2:2" x14ac:dyDescent="0.25">
      <c r="B4063" s="1"/>
    </row>
    <row r="4064" spans="2:2" x14ac:dyDescent="0.25">
      <c r="B4064" s="1"/>
    </row>
    <row r="4065" spans="2:2" x14ac:dyDescent="0.25">
      <c r="B4065" s="1"/>
    </row>
    <row r="4066" spans="2:2" x14ac:dyDescent="0.25">
      <c r="B4066" s="1"/>
    </row>
    <row r="4067" spans="2:2" x14ac:dyDescent="0.25">
      <c r="B4067" s="1"/>
    </row>
    <row r="4068" spans="2:2" x14ac:dyDescent="0.25">
      <c r="B4068" s="1"/>
    </row>
    <row r="4069" spans="2:2" x14ac:dyDescent="0.25">
      <c r="B4069" s="1"/>
    </row>
    <row r="4070" spans="2:2" x14ac:dyDescent="0.25">
      <c r="B4070" s="1"/>
    </row>
    <row r="4071" spans="2:2" x14ac:dyDescent="0.25">
      <c r="B4071" s="1"/>
    </row>
    <row r="4072" spans="2:2" x14ac:dyDescent="0.25">
      <c r="B4072" s="1"/>
    </row>
    <row r="4073" spans="2:2" x14ac:dyDescent="0.25">
      <c r="B4073" s="1"/>
    </row>
    <row r="4074" spans="2:2" x14ac:dyDescent="0.25">
      <c r="B4074" s="1"/>
    </row>
    <row r="4075" spans="2:2" x14ac:dyDescent="0.25">
      <c r="B4075" s="1"/>
    </row>
    <row r="4076" spans="2:2" x14ac:dyDescent="0.25">
      <c r="B4076" s="1"/>
    </row>
    <row r="4077" spans="2:2" x14ac:dyDescent="0.25">
      <c r="B4077" s="1"/>
    </row>
    <row r="4078" spans="2:2" x14ac:dyDescent="0.25">
      <c r="B4078" s="1"/>
    </row>
    <row r="4079" spans="2:2" x14ac:dyDescent="0.25">
      <c r="B4079" s="1"/>
    </row>
    <row r="4080" spans="2:2" x14ac:dyDescent="0.25">
      <c r="B4080" s="1"/>
    </row>
    <row r="4081" spans="2:2" x14ac:dyDescent="0.25">
      <c r="B4081" s="1"/>
    </row>
    <row r="4082" spans="2:2" x14ac:dyDescent="0.25">
      <c r="B4082" s="1"/>
    </row>
    <row r="4083" spans="2:2" x14ac:dyDescent="0.25">
      <c r="B4083" s="1"/>
    </row>
    <row r="4084" spans="2:2" x14ac:dyDescent="0.25">
      <c r="B4084" s="1"/>
    </row>
    <row r="4085" spans="2:2" x14ac:dyDescent="0.25">
      <c r="B4085" s="1"/>
    </row>
    <row r="4086" spans="2:2" x14ac:dyDescent="0.25">
      <c r="B4086" s="1"/>
    </row>
    <row r="4087" spans="2:2" x14ac:dyDescent="0.25">
      <c r="B4087" s="1"/>
    </row>
    <row r="4088" spans="2:2" x14ac:dyDescent="0.25">
      <c r="B4088" s="1"/>
    </row>
    <row r="4089" spans="2:2" x14ac:dyDescent="0.25">
      <c r="B4089" s="1"/>
    </row>
    <row r="4090" spans="2:2" x14ac:dyDescent="0.25">
      <c r="B4090" s="1"/>
    </row>
    <row r="4091" spans="2:2" x14ac:dyDescent="0.25">
      <c r="B4091" s="1"/>
    </row>
    <row r="4092" spans="2:2" x14ac:dyDescent="0.25">
      <c r="B4092" s="1"/>
    </row>
    <row r="4093" spans="2:2" x14ac:dyDescent="0.25">
      <c r="B4093" s="1"/>
    </row>
    <row r="4094" spans="2:2" x14ac:dyDescent="0.25">
      <c r="B4094" s="1"/>
    </row>
    <row r="4095" spans="2:2" x14ac:dyDescent="0.25">
      <c r="B4095" s="1"/>
    </row>
    <row r="4096" spans="2:2" x14ac:dyDescent="0.25">
      <c r="B4096" s="1"/>
    </row>
    <row r="4097" spans="2:2" x14ac:dyDescent="0.25">
      <c r="B4097" s="1"/>
    </row>
    <row r="4098" spans="2:2" x14ac:dyDescent="0.25">
      <c r="B4098" s="1"/>
    </row>
    <row r="4099" spans="2:2" x14ac:dyDescent="0.25">
      <c r="B4099" s="1"/>
    </row>
    <row r="4100" spans="2:2" x14ac:dyDescent="0.25">
      <c r="B4100" s="1"/>
    </row>
    <row r="4101" spans="2:2" x14ac:dyDescent="0.25">
      <c r="B4101" s="1"/>
    </row>
    <row r="4102" spans="2:2" x14ac:dyDescent="0.25">
      <c r="B4102" s="1"/>
    </row>
    <row r="4103" spans="2:2" x14ac:dyDescent="0.25">
      <c r="B4103" s="1"/>
    </row>
    <row r="4104" spans="2:2" x14ac:dyDescent="0.25">
      <c r="B4104" s="1"/>
    </row>
    <row r="4105" spans="2:2" x14ac:dyDescent="0.25">
      <c r="B4105" s="1"/>
    </row>
    <row r="4106" spans="2:2" x14ac:dyDescent="0.25">
      <c r="B4106" s="1"/>
    </row>
    <row r="4107" spans="2:2" x14ac:dyDescent="0.25">
      <c r="B4107" s="1"/>
    </row>
    <row r="4108" spans="2:2" x14ac:dyDescent="0.25">
      <c r="B4108" s="1"/>
    </row>
    <row r="4109" spans="2:2" x14ac:dyDescent="0.25">
      <c r="B4109" s="1"/>
    </row>
    <row r="4110" spans="2:2" x14ac:dyDescent="0.25">
      <c r="B4110" s="1"/>
    </row>
    <row r="4111" spans="2:2" x14ac:dyDescent="0.25">
      <c r="B4111" s="1"/>
    </row>
    <row r="4112" spans="2:2" x14ac:dyDescent="0.25">
      <c r="B4112" s="1"/>
    </row>
    <row r="4113" spans="2:2" x14ac:dyDescent="0.25">
      <c r="B4113" s="1"/>
    </row>
    <row r="4114" spans="2:2" x14ac:dyDescent="0.25">
      <c r="B4114" s="1"/>
    </row>
    <row r="4115" spans="2:2" x14ac:dyDescent="0.25">
      <c r="B4115" s="1"/>
    </row>
    <row r="4116" spans="2:2" x14ac:dyDescent="0.25">
      <c r="B4116" s="1"/>
    </row>
    <row r="4117" spans="2:2" x14ac:dyDescent="0.25">
      <c r="B4117" s="1"/>
    </row>
    <row r="4118" spans="2:2" x14ac:dyDescent="0.25">
      <c r="B4118" s="1"/>
    </row>
    <row r="4119" spans="2:2" x14ac:dyDescent="0.25">
      <c r="B4119" s="1"/>
    </row>
    <row r="4120" spans="2:2" x14ac:dyDescent="0.25">
      <c r="B4120" s="1"/>
    </row>
    <row r="4121" spans="2:2" x14ac:dyDescent="0.25">
      <c r="B4121" s="1"/>
    </row>
    <row r="4122" spans="2:2" x14ac:dyDescent="0.25">
      <c r="B4122" s="1"/>
    </row>
    <row r="4123" spans="2:2" x14ac:dyDescent="0.25">
      <c r="B4123" s="1"/>
    </row>
    <row r="4124" spans="2:2" x14ac:dyDescent="0.25">
      <c r="B4124" s="1"/>
    </row>
    <row r="4125" spans="2:2" x14ac:dyDescent="0.25">
      <c r="B4125" s="1"/>
    </row>
    <row r="4126" spans="2:2" x14ac:dyDescent="0.25">
      <c r="B4126" s="1"/>
    </row>
    <row r="4127" spans="2:2" x14ac:dyDescent="0.25">
      <c r="B4127" s="1"/>
    </row>
    <row r="4128" spans="2:2" x14ac:dyDescent="0.25">
      <c r="B4128" s="1"/>
    </row>
    <row r="4129" spans="2:2" x14ac:dyDescent="0.25">
      <c r="B4129" s="1"/>
    </row>
    <row r="4130" spans="2:2" x14ac:dyDescent="0.25">
      <c r="B4130" s="1"/>
    </row>
    <row r="4131" spans="2:2" x14ac:dyDescent="0.25">
      <c r="B4131" s="1"/>
    </row>
    <row r="4132" spans="2:2" x14ac:dyDescent="0.25">
      <c r="B4132" s="1"/>
    </row>
    <row r="4133" spans="2:2" x14ac:dyDescent="0.25">
      <c r="B4133" s="1"/>
    </row>
    <row r="4134" spans="2:2" x14ac:dyDescent="0.25">
      <c r="B4134" s="1"/>
    </row>
    <row r="4135" spans="2:2" x14ac:dyDescent="0.25">
      <c r="B4135" s="1"/>
    </row>
    <row r="4136" spans="2:2" x14ac:dyDescent="0.25">
      <c r="B4136" s="1"/>
    </row>
    <row r="4137" spans="2:2" x14ac:dyDescent="0.25">
      <c r="B4137" s="1"/>
    </row>
    <row r="4138" spans="2:2" x14ac:dyDescent="0.25">
      <c r="B4138" s="1"/>
    </row>
    <row r="4139" spans="2:2" x14ac:dyDescent="0.25">
      <c r="B4139" s="1"/>
    </row>
    <row r="4140" spans="2:2" x14ac:dyDescent="0.25">
      <c r="B4140" s="1"/>
    </row>
    <row r="4141" spans="2:2" x14ac:dyDescent="0.25">
      <c r="B4141" s="1"/>
    </row>
    <row r="4142" spans="2:2" x14ac:dyDescent="0.25">
      <c r="B4142" s="1"/>
    </row>
    <row r="4143" spans="2:2" x14ac:dyDescent="0.25">
      <c r="B4143" s="1"/>
    </row>
    <row r="4144" spans="2:2" x14ac:dyDescent="0.25">
      <c r="B4144" s="1"/>
    </row>
    <row r="4145" spans="2:2" x14ac:dyDescent="0.25">
      <c r="B4145" s="1"/>
    </row>
    <row r="4146" spans="2:2" x14ac:dyDescent="0.25">
      <c r="B4146" s="1"/>
    </row>
    <row r="4147" spans="2:2" x14ac:dyDescent="0.25">
      <c r="B4147" s="1"/>
    </row>
    <row r="4148" spans="2:2" x14ac:dyDescent="0.25">
      <c r="B4148" s="1"/>
    </row>
    <row r="4149" spans="2:2" x14ac:dyDescent="0.25">
      <c r="B4149" s="1"/>
    </row>
    <row r="4150" spans="2:2" x14ac:dyDescent="0.25">
      <c r="B4150" s="1"/>
    </row>
    <row r="4151" spans="2:2" x14ac:dyDescent="0.25">
      <c r="B4151" s="1"/>
    </row>
    <row r="4152" spans="2:2" x14ac:dyDescent="0.25">
      <c r="B4152" s="1"/>
    </row>
    <row r="4153" spans="2:2" x14ac:dyDescent="0.25">
      <c r="B4153" s="1"/>
    </row>
    <row r="4154" spans="2:2" x14ac:dyDescent="0.25">
      <c r="B4154" s="1"/>
    </row>
    <row r="4155" spans="2:2" x14ac:dyDescent="0.25">
      <c r="B4155" s="1"/>
    </row>
    <row r="4156" spans="2:2" x14ac:dyDescent="0.25">
      <c r="B4156" s="1"/>
    </row>
    <row r="4157" spans="2:2" x14ac:dyDescent="0.25">
      <c r="B4157" s="1"/>
    </row>
    <row r="4158" spans="2:2" x14ac:dyDescent="0.25">
      <c r="B4158" s="1"/>
    </row>
    <row r="4159" spans="2:2" x14ac:dyDescent="0.25">
      <c r="B4159" s="1"/>
    </row>
    <row r="4160" spans="2:2" x14ac:dyDescent="0.25">
      <c r="B4160" s="1"/>
    </row>
    <row r="4161" spans="2:2" x14ac:dyDescent="0.25">
      <c r="B4161" s="1"/>
    </row>
    <row r="4162" spans="2:2" x14ac:dyDescent="0.25">
      <c r="B4162" s="1"/>
    </row>
    <row r="4163" spans="2:2" x14ac:dyDescent="0.25">
      <c r="B4163" s="1"/>
    </row>
    <row r="4164" spans="2:2" x14ac:dyDescent="0.25">
      <c r="B4164" s="1"/>
    </row>
    <row r="4165" spans="2:2" x14ac:dyDescent="0.25">
      <c r="B4165" s="1"/>
    </row>
    <row r="4166" spans="2:2" x14ac:dyDescent="0.25">
      <c r="B4166" s="1"/>
    </row>
    <row r="4167" spans="2:2" x14ac:dyDescent="0.25">
      <c r="B4167" s="1"/>
    </row>
    <row r="4168" spans="2:2" x14ac:dyDescent="0.25">
      <c r="B4168" s="1"/>
    </row>
    <row r="4169" spans="2:2" x14ac:dyDescent="0.25">
      <c r="B4169" s="1"/>
    </row>
    <row r="4170" spans="2:2" x14ac:dyDescent="0.25">
      <c r="B4170" s="1"/>
    </row>
    <row r="4171" spans="2:2" x14ac:dyDescent="0.25">
      <c r="B4171" s="1"/>
    </row>
    <row r="4172" spans="2:2" x14ac:dyDescent="0.25">
      <c r="B4172" s="1"/>
    </row>
    <row r="4173" spans="2:2" x14ac:dyDescent="0.25">
      <c r="B4173" s="1"/>
    </row>
    <row r="4174" spans="2:2" x14ac:dyDescent="0.25">
      <c r="B4174" s="1"/>
    </row>
    <row r="4175" spans="2:2" x14ac:dyDescent="0.25">
      <c r="B4175" s="1"/>
    </row>
    <row r="4176" spans="2:2" x14ac:dyDescent="0.25">
      <c r="B4176" s="1"/>
    </row>
    <row r="4177" spans="2:2" x14ac:dyDescent="0.25">
      <c r="B4177" s="1"/>
    </row>
    <row r="4178" spans="2:2" x14ac:dyDescent="0.25">
      <c r="B4178" s="1"/>
    </row>
    <row r="4179" spans="2:2" x14ac:dyDescent="0.25">
      <c r="B4179" s="1"/>
    </row>
    <row r="4180" spans="2:2" x14ac:dyDescent="0.25">
      <c r="B4180" s="1"/>
    </row>
    <row r="4181" spans="2:2" x14ac:dyDescent="0.25">
      <c r="B4181" s="1"/>
    </row>
    <row r="4182" spans="2:2" x14ac:dyDescent="0.25">
      <c r="B4182" s="1"/>
    </row>
    <row r="4183" spans="2:2" x14ac:dyDescent="0.25">
      <c r="B4183" s="1"/>
    </row>
    <row r="4184" spans="2:2" x14ac:dyDescent="0.25">
      <c r="B4184" s="1"/>
    </row>
    <row r="4185" spans="2:2" x14ac:dyDescent="0.25">
      <c r="B4185" s="1"/>
    </row>
    <row r="4186" spans="2:2" x14ac:dyDescent="0.25">
      <c r="B4186" s="1"/>
    </row>
    <row r="4187" spans="2:2" x14ac:dyDescent="0.25">
      <c r="B4187" s="1"/>
    </row>
    <row r="4188" spans="2:2" x14ac:dyDescent="0.25">
      <c r="B4188" s="1"/>
    </row>
    <row r="4189" spans="2:2" x14ac:dyDescent="0.25">
      <c r="B4189" s="1"/>
    </row>
    <row r="4190" spans="2:2" x14ac:dyDescent="0.25">
      <c r="B4190" s="1"/>
    </row>
    <row r="4191" spans="2:2" x14ac:dyDescent="0.25">
      <c r="B4191" s="1"/>
    </row>
    <row r="4192" spans="2:2" x14ac:dyDescent="0.25">
      <c r="B4192" s="1"/>
    </row>
    <row r="4193" spans="1:18" x14ac:dyDescent="0.25">
      <c r="A4193">
        <v>1</v>
      </c>
      <c r="B4193" s="1">
        <v>40544</v>
      </c>
      <c r="C4193">
        <v>1</v>
      </c>
      <c r="D4193">
        <v>0</v>
      </c>
      <c r="E4193">
        <v>1</v>
      </c>
      <c r="F4193">
        <v>0</v>
      </c>
      <c r="G4193" t="b">
        <v>0</v>
      </c>
      <c r="H4193">
        <v>6</v>
      </c>
      <c r="I4193">
        <v>1</v>
      </c>
      <c r="J4193">
        <v>0.24</v>
      </c>
      <c r="K4193">
        <v>0.28789999999999999</v>
      </c>
      <c r="L4193">
        <v>0.81</v>
      </c>
      <c r="M4193">
        <v>0</v>
      </c>
      <c r="N4193">
        <v>3</v>
      </c>
      <c r="O4193">
        <v>13</v>
      </c>
      <c r="P4193">
        <v>16</v>
      </c>
      <c r="Q4193">
        <v>0</v>
      </c>
      <c r="R4193">
        <v>1</v>
      </c>
    </row>
    <row r="4194" spans="1:18" x14ac:dyDescent="0.25">
      <c r="A4194">
        <v>2</v>
      </c>
      <c r="B4194" s="1">
        <v>40544</v>
      </c>
      <c r="C4194">
        <v>1</v>
      </c>
      <c r="D4194">
        <v>0</v>
      </c>
      <c r="E4194">
        <v>1</v>
      </c>
      <c r="F4194">
        <v>1</v>
      </c>
      <c r="G4194" t="b">
        <v>0</v>
      </c>
      <c r="H4194">
        <v>6</v>
      </c>
      <c r="I4194">
        <v>1</v>
      </c>
      <c r="J4194">
        <v>0.22</v>
      </c>
      <c r="K4194">
        <v>0.2727</v>
      </c>
      <c r="L4194">
        <v>0.8</v>
      </c>
      <c r="M4194">
        <v>0</v>
      </c>
      <c r="N4194">
        <v>8</v>
      </c>
      <c r="O4194">
        <v>32</v>
      </c>
      <c r="P4194">
        <v>40</v>
      </c>
      <c r="Q4194">
        <v>1</v>
      </c>
      <c r="R4194">
        <v>2</v>
      </c>
    </row>
    <row r="4195" spans="1:18" x14ac:dyDescent="0.25">
      <c r="A4195">
        <v>3</v>
      </c>
      <c r="B4195" s="1">
        <v>40544</v>
      </c>
      <c r="C4195">
        <v>1</v>
      </c>
      <c r="D4195">
        <v>0</v>
      </c>
      <c r="E4195">
        <v>1</v>
      </c>
      <c r="F4195">
        <v>2</v>
      </c>
      <c r="G4195" t="b">
        <v>0</v>
      </c>
      <c r="H4195">
        <v>6</v>
      </c>
      <c r="I4195">
        <v>1</v>
      </c>
      <c r="J4195">
        <v>0.22</v>
      </c>
      <c r="K4195">
        <v>0.2727</v>
      </c>
      <c r="L4195">
        <v>0.8</v>
      </c>
      <c r="M4195">
        <v>0</v>
      </c>
      <c r="N4195">
        <v>5</v>
      </c>
      <c r="O4195">
        <v>27</v>
      </c>
      <c r="P4195">
        <v>32</v>
      </c>
      <c r="Q4195">
        <v>2</v>
      </c>
      <c r="R4195">
        <v>3</v>
      </c>
    </row>
    <row r="4196" spans="1:18" x14ac:dyDescent="0.25">
      <c r="A4196">
        <v>4</v>
      </c>
      <c r="B4196" s="1">
        <v>40544</v>
      </c>
      <c r="C4196">
        <v>1</v>
      </c>
      <c r="D4196">
        <v>0</v>
      </c>
      <c r="E4196">
        <v>1</v>
      </c>
      <c r="F4196">
        <v>3</v>
      </c>
      <c r="G4196" t="b">
        <v>0</v>
      </c>
      <c r="H4196">
        <v>6</v>
      </c>
      <c r="I4196">
        <v>1</v>
      </c>
      <c r="J4196">
        <v>0.24</v>
      </c>
      <c r="K4196">
        <v>0.28789999999999999</v>
      </c>
      <c r="L4196">
        <v>0.75</v>
      </c>
      <c r="M4196">
        <v>0</v>
      </c>
      <c r="N4196">
        <v>3</v>
      </c>
      <c r="O4196">
        <v>10</v>
      </c>
      <c r="P4196">
        <v>13</v>
      </c>
      <c r="Q4196">
        <v>3</v>
      </c>
      <c r="R4196">
        <v>4</v>
      </c>
    </row>
    <row r="4197" spans="1:18" x14ac:dyDescent="0.25">
      <c r="A4197">
        <v>5</v>
      </c>
      <c r="B4197" s="1">
        <v>40544</v>
      </c>
      <c r="C4197">
        <v>1</v>
      </c>
      <c r="D4197">
        <v>0</v>
      </c>
      <c r="E4197">
        <v>1</v>
      </c>
      <c r="F4197">
        <v>4</v>
      </c>
      <c r="G4197" t="b">
        <v>0</v>
      </c>
      <c r="H4197">
        <v>6</v>
      </c>
      <c r="I4197">
        <v>1</v>
      </c>
      <c r="J4197">
        <v>0.24</v>
      </c>
      <c r="K4197">
        <v>0.28789999999999999</v>
      </c>
      <c r="L4197">
        <v>0.75</v>
      </c>
      <c r="M4197">
        <v>0</v>
      </c>
      <c r="N4197">
        <v>0</v>
      </c>
      <c r="O4197">
        <v>1</v>
      </c>
      <c r="P4197">
        <v>1</v>
      </c>
      <c r="Q4197">
        <v>4</v>
      </c>
      <c r="R4197">
        <v>5</v>
      </c>
    </row>
    <row r="4198" spans="1:18" x14ac:dyDescent="0.25">
      <c r="A4198">
        <v>6</v>
      </c>
      <c r="B4198" s="1">
        <v>40544</v>
      </c>
      <c r="C4198">
        <v>1</v>
      </c>
      <c r="D4198">
        <v>0</v>
      </c>
      <c r="E4198">
        <v>1</v>
      </c>
      <c r="F4198">
        <v>5</v>
      </c>
      <c r="G4198" t="b">
        <v>0</v>
      </c>
      <c r="H4198">
        <v>6</v>
      </c>
      <c r="I4198">
        <v>2</v>
      </c>
      <c r="J4198">
        <v>0.24</v>
      </c>
      <c r="K4198">
        <v>0.2576</v>
      </c>
      <c r="L4198">
        <v>0.75</v>
      </c>
      <c r="M4198">
        <v>8.9599999999999999E-2</v>
      </c>
      <c r="N4198">
        <v>0</v>
      </c>
      <c r="O4198">
        <v>1</v>
      </c>
      <c r="P4198">
        <v>1</v>
      </c>
      <c r="Q4198">
        <v>5</v>
      </c>
      <c r="R4198">
        <v>6</v>
      </c>
    </row>
    <row r="4199" spans="1:18" x14ac:dyDescent="0.25">
      <c r="A4199">
        <v>7</v>
      </c>
      <c r="B4199" s="1">
        <v>40544</v>
      </c>
      <c r="C4199">
        <v>1</v>
      </c>
      <c r="D4199">
        <v>0</v>
      </c>
      <c r="E4199">
        <v>1</v>
      </c>
      <c r="F4199">
        <v>6</v>
      </c>
      <c r="G4199" t="b">
        <v>0</v>
      </c>
      <c r="H4199">
        <v>6</v>
      </c>
      <c r="I4199">
        <v>1</v>
      </c>
      <c r="J4199">
        <v>0.22</v>
      </c>
      <c r="K4199">
        <v>0.2727</v>
      </c>
      <c r="L4199">
        <v>0.8</v>
      </c>
      <c r="M4199">
        <v>0</v>
      </c>
      <c r="N4199">
        <v>2</v>
      </c>
      <c r="O4199">
        <v>0</v>
      </c>
      <c r="P4199">
        <v>2</v>
      </c>
      <c r="Q4199">
        <v>6</v>
      </c>
      <c r="R4199">
        <v>7</v>
      </c>
    </row>
    <row r="4200" spans="1:18" x14ac:dyDescent="0.25">
      <c r="A4200">
        <v>8</v>
      </c>
      <c r="B4200" s="1">
        <v>40544</v>
      </c>
      <c r="C4200">
        <v>1</v>
      </c>
      <c r="D4200">
        <v>0</v>
      </c>
      <c r="E4200">
        <v>1</v>
      </c>
      <c r="F4200">
        <v>7</v>
      </c>
      <c r="G4200" t="b">
        <v>0</v>
      </c>
      <c r="H4200">
        <v>6</v>
      </c>
      <c r="I4200">
        <v>1</v>
      </c>
      <c r="J4200">
        <v>0.2</v>
      </c>
      <c r="K4200">
        <v>0.2576</v>
      </c>
      <c r="L4200">
        <v>0.86</v>
      </c>
      <c r="M4200">
        <v>0</v>
      </c>
      <c r="N4200">
        <v>1</v>
      </c>
      <c r="O4200">
        <v>2</v>
      </c>
      <c r="P4200">
        <v>3</v>
      </c>
      <c r="Q4200">
        <v>7</v>
      </c>
      <c r="R4200">
        <v>8</v>
      </c>
    </row>
    <row r="4201" spans="1:18" x14ac:dyDescent="0.25">
      <c r="A4201">
        <v>9</v>
      </c>
      <c r="B4201" s="1">
        <v>40544</v>
      </c>
      <c r="C4201">
        <v>1</v>
      </c>
      <c r="D4201">
        <v>0</v>
      </c>
      <c r="E4201">
        <v>1</v>
      </c>
      <c r="F4201">
        <v>8</v>
      </c>
      <c r="G4201" t="b">
        <v>0</v>
      </c>
      <c r="H4201">
        <v>6</v>
      </c>
      <c r="I4201">
        <v>1</v>
      </c>
      <c r="J4201">
        <v>0.24</v>
      </c>
      <c r="L4201">
        <v>0.75</v>
      </c>
      <c r="M4201">
        <v>0</v>
      </c>
      <c r="N4201">
        <v>1</v>
      </c>
      <c r="O4201">
        <v>7</v>
      </c>
      <c r="P4201">
        <v>8</v>
      </c>
      <c r="Q4201">
        <v>8</v>
      </c>
      <c r="R4201">
        <v>9</v>
      </c>
    </row>
    <row r="4202" spans="1:18" x14ac:dyDescent="0.25">
      <c r="A4202">
        <v>10</v>
      </c>
      <c r="B4202" s="1">
        <v>40544</v>
      </c>
      <c r="C4202">
        <v>1</v>
      </c>
      <c r="D4202">
        <v>0</v>
      </c>
      <c r="E4202">
        <v>1</v>
      </c>
      <c r="F4202">
        <v>9</v>
      </c>
      <c r="G4202" t="b">
        <v>0</v>
      </c>
      <c r="H4202">
        <v>6</v>
      </c>
      <c r="I4202">
        <v>1</v>
      </c>
      <c r="J4202">
        <v>0.32</v>
      </c>
      <c r="K4202">
        <v>0.34849999999999998</v>
      </c>
      <c r="L4202">
        <v>0.76</v>
      </c>
      <c r="M4202">
        <v>0</v>
      </c>
      <c r="N4202">
        <v>8</v>
      </c>
      <c r="O4202">
        <v>6</v>
      </c>
      <c r="P4202">
        <v>14</v>
      </c>
      <c r="Q4202">
        <v>9</v>
      </c>
      <c r="R4202">
        <v>10</v>
      </c>
    </row>
    <row r="4203" spans="1:18" x14ac:dyDescent="0.25">
      <c r="A4203">
        <v>11</v>
      </c>
      <c r="B4203" s="1">
        <v>40544</v>
      </c>
      <c r="C4203">
        <v>1</v>
      </c>
      <c r="D4203">
        <v>0</v>
      </c>
      <c r="E4203">
        <v>1</v>
      </c>
      <c r="F4203">
        <v>10</v>
      </c>
      <c r="G4203" t="b">
        <v>0</v>
      </c>
      <c r="H4203">
        <v>6</v>
      </c>
      <c r="I4203">
        <v>1</v>
      </c>
      <c r="J4203">
        <v>0.38</v>
      </c>
      <c r="K4203">
        <v>0.39389999999999997</v>
      </c>
      <c r="L4203">
        <v>0.76</v>
      </c>
      <c r="M4203">
        <v>0.25369999999999998</v>
      </c>
      <c r="N4203">
        <v>12</v>
      </c>
      <c r="O4203">
        <v>24</v>
      </c>
      <c r="P4203">
        <v>36</v>
      </c>
      <c r="Q4203">
        <v>10</v>
      </c>
      <c r="R4203">
        <v>11</v>
      </c>
    </row>
    <row r="4204" spans="1:18" x14ac:dyDescent="0.25">
      <c r="A4204">
        <v>12</v>
      </c>
      <c r="B4204" s="1">
        <v>40544</v>
      </c>
      <c r="C4204">
        <v>1</v>
      </c>
      <c r="D4204">
        <v>0</v>
      </c>
      <c r="E4204">
        <v>1</v>
      </c>
      <c r="F4204">
        <v>11</v>
      </c>
      <c r="G4204" t="b">
        <v>0</v>
      </c>
      <c r="H4204">
        <v>6</v>
      </c>
      <c r="I4204">
        <v>1</v>
      </c>
      <c r="J4204">
        <v>0.36</v>
      </c>
      <c r="K4204">
        <v>0.33329999999999999</v>
      </c>
      <c r="L4204">
        <v>0.81</v>
      </c>
      <c r="M4204">
        <v>0.28360000000000002</v>
      </c>
      <c r="N4204">
        <v>26</v>
      </c>
      <c r="O4204">
        <v>30</v>
      </c>
      <c r="P4204">
        <v>56</v>
      </c>
      <c r="Q4204">
        <v>11</v>
      </c>
      <c r="R4204">
        <v>12</v>
      </c>
    </row>
    <row r="4205" spans="1:18" x14ac:dyDescent="0.25">
      <c r="A4205">
        <v>13</v>
      </c>
      <c r="B4205" s="1">
        <v>40544</v>
      </c>
      <c r="C4205">
        <v>1</v>
      </c>
      <c r="D4205">
        <v>0</v>
      </c>
      <c r="E4205">
        <v>1</v>
      </c>
      <c r="F4205">
        <v>12</v>
      </c>
      <c r="G4205" t="b">
        <v>0</v>
      </c>
      <c r="H4205">
        <v>6</v>
      </c>
      <c r="I4205">
        <v>1</v>
      </c>
      <c r="J4205">
        <v>0.42</v>
      </c>
      <c r="K4205">
        <v>0.42420000000000002</v>
      </c>
      <c r="L4205">
        <v>0.77</v>
      </c>
      <c r="M4205">
        <v>0.28360000000000002</v>
      </c>
      <c r="N4205">
        <v>29</v>
      </c>
      <c r="O4205">
        <v>55</v>
      </c>
      <c r="P4205">
        <v>84</v>
      </c>
      <c r="Q4205">
        <v>12</v>
      </c>
      <c r="R4205">
        <v>13</v>
      </c>
    </row>
    <row r="4206" spans="1:18" x14ac:dyDescent="0.25">
      <c r="A4206">
        <v>14</v>
      </c>
      <c r="B4206" s="1">
        <v>40544</v>
      </c>
      <c r="C4206">
        <v>1</v>
      </c>
      <c r="D4206">
        <v>0</v>
      </c>
      <c r="E4206">
        <v>1</v>
      </c>
      <c r="F4206">
        <v>13</v>
      </c>
      <c r="G4206" t="b">
        <v>0</v>
      </c>
      <c r="H4206">
        <v>6</v>
      </c>
      <c r="I4206">
        <v>2</v>
      </c>
      <c r="J4206">
        <v>0.46</v>
      </c>
      <c r="K4206">
        <v>0.45450000000000002</v>
      </c>
      <c r="L4206">
        <v>0.72</v>
      </c>
      <c r="M4206">
        <v>0.29849999999999999</v>
      </c>
      <c r="N4206">
        <v>47</v>
      </c>
      <c r="O4206">
        <v>47</v>
      </c>
      <c r="P4206">
        <v>94</v>
      </c>
      <c r="Q4206">
        <v>13</v>
      </c>
      <c r="R4206">
        <v>14</v>
      </c>
    </row>
    <row r="4207" spans="1:18" x14ac:dyDescent="0.25">
      <c r="A4207">
        <v>15</v>
      </c>
      <c r="B4207" s="1">
        <v>40544</v>
      </c>
      <c r="C4207">
        <v>1</v>
      </c>
      <c r="D4207">
        <v>0</v>
      </c>
      <c r="E4207">
        <v>1</v>
      </c>
      <c r="F4207">
        <v>14</v>
      </c>
      <c r="G4207" t="b">
        <v>0</v>
      </c>
      <c r="H4207">
        <v>6</v>
      </c>
      <c r="I4207">
        <v>2</v>
      </c>
      <c r="J4207">
        <v>0.46</v>
      </c>
      <c r="K4207">
        <v>0.45450000000000002</v>
      </c>
      <c r="L4207">
        <v>0.72</v>
      </c>
      <c r="M4207">
        <v>0.28360000000000002</v>
      </c>
      <c r="N4207">
        <v>35</v>
      </c>
      <c r="O4207">
        <v>71</v>
      </c>
      <c r="P4207">
        <v>106</v>
      </c>
      <c r="Q4207">
        <v>14</v>
      </c>
      <c r="R4207">
        <v>15</v>
      </c>
    </row>
    <row r="4208" spans="1:18" x14ac:dyDescent="0.25">
      <c r="A4208">
        <v>16</v>
      </c>
      <c r="B4208" s="1">
        <v>40544</v>
      </c>
      <c r="C4208">
        <v>1</v>
      </c>
      <c r="D4208">
        <v>0</v>
      </c>
      <c r="E4208">
        <v>1</v>
      </c>
      <c r="F4208">
        <v>15</v>
      </c>
      <c r="G4208" t="b">
        <v>0</v>
      </c>
      <c r="H4208">
        <v>6</v>
      </c>
      <c r="I4208">
        <v>2</v>
      </c>
      <c r="J4208">
        <v>0.44</v>
      </c>
      <c r="K4208">
        <v>0.43940000000000001</v>
      </c>
      <c r="L4208">
        <v>0.77</v>
      </c>
      <c r="M4208">
        <v>0.29849999999999999</v>
      </c>
      <c r="N4208">
        <v>40</v>
      </c>
      <c r="O4208">
        <v>70</v>
      </c>
      <c r="P4208">
        <v>110</v>
      </c>
      <c r="Q4208">
        <v>15</v>
      </c>
      <c r="R4208">
        <v>16</v>
      </c>
    </row>
    <row r="4209" spans="1:18" x14ac:dyDescent="0.25">
      <c r="A4209">
        <v>17</v>
      </c>
      <c r="B4209" s="1">
        <v>40544</v>
      </c>
      <c r="C4209">
        <v>1</v>
      </c>
      <c r="D4209">
        <v>0</v>
      </c>
      <c r="E4209">
        <v>1</v>
      </c>
      <c r="F4209">
        <v>16</v>
      </c>
      <c r="G4209" t="b">
        <v>0</v>
      </c>
      <c r="H4209">
        <v>6</v>
      </c>
      <c r="I4209">
        <v>2</v>
      </c>
      <c r="J4209">
        <v>0.42</v>
      </c>
      <c r="K4209">
        <v>0.42420000000000002</v>
      </c>
      <c r="L4209">
        <v>0.82</v>
      </c>
      <c r="M4209">
        <v>0.29849999999999999</v>
      </c>
      <c r="N4209">
        <v>41</v>
      </c>
      <c r="O4209">
        <v>52</v>
      </c>
      <c r="P4209">
        <v>93</v>
      </c>
      <c r="Q4209">
        <v>16</v>
      </c>
      <c r="R4209">
        <v>17</v>
      </c>
    </row>
    <row r="4210" spans="1:18" x14ac:dyDescent="0.25">
      <c r="A4210">
        <v>18</v>
      </c>
      <c r="B4210" s="1">
        <v>40544</v>
      </c>
      <c r="C4210">
        <v>1</v>
      </c>
      <c r="D4210">
        <v>0</v>
      </c>
      <c r="E4210">
        <v>1</v>
      </c>
      <c r="F4210">
        <v>17</v>
      </c>
      <c r="G4210" t="b">
        <v>0</v>
      </c>
      <c r="H4210">
        <v>6</v>
      </c>
      <c r="I4210">
        <v>2</v>
      </c>
      <c r="J4210">
        <v>0.44</v>
      </c>
      <c r="L4210">
        <v>0.82</v>
      </c>
      <c r="M4210">
        <v>0.28360000000000002</v>
      </c>
      <c r="N4210">
        <v>15</v>
      </c>
      <c r="O4210">
        <v>52</v>
      </c>
      <c r="P4210">
        <v>67</v>
      </c>
      <c r="Q4210">
        <v>17</v>
      </c>
      <c r="R4210">
        <v>18</v>
      </c>
    </row>
    <row r="4211" spans="1:18" x14ac:dyDescent="0.25">
      <c r="A4211">
        <v>19</v>
      </c>
      <c r="B4211" s="1">
        <v>40544</v>
      </c>
      <c r="C4211">
        <v>1</v>
      </c>
      <c r="D4211">
        <v>0</v>
      </c>
      <c r="E4211">
        <v>1</v>
      </c>
      <c r="F4211">
        <v>18</v>
      </c>
      <c r="G4211" t="b">
        <v>0</v>
      </c>
      <c r="H4211">
        <v>6</v>
      </c>
      <c r="I4211">
        <v>3</v>
      </c>
      <c r="J4211">
        <v>0.42</v>
      </c>
      <c r="K4211">
        <v>0.42420000000000002</v>
      </c>
      <c r="L4211">
        <v>0.88</v>
      </c>
      <c r="M4211">
        <v>0.25369999999999998</v>
      </c>
      <c r="N4211">
        <v>9</v>
      </c>
      <c r="O4211">
        <v>26</v>
      </c>
      <c r="P4211">
        <v>35</v>
      </c>
      <c r="Q4211">
        <v>18</v>
      </c>
      <c r="R4211">
        <v>19</v>
      </c>
    </row>
    <row r="4212" spans="1:18" x14ac:dyDescent="0.25">
      <c r="A4212">
        <v>20</v>
      </c>
      <c r="B4212" s="1">
        <v>40544</v>
      </c>
      <c r="C4212">
        <v>1</v>
      </c>
      <c r="D4212">
        <v>0</v>
      </c>
      <c r="E4212">
        <v>1</v>
      </c>
      <c r="F4212">
        <v>19</v>
      </c>
      <c r="G4212" t="b">
        <v>0</v>
      </c>
      <c r="H4212">
        <v>6</v>
      </c>
      <c r="I4212">
        <v>3</v>
      </c>
      <c r="J4212">
        <v>0.42</v>
      </c>
      <c r="K4212">
        <v>0.42420000000000002</v>
      </c>
      <c r="L4212">
        <v>0.88</v>
      </c>
      <c r="M4212">
        <v>0.25369999999999998</v>
      </c>
      <c r="N4212">
        <v>6</v>
      </c>
      <c r="O4212">
        <v>31</v>
      </c>
      <c r="P4212">
        <v>37</v>
      </c>
      <c r="Q4212">
        <v>19</v>
      </c>
      <c r="R4212">
        <v>20</v>
      </c>
    </row>
    <row r="4213" spans="1:18" x14ac:dyDescent="0.25">
      <c r="A4213">
        <v>21</v>
      </c>
      <c r="B4213" s="1">
        <v>40544</v>
      </c>
      <c r="C4213">
        <v>1</v>
      </c>
      <c r="D4213">
        <v>0</v>
      </c>
      <c r="E4213">
        <v>1</v>
      </c>
      <c r="F4213">
        <v>20</v>
      </c>
      <c r="G4213" t="b">
        <v>0</v>
      </c>
      <c r="H4213">
        <v>6</v>
      </c>
      <c r="I4213">
        <v>2</v>
      </c>
      <c r="J4213">
        <v>0.4</v>
      </c>
      <c r="K4213">
        <v>0.40910000000000002</v>
      </c>
      <c r="L4213">
        <v>0.87</v>
      </c>
      <c r="M4213">
        <v>0.25369999999999998</v>
      </c>
      <c r="N4213">
        <v>11</v>
      </c>
      <c r="O4213">
        <v>25</v>
      </c>
      <c r="P4213">
        <v>36</v>
      </c>
      <c r="Q4213">
        <v>20</v>
      </c>
      <c r="R4213">
        <v>21</v>
      </c>
    </row>
    <row r="4214" spans="1:18" x14ac:dyDescent="0.25">
      <c r="A4214">
        <v>22</v>
      </c>
      <c r="B4214" s="1">
        <v>40544</v>
      </c>
      <c r="C4214">
        <v>1</v>
      </c>
      <c r="D4214">
        <v>0</v>
      </c>
      <c r="E4214">
        <v>1</v>
      </c>
      <c r="F4214">
        <v>21</v>
      </c>
      <c r="G4214" t="b">
        <v>0</v>
      </c>
      <c r="H4214">
        <v>6</v>
      </c>
      <c r="I4214">
        <v>2</v>
      </c>
      <c r="J4214">
        <v>0.4</v>
      </c>
      <c r="K4214">
        <v>0.40910000000000002</v>
      </c>
      <c r="L4214">
        <v>0.87</v>
      </c>
      <c r="M4214">
        <v>0.19400000000000001</v>
      </c>
      <c r="N4214">
        <v>3</v>
      </c>
      <c r="O4214">
        <v>31</v>
      </c>
      <c r="P4214">
        <v>34</v>
      </c>
      <c r="Q4214">
        <v>21</v>
      </c>
      <c r="R4214">
        <v>22</v>
      </c>
    </row>
    <row r="4215" spans="1:18" x14ac:dyDescent="0.25">
      <c r="A4215">
        <v>23</v>
      </c>
      <c r="B4215" s="1">
        <v>40544</v>
      </c>
      <c r="C4215">
        <v>1</v>
      </c>
      <c r="D4215">
        <v>0</v>
      </c>
      <c r="E4215">
        <v>1</v>
      </c>
      <c r="F4215">
        <v>22</v>
      </c>
      <c r="G4215" t="b">
        <v>0</v>
      </c>
      <c r="H4215">
        <v>6</v>
      </c>
      <c r="I4215">
        <v>2</v>
      </c>
      <c r="J4215">
        <v>0.4</v>
      </c>
      <c r="K4215">
        <v>0.40910000000000002</v>
      </c>
      <c r="L4215">
        <v>0.94</v>
      </c>
      <c r="M4215">
        <v>0.22389999999999999</v>
      </c>
      <c r="N4215">
        <v>11</v>
      </c>
      <c r="O4215">
        <v>17</v>
      </c>
      <c r="P4215">
        <v>28</v>
      </c>
      <c r="Q4215">
        <v>22</v>
      </c>
      <c r="R4215">
        <v>23</v>
      </c>
    </row>
    <row r="4216" spans="1:18" x14ac:dyDescent="0.25">
      <c r="A4216">
        <v>24</v>
      </c>
      <c r="B4216" s="1">
        <v>40544</v>
      </c>
      <c r="C4216">
        <v>1</v>
      </c>
      <c r="D4216">
        <v>0</v>
      </c>
      <c r="E4216">
        <v>1</v>
      </c>
      <c r="F4216">
        <v>23</v>
      </c>
      <c r="G4216" t="b">
        <v>0</v>
      </c>
      <c r="H4216">
        <v>6</v>
      </c>
      <c r="I4216">
        <v>2</v>
      </c>
      <c r="J4216">
        <v>0.46</v>
      </c>
      <c r="L4216">
        <v>0.88</v>
      </c>
      <c r="M4216">
        <v>0.29849999999999999</v>
      </c>
      <c r="N4216">
        <v>15</v>
      </c>
      <c r="O4216">
        <v>24</v>
      </c>
      <c r="P4216">
        <v>39</v>
      </c>
      <c r="Q4216">
        <v>23</v>
      </c>
      <c r="R4216">
        <v>24</v>
      </c>
    </row>
    <row r="4217" spans="1:18" x14ac:dyDescent="0.25">
      <c r="A4217">
        <v>25</v>
      </c>
      <c r="B4217" s="1">
        <v>40545</v>
      </c>
      <c r="C4217">
        <v>1</v>
      </c>
      <c r="D4217">
        <v>0</v>
      </c>
      <c r="E4217">
        <v>1</v>
      </c>
      <c r="F4217">
        <v>0</v>
      </c>
      <c r="G4217" t="b">
        <v>0</v>
      </c>
      <c r="H4217">
        <v>0</v>
      </c>
      <c r="I4217">
        <v>2</v>
      </c>
      <c r="J4217">
        <v>0.46</v>
      </c>
      <c r="K4217">
        <v>0.45450000000000002</v>
      </c>
      <c r="L4217">
        <v>0.88</v>
      </c>
      <c r="M4217">
        <v>0.29849999999999999</v>
      </c>
      <c r="N4217">
        <v>4</v>
      </c>
      <c r="O4217">
        <v>13</v>
      </c>
      <c r="P4217">
        <v>17</v>
      </c>
      <c r="Q4217">
        <v>24</v>
      </c>
      <c r="R4217">
        <v>25</v>
      </c>
    </row>
    <row r="4218" spans="1:18" x14ac:dyDescent="0.25">
      <c r="A4218">
        <v>26</v>
      </c>
      <c r="B4218" s="1">
        <v>40545</v>
      </c>
      <c r="C4218">
        <v>1</v>
      </c>
      <c r="D4218">
        <v>0</v>
      </c>
      <c r="E4218">
        <v>1</v>
      </c>
      <c r="F4218">
        <v>1</v>
      </c>
      <c r="G4218" t="b">
        <v>0</v>
      </c>
      <c r="H4218">
        <v>0</v>
      </c>
      <c r="I4218">
        <v>2</v>
      </c>
      <c r="J4218">
        <v>0.44</v>
      </c>
      <c r="K4218">
        <v>0.43940000000000001</v>
      </c>
      <c r="L4218">
        <v>0.94</v>
      </c>
      <c r="M4218">
        <v>0.25369999999999998</v>
      </c>
      <c r="N4218">
        <v>1</v>
      </c>
      <c r="O4218">
        <v>16</v>
      </c>
      <c r="P4218">
        <v>17</v>
      </c>
      <c r="Q4218">
        <v>25</v>
      </c>
      <c r="R4218">
        <v>26</v>
      </c>
    </row>
    <row r="4219" spans="1:18" x14ac:dyDescent="0.25">
      <c r="A4219">
        <v>27</v>
      </c>
      <c r="B4219" s="1">
        <v>40545</v>
      </c>
      <c r="C4219">
        <v>1</v>
      </c>
      <c r="D4219">
        <v>0</v>
      </c>
      <c r="E4219">
        <v>1</v>
      </c>
      <c r="F4219">
        <v>2</v>
      </c>
      <c r="G4219" t="b">
        <v>0</v>
      </c>
      <c r="H4219">
        <v>0</v>
      </c>
      <c r="I4219">
        <v>2</v>
      </c>
      <c r="J4219">
        <v>0.42</v>
      </c>
      <c r="K4219">
        <v>0.42420000000000002</v>
      </c>
      <c r="L4219">
        <v>1</v>
      </c>
      <c r="M4219">
        <v>0.28360000000000002</v>
      </c>
      <c r="N4219">
        <v>1</v>
      </c>
      <c r="O4219">
        <v>8</v>
      </c>
      <c r="P4219">
        <v>9</v>
      </c>
      <c r="Q4219">
        <v>26</v>
      </c>
      <c r="R4219">
        <v>27</v>
      </c>
    </row>
    <row r="4220" spans="1:18" x14ac:dyDescent="0.25">
      <c r="A4220">
        <v>28</v>
      </c>
      <c r="B4220" s="1">
        <v>40545</v>
      </c>
      <c r="C4220">
        <v>1</v>
      </c>
      <c r="D4220">
        <v>0</v>
      </c>
      <c r="E4220">
        <v>1</v>
      </c>
      <c r="F4220">
        <v>3</v>
      </c>
      <c r="G4220" t="b">
        <v>0</v>
      </c>
      <c r="H4220">
        <v>0</v>
      </c>
      <c r="I4220">
        <v>2</v>
      </c>
      <c r="J4220">
        <v>0.46</v>
      </c>
      <c r="K4220">
        <v>0.45450000000000002</v>
      </c>
      <c r="L4220">
        <v>0.94</v>
      </c>
      <c r="M4220">
        <v>0.19400000000000001</v>
      </c>
      <c r="N4220">
        <v>2</v>
      </c>
      <c r="O4220">
        <v>4</v>
      </c>
      <c r="P4220">
        <v>6</v>
      </c>
      <c r="Q4220">
        <v>27</v>
      </c>
      <c r="R4220">
        <v>28</v>
      </c>
    </row>
    <row r="4221" spans="1:18" x14ac:dyDescent="0.25">
      <c r="A4221">
        <v>29</v>
      </c>
      <c r="B4221" s="1">
        <v>40545</v>
      </c>
      <c r="C4221">
        <v>1</v>
      </c>
      <c r="D4221">
        <v>0</v>
      </c>
      <c r="E4221">
        <v>1</v>
      </c>
      <c r="F4221">
        <v>4</v>
      </c>
      <c r="G4221" t="b">
        <v>0</v>
      </c>
      <c r="H4221">
        <v>0</v>
      </c>
      <c r="I4221">
        <v>2</v>
      </c>
      <c r="J4221">
        <v>0.46</v>
      </c>
      <c r="L4221">
        <v>0.94</v>
      </c>
      <c r="M4221">
        <v>0.19400000000000001</v>
      </c>
      <c r="N4221">
        <v>2</v>
      </c>
      <c r="O4221">
        <v>1</v>
      </c>
      <c r="P4221">
        <v>3</v>
      </c>
      <c r="Q4221">
        <v>28</v>
      </c>
      <c r="R4221">
        <v>29</v>
      </c>
    </row>
    <row r="4222" spans="1:18" x14ac:dyDescent="0.25">
      <c r="A4222">
        <v>30</v>
      </c>
      <c r="B4222" s="1">
        <v>40545</v>
      </c>
      <c r="C4222">
        <v>1</v>
      </c>
      <c r="D4222">
        <v>0</v>
      </c>
      <c r="E4222">
        <v>1</v>
      </c>
      <c r="F4222">
        <v>6</v>
      </c>
      <c r="G4222" t="b">
        <v>0</v>
      </c>
      <c r="H4222">
        <v>0</v>
      </c>
      <c r="I4222">
        <v>3</v>
      </c>
      <c r="J4222">
        <v>0.42</v>
      </c>
      <c r="K4222">
        <v>0.42420000000000002</v>
      </c>
      <c r="L4222">
        <v>0.77</v>
      </c>
      <c r="M4222">
        <v>0.29849999999999999</v>
      </c>
      <c r="N4222">
        <v>0</v>
      </c>
      <c r="O4222">
        <v>2</v>
      </c>
      <c r="P4222">
        <v>2</v>
      </c>
      <c r="Q4222">
        <v>29</v>
      </c>
      <c r="R4222">
        <v>30</v>
      </c>
    </row>
    <row r="4223" spans="1:18" x14ac:dyDescent="0.25">
      <c r="A4223">
        <v>31</v>
      </c>
      <c r="B4223" s="1">
        <v>40545</v>
      </c>
      <c r="C4223">
        <v>1</v>
      </c>
      <c r="D4223">
        <v>0</v>
      </c>
      <c r="E4223">
        <v>1</v>
      </c>
      <c r="F4223">
        <v>7</v>
      </c>
      <c r="G4223" t="b">
        <v>0</v>
      </c>
      <c r="H4223">
        <v>0</v>
      </c>
      <c r="I4223">
        <v>2</v>
      </c>
      <c r="J4223">
        <v>0.4</v>
      </c>
      <c r="K4223">
        <v>0.40910000000000002</v>
      </c>
      <c r="L4223">
        <v>0.76</v>
      </c>
      <c r="M4223">
        <v>0.19400000000000001</v>
      </c>
      <c r="N4223">
        <v>0</v>
      </c>
      <c r="O4223">
        <v>1</v>
      </c>
      <c r="P4223">
        <v>1</v>
      </c>
      <c r="Q4223">
        <v>30</v>
      </c>
      <c r="R4223">
        <v>31</v>
      </c>
    </row>
    <row r="4224" spans="1:18" x14ac:dyDescent="0.25">
      <c r="A4224">
        <v>32</v>
      </c>
      <c r="B4224" s="1">
        <v>40545</v>
      </c>
      <c r="C4224">
        <v>1</v>
      </c>
      <c r="D4224">
        <v>0</v>
      </c>
      <c r="E4224">
        <v>1</v>
      </c>
      <c r="F4224">
        <v>8</v>
      </c>
      <c r="G4224" t="b">
        <v>0</v>
      </c>
      <c r="H4224">
        <v>0</v>
      </c>
      <c r="I4224">
        <v>3</v>
      </c>
      <c r="J4224">
        <v>0.4</v>
      </c>
      <c r="K4224">
        <v>0.40910000000000002</v>
      </c>
      <c r="L4224">
        <v>0.71</v>
      </c>
      <c r="M4224">
        <v>0.22389999999999999</v>
      </c>
      <c r="N4224">
        <v>0</v>
      </c>
      <c r="O4224">
        <v>8</v>
      </c>
      <c r="P4224">
        <v>8</v>
      </c>
      <c r="Q4224">
        <v>31</v>
      </c>
      <c r="R4224">
        <v>32</v>
      </c>
    </row>
    <row r="4225" spans="1:18" x14ac:dyDescent="0.25">
      <c r="A4225">
        <v>33</v>
      </c>
      <c r="B4225" s="1">
        <v>40545</v>
      </c>
      <c r="C4225">
        <v>1</v>
      </c>
      <c r="D4225">
        <v>0</v>
      </c>
      <c r="E4225">
        <v>1</v>
      </c>
      <c r="F4225">
        <v>9</v>
      </c>
      <c r="G4225" t="b">
        <v>0</v>
      </c>
      <c r="H4225">
        <v>0</v>
      </c>
      <c r="I4225">
        <v>2</v>
      </c>
      <c r="J4225">
        <v>0.38</v>
      </c>
      <c r="L4225">
        <v>0.76</v>
      </c>
      <c r="M4225">
        <v>0.22389999999999999</v>
      </c>
      <c r="N4225">
        <v>1</v>
      </c>
      <c r="O4225">
        <v>19</v>
      </c>
      <c r="P4225">
        <v>20</v>
      </c>
      <c r="Q4225">
        <v>32</v>
      </c>
      <c r="R4225">
        <v>33</v>
      </c>
    </row>
    <row r="4226" spans="1:18" x14ac:dyDescent="0.25">
      <c r="A4226">
        <v>34</v>
      </c>
      <c r="B4226" s="1">
        <v>40545</v>
      </c>
      <c r="C4226">
        <v>1</v>
      </c>
      <c r="D4226">
        <v>0</v>
      </c>
      <c r="E4226">
        <v>1</v>
      </c>
      <c r="F4226">
        <v>10</v>
      </c>
      <c r="G4226" t="b">
        <v>0</v>
      </c>
      <c r="H4226">
        <v>0</v>
      </c>
      <c r="I4226">
        <v>2</v>
      </c>
      <c r="J4226">
        <v>0.36</v>
      </c>
      <c r="K4226">
        <v>0.34849999999999998</v>
      </c>
      <c r="L4226">
        <v>0.81</v>
      </c>
      <c r="M4226">
        <v>0.22389999999999999</v>
      </c>
      <c r="N4226">
        <v>7</v>
      </c>
      <c r="O4226">
        <v>46</v>
      </c>
      <c r="P4226">
        <v>53</v>
      </c>
      <c r="Q4226">
        <v>33</v>
      </c>
      <c r="R4226">
        <v>34</v>
      </c>
    </row>
    <row r="4227" spans="1:18" x14ac:dyDescent="0.25">
      <c r="A4227">
        <v>35</v>
      </c>
      <c r="B4227" s="1">
        <v>40545</v>
      </c>
      <c r="C4227">
        <v>1</v>
      </c>
      <c r="D4227">
        <v>0</v>
      </c>
      <c r="E4227">
        <v>1</v>
      </c>
      <c r="F4227">
        <v>11</v>
      </c>
      <c r="G4227" t="b">
        <v>0</v>
      </c>
      <c r="H4227">
        <v>0</v>
      </c>
      <c r="I4227">
        <v>2</v>
      </c>
      <c r="J4227">
        <v>0.36</v>
      </c>
      <c r="K4227">
        <v>0.33329999999999999</v>
      </c>
      <c r="L4227">
        <v>0.71</v>
      </c>
      <c r="M4227">
        <v>0.25369999999999998</v>
      </c>
      <c r="N4227">
        <v>16</v>
      </c>
      <c r="O4227">
        <v>54</v>
      </c>
      <c r="P4227">
        <v>70</v>
      </c>
      <c r="Q4227">
        <v>34</v>
      </c>
      <c r="R4227">
        <v>35</v>
      </c>
    </row>
    <row r="4228" spans="1:18" x14ac:dyDescent="0.25">
      <c r="A4228">
        <v>36</v>
      </c>
      <c r="B4228" s="1">
        <v>40545</v>
      </c>
      <c r="C4228">
        <v>1</v>
      </c>
      <c r="D4228">
        <v>0</v>
      </c>
      <c r="E4228">
        <v>1</v>
      </c>
      <c r="F4228">
        <v>12</v>
      </c>
      <c r="G4228" t="b">
        <v>0</v>
      </c>
      <c r="H4228">
        <v>0</v>
      </c>
      <c r="I4228">
        <v>2</v>
      </c>
      <c r="J4228">
        <v>0.36</v>
      </c>
      <c r="K4228">
        <v>0.33329999999999999</v>
      </c>
      <c r="L4228">
        <v>0.66</v>
      </c>
      <c r="M4228">
        <v>0.29849999999999999</v>
      </c>
      <c r="N4228">
        <v>20</v>
      </c>
      <c r="O4228">
        <v>73</v>
      </c>
      <c r="P4228">
        <v>93</v>
      </c>
      <c r="Q4228">
        <v>35</v>
      </c>
      <c r="R4228">
        <v>36</v>
      </c>
    </row>
    <row r="4229" spans="1:18" x14ac:dyDescent="0.25">
      <c r="A4229">
        <v>37</v>
      </c>
      <c r="B4229" s="1">
        <v>40545</v>
      </c>
      <c r="C4229">
        <v>1</v>
      </c>
      <c r="D4229">
        <v>0</v>
      </c>
      <c r="E4229">
        <v>1</v>
      </c>
      <c r="F4229">
        <v>13</v>
      </c>
      <c r="G4229" t="b">
        <v>0</v>
      </c>
      <c r="H4229">
        <v>0</v>
      </c>
      <c r="I4229">
        <v>2</v>
      </c>
      <c r="J4229">
        <v>0.36</v>
      </c>
      <c r="K4229">
        <v>0.34849999999999998</v>
      </c>
      <c r="L4229">
        <v>0.66</v>
      </c>
      <c r="M4229">
        <v>0.1343</v>
      </c>
      <c r="N4229">
        <v>11</v>
      </c>
      <c r="O4229">
        <v>64</v>
      </c>
      <c r="P4229">
        <v>75</v>
      </c>
      <c r="Q4229">
        <v>36</v>
      </c>
      <c r="R4229">
        <v>37</v>
      </c>
    </row>
    <row r="4230" spans="1:18" x14ac:dyDescent="0.25">
      <c r="A4230">
        <v>38</v>
      </c>
      <c r="B4230" s="1">
        <v>40545</v>
      </c>
      <c r="C4230">
        <v>1</v>
      </c>
      <c r="D4230">
        <v>0</v>
      </c>
      <c r="E4230">
        <v>1</v>
      </c>
      <c r="F4230">
        <v>14</v>
      </c>
      <c r="G4230" t="b">
        <v>0</v>
      </c>
      <c r="H4230">
        <v>0</v>
      </c>
      <c r="I4230">
        <v>3</v>
      </c>
      <c r="J4230">
        <v>0.36</v>
      </c>
      <c r="L4230">
        <v>0.76</v>
      </c>
      <c r="M4230">
        <v>0.19400000000000001</v>
      </c>
      <c r="N4230">
        <v>4</v>
      </c>
      <c r="O4230">
        <v>55</v>
      </c>
      <c r="P4230">
        <v>59</v>
      </c>
      <c r="Q4230">
        <v>37</v>
      </c>
      <c r="R4230">
        <v>38</v>
      </c>
    </row>
    <row r="4231" spans="1:18" x14ac:dyDescent="0.25">
      <c r="A4231">
        <v>39</v>
      </c>
      <c r="B4231" s="1">
        <v>40545</v>
      </c>
      <c r="C4231">
        <v>1</v>
      </c>
      <c r="D4231">
        <v>0</v>
      </c>
      <c r="E4231">
        <v>1</v>
      </c>
      <c r="F4231">
        <v>15</v>
      </c>
      <c r="G4231" t="b">
        <v>0</v>
      </c>
      <c r="H4231">
        <v>0</v>
      </c>
      <c r="I4231">
        <v>3</v>
      </c>
      <c r="J4231">
        <v>0.34</v>
      </c>
      <c r="K4231">
        <v>0.33329999999999999</v>
      </c>
      <c r="L4231">
        <v>0.81</v>
      </c>
      <c r="M4231">
        <v>0.16420000000000001</v>
      </c>
      <c r="N4231">
        <v>19</v>
      </c>
      <c r="O4231">
        <v>55</v>
      </c>
      <c r="P4231">
        <v>74</v>
      </c>
      <c r="Q4231">
        <v>38</v>
      </c>
      <c r="R4231">
        <v>39</v>
      </c>
    </row>
    <row r="4232" spans="1:18" x14ac:dyDescent="0.25">
      <c r="A4232">
        <v>40</v>
      </c>
      <c r="B4232" s="1">
        <v>40545</v>
      </c>
      <c r="C4232">
        <v>1</v>
      </c>
      <c r="D4232">
        <v>0</v>
      </c>
      <c r="E4232">
        <v>1</v>
      </c>
      <c r="F4232">
        <v>16</v>
      </c>
      <c r="G4232" t="b">
        <v>0</v>
      </c>
      <c r="H4232">
        <v>0</v>
      </c>
      <c r="I4232">
        <v>3</v>
      </c>
      <c r="J4232">
        <v>0.34</v>
      </c>
      <c r="K4232">
        <v>0.33329999999999999</v>
      </c>
      <c r="L4232">
        <v>0.71</v>
      </c>
      <c r="M4232">
        <v>0.16420000000000001</v>
      </c>
      <c r="N4232">
        <v>9</v>
      </c>
      <c r="O4232">
        <v>67</v>
      </c>
      <c r="P4232">
        <v>76</v>
      </c>
      <c r="Q4232">
        <v>39</v>
      </c>
      <c r="R4232">
        <v>40</v>
      </c>
    </row>
    <row r="4233" spans="1:18" x14ac:dyDescent="0.25">
      <c r="A4233">
        <v>41</v>
      </c>
      <c r="B4233" s="1">
        <v>40545</v>
      </c>
      <c r="C4233">
        <v>1</v>
      </c>
      <c r="D4233">
        <v>0</v>
      </c>
      <c r="E4233">
        <v>1</v>
      </c>
      <c r="F4233">
        <v>17</v>
      </c>
      <c r="G4233" t="b">
        <v>0</v>
      </c>
      <c r="H4233">
        <v>0</v>
      </c>
      <c r="I4233">
        <v>1</v>
      </c>
      <c r="J4233">
        <v>0.34</v>
      </c>
      <c r="K4233">
        <v>0.33329999999999999</v>
      </c>
      <c r="L4233">
        <v>0.56999999999999995</v>
      </c>
      <c r="M4233">
        <v>0.19400000000000001</v>
      </c>
      <c r="N4233">
        <v>7</v>
      </c>
      <c r="O4233">
        <v>58</v>
      </c>
      <c r="P4233">
        <v>65</v>
      </c>
      <c r="Q4233">
        <v>40</v>
      </c>
      <c r="R4233">
        <v>41</v>
      </c>
    </row>
    <row r="4234" spans="1:18" x14ac:dyDescent="0.25">
      <c r="A4234">
        <v>42</v>
      </c>
      <c r="B4234" s="1">
        <v>40545</v>
      </c>
      <c r="C4234">
        <v>1</v>
      </c>
      <c r="D4234">
        <v>0</v>
      </c>
      <c r="E4234">
        <v>1</v>
      </c>
      <c r="F4234">
        <v>18</v>
      </c>
      <c r="G4234" t="b">
        <v>0</v>
      </c>
      <c r="H4234">
        <v>0</v>
      </c>
      <c r="I4234">
        <v>2</v>
      </c>
      <c r="J4234">
        <v>0.36</v>
      </c>
      <c r="K4234">
        <v>0.33329999999999999</v>
      </c>
      <c r="L4234">
        <v>0.46</v>
      </c>
      <c r="M4234">
        <v>0.32840000000000003</v>
      </c>
      <c r="N4234">
        <v>10</v>
      </c>
      <c r="O4234">
        <v>43</v>
      </c>
      <c r="P4234">
        <v>53</v>
      </c>
      <c r="Q4234">
        <v>41</v>
      </c>
      <c r="R4234">
        <v>42</v>
      </c>
    </row>
    <row r="4235" spans="1:18" x14ac:dyDescent="0.25">
      <c r="A4235">
        <v>43</v>
      </c>
      <c r="B4235" s="1">
        <v>40545</v>
      </c>
      <c r="C4235">
        <v>1</v>
      </c>
      <c r="D4235">
        <v>0</v>
      </c>
      <c r="E4235">
        <v>1</v>
      </c>
      <c r="F4235">
        <v>19</v>
      </c>
      <c r="G4235" t="b">
        <v>0</v>
      </c>
      <c r="H4235">
        <v>0</v>
      </c>
      <c r="I4235">
        <v>1</v>
      </c>
      <c r="J4235">
        <v>0.32</v>
      </c>
      <c r="K4235">
        <v>0.28789999999999999</v>
      </c>
      <c r="L4235">
        <v>0.42</v>
      </c>
      <c r="M4235">
        <v>0.44779999999999998</v>
      </c>
      <c r="N4235">
        <v>1</v>
      </c>
      <c r="O4235">
        <v>29</v>
      </c>
      <c r="P4235">
        <v>30</v>
      </c>
      <c r="Q4235">
        <v>42</v>
      </c>
      <c r="R4235">
        <v>43</v>
      </c>
    </row>
    <row r="4236" spans="1:18" x14ac:dyDescent="0.25">
      <c r="A4236">
        <v>44</v>
      </c>
      <c r="B4236" s="1">
        <v>40545</v>
      </c>
      <c r="C4236">
        <v>1</v>
      </c>
      <c r="D4236">
        <v>0</v>
      </c>
      <c r="E4236">
        <v>1</v>
      </c>
      <c r="F4236">
        <v>20</v>
      </c>
      <c r="G4236" t="b">
        <v>0</v>
      </c>
      <c r="H4236">
        <v>0</v>
      </c>
      <c r="I4236">
        <v>1</v>
      </c>
      <c r="J4236">
        <v>0.3</v>
      </c>
      <c r="L4236">
        <v>0.39</v>
      </c>
      <c r="M4236">
        <v>0.35820000000000002</v>
      </c>
      <c r="N4236">
        <v>5</v>
      </c>
      <c r="O4236">
        <v>17</v>
      </c>
      <c r="P4236">
        <v>22</v>
      </c>
      <c r="Q4236">
        <v>43</v>
      </c>
      <c r="R4236">
        <v>44</v>
      </c>
    </row>
    <row r="4237" spans="1:18" x14ac:dyDescent="0.25">
      <c r="A4237">
        <v>45</v>
      </c>
      <c r="B4237" s="1">
        <v>40545</v>
      </c>
      <c r="C4237">
        <v>1</v>
      </c>
      <c r="D4237">
        <v>0</v>
      </c>
      <c r="E4237">
        <v>1</v>
      </c>
      <c r="F4237">
        <v>21</v>
      </c>
      <c r="G4237" t="b">
        <v>0</v>
      </c>
      <c r="H4237">
        <v>0</v>
      </c>
      <c r="I4237">
        <v>1</v>
      </c>
      <c r="J4237">
        <v>0.26</v>
      </c>
      <c r="K4237">
        <v>0.2273</v>
      </c>
      <c r="L4237">
        <v>0.44</v>
      </c>
      <c r="M4237">
        <v>0.32840000000000003</v>
      </c>
      <c r="N4237">
        <v>11</v>
      </c>
      <c r="O4237">
        <v>20</v>
      </c>
      <c r="P4237">
        <v>31</v>
      </c>
      <c r="Q4237">
        <v>44</v>
      </c>
      <c r="R4237">
        <v>45</v>
      </c>
    </row>
    <row r="4238" spans="1:18" x14ac:dyDescent="0.25">
      <c r="A4238">
        <v>46</v>
      </c>
      <c r="B4238" s="1">
        <v>40545</v>
      </c>
      <c r="C4238">
        <v>1</v>
      </c>
      <c r="D4238">
        <v>0</v>
      </c>
      <c r="E4238">
        <v>1</v>
      </c>
      <c r="F4238">
        <v>22</v>
      </c>
      <c r="G4238" t="b">
        <v>0</v>
      </c>
      <c r="H4238">
        <v>0</v>
      </c>
      <c r="I4238">
        <v>1</v>
      </c>
      <c r="J4238">
        <v>0.24</v>
      </c>
      <c r="K4238">
        <v>0.21210000000000001</v>
      </c>
      <c r="L4238">
        <v>0.44</v>
      </c>
      <c r="M4238">
        <v>0.29849999999999999</v>
      </c>
      <c r="N4238">
        <v>0</v>
      </c>
      <c r="O4238">
        <v>9</v>
      </c>
      <c r="P4238">
        <v>9</v>
      </c>
      <c r="Q4238">
        <v>45</v>
      </c>
      <c r="R4238">
        <v>46</v>
      </c>
    </row>
    <row r="4239" spans="1:18" x14ac:dyDescent="0.25">
      <c r="A4239">
        <v>47</v>
      </c>
      <c r="B4239" s="1">
        <v>40545</v>
      </c>
      <c r="C4239">
        <v>1</v>
      </c>
      <c r="D4239">
        <v>0</v>
      </c>
      <c r="E4239">
        <v>1</v>
      </c>
      <c r="F4239">
        <v>23</v>
      </c>
      <c r="G4239" t="b">
        <v>0</v>
      </c>
      <c r="H4239">
        <v>0</v>
      </c>
      <c r="I4239">
        <v>1</v>
      </c>
      <c r="J4239">
        <v>0.22</v>
      </c>
      <c r="K4239">
        <v>0.2273</v>
      </c>
      <c r="L4239">
        <v>0.47</v>
      </c>
      <c r="M4239">
        <v>0.16420000000000001</v>
      </c>
      <c r="N4239">
        <v>0</v>
      </c>
      <c r="O4239">
        <v>8</v>
      </c>
      <c r="P4239">
        <v>8</v>
      </c>
      <c r="Q4239">
        <v>46</v>
      </c>
      <c r="R4239">
        <v>47</v>
      </c>
    </row>
    <row r="4240" spans="1:18" x14ac:dyDescent="0.25">
      <c r="A4240">
        <v>48</v>
      </c>
      <c r="B4240" s="1">
        <v>40546</v>
      </c>
      <c r="C4240">
        <v>1</v>
      </c>
      <c r="D4240">
        <v>0</v>
      </c>
      <c r="E4240">
        <v>1</v>
      </c>
      <c r="F4240">
        <v>0</v>
      </c>
      <c r="G4240" t="b">
        <v>0</v>
      </c>
      <c r="H4240">
        <v>1</v>
      </c>
      <c r="I4240">
        <v>1</v>
      </c>
      <c r="J4240">
        <v>0.22</v>
      </c>
      <c r="K4240">
        <v>0.19700000000000001</v>
      </c>
      <c r="L4240">
        <v>0.44</v>
      </c>
      <c r="M4240">
        <v>0.35820000000000002</v>
      </c>
      <c r="N4240">
        <v>0</v>
      </c>
      <c r="O4240">
        <v>5</v>
      </c>
      <c r="P4240">
        <v>5</v>
      </c>
      <c r="Q4240">
        <v>47</v>
      </c>
      <c r="R4240">
        <v>48</v>
      </c>
    </row>
    <row r="4241" spans="1:18" x14ac:dyDescent="0.25">
      <c r="A4241">
        <v>49</v>
      </c>
      <c r="B4241" s="1">
        <v>40546</v>
      </c>
      <c r="C4241">
        <v>1</v>
      </c>
      <c r="D4241">
        <v>0</v>
      </c>
      <c r="E4241">
        <v>1</v>
      </c>
      <c r="F4241">
        <v>1</v>
      </c>
      <c r="G4241" t="b">
        <v>0</v>
      </c>
      <c r="H4241">
        <v>1</v>
      </c>
      <c r="I4241">
        <v>1</v>
      </c>
      <c r="J4241">
        <v>0.2</v>
      </c>
      <c r="L4241">
        <v>0.44</v>
      </c>
      <c r="M4241">
        <v>0.41789999999999999</v>
      </c>
      <c r="N4241">
        <v>0</v>
      </c>
      <c r="O4241">
        <v>2</v>
      </c>
      <c r="P4241">
        <v>2</v>
      </c>
      <c r="Q4241">
        <v>48</v>
      </c>
      <c r="R4241">
        <v>49</v>
      </c>
    </row>
    <row r="4242" spans="1:18" x14ac:dyDescent="0.25">
      <c r="A4242">
        <v>50</v>
      </c>
      <c r="B4242" s="1">
        <v>40546</v>
      </c>
      <c r="C4242">
        <v>1</v>
      </c>
      <c r="D4242">
        <v>0</v>
      </c>
      <c r="E4242">
        <v>1</v>
      </c>
      <c r="F4242">
        <v>4</v>
      </c>
      <c r="G4242" t="b">
        <v>0</v>
      </c>
      <c r="H4242">
        <v>1</v>
      </c>
      <c r="I4242">
        <v>1</v>
      </c>
      <c r="J4242">
        <v>0.16</v>
      </c>
      <c r="K4242">
        <v>0.13639999999999999</v>
      </c>
      <c r="L4242">
        <v>0.47</v>
      </c>
      <c r="M4242">
        <v>0.3881</v>
      </c>
      <c r="N4242">
        <v>0</v>
      </c>
      <c r="O4242">
        <v>1</v>
      </c>
      <c r="P4242">
        <v>1</v>
      </c>
      <c r="Q4242">
        <v>49</v>
      </c>
      <c r="R4242">
        <v>50</v>
      </c>
    </row>
    <row r="4243" spans="1:18" x14ac:dyDescent="0.25">
      <c r="A4243">
        <v>51</v>
      </c>
      <c r="B4243" s="1">
        <v>40546</v>
      </c>
      <c r="C4243">
        <v>1</v>
      </c>
      <c r="D4243">
        <v>0</v>
      </c>
      <c r="E4243">
        <v>1</v>
      </c>
      <c r="F4243">
        <v>5</v>
      </c>
      <c r="G4243" t="b">
        <v>0</v>
      </c>
      <c r="H4243">
        <v>1</v>
      </c>
      <c r="I4243">
        <v>1</v>
      </c>
      <c r="J4243">
        <v>0.16</v>
      </c>
      <c r="K4243">
        <v>0.13639999999999999</v>
      </c>
      <c r="L4243">
        <v>0.47</v>
      </c>
      <c r="M4243">
        <v>0.28360000000000002</v>
      </c>
      <c r="N4243">
        <v>0</v>
      </c>
      <c r="O4243">
        <v>3</v>
      </c>
      <c r="P4243">
        <v>3</v>
      </c>
      <c r="Q4243">
        <v>50</v>
      </c>
      <c r="R4243">
        <v>51</v>
      </c>
    </row>
    <row r="4244" spans="1:18" x14ac:dyDescent="0.25">
      <c r="A4244">
        <v>52</v>
      </c>
      <c r="B4244" s="1">
        <v>40546</v>
      </c>
      <c r="C4244">
        <v>1</v>
      </c>
      <c r="D4244">
        <v>0</v>
      </c>
      <c r="E4244">
        <v>1</v>
      </c>
      <c r="F4244">
        <v>6</v>
      </c>
      <c r="G4244" t="b">
        <v>0</v>
      </c>
      <c r="H4244">
        <v>1</v>
      </c>
      <c r="I4244">
        <v>1</v>
      </c>
      <c r="J4244">
        <v>0.14000000000000001</v>
      </c>
      <c r="K4244">
        <v>0.1061</v>
      </c>
      <c r="L4244">
        <v>0.5</v>
      </c>
      <c r="M4244">
        <v>0.3881</v>
      </c>
      <c r="N4244">
        <v>0</v>
      </c>
      <c r="O4244">
        <v>30</v>
      </c>
      <c r="P4244">
        <v>30</v>
      </c>
      <c r="Q4244">
        <v>51</v>
      </c>
      <c r="R4244">
        <v>52</v>
      </c>
    </row>
    <row r="4245" spans="1:18" x14ac:dyDescent="0.25">
      <c r="A4245">
        <v>53</v>
      </c>
      <c r="B4245" s="1">
        <v>40546</v>
      </c>
      <c r="C4245">
        <v>1</v>
      </c>
      <c r="D4245">
        <v>0</v>
      </c>
      <c r="E4245">
        <v>1</v>
      </c>
      <c r="F4245">
        <v>7</v>
      </c>
      <c r="G4245" t="b">
        <v>0</v>
      </c>
      <c r="H4245">
        <v>1</v>
      </c>
      <c r="I4245">
        <v>1</v>
      </c>
      <c r="J4245">
        <v>0.14000000000000001</v>
      </c>
      <c r="K4245">
        <v>0.13639999999999999</v>
      </c>
      <c r="L4245">
        <v>0.5</v>
      </c>
      <c r="M4245">
        <v>0.19400000000000001</v>
      </c>
      <c r="N4245">
        <v>1</v>
      </c>
      <c r="O4245">
        <v>63</v>
      </c>
      <c r="P4245">
        <v>64</v>
      </c>
      <c r="Q4245">
        <v>52</v>
      </c>
      <c r="R4245">
        <v>53</v>
      </c>
    </row>
    <row r="4246" spans="1:18" x14ac:dyDescent="0.25">
      <c r="A4246">
        <v>54</v>
      </c>
      <c r="B4246" s="1">
        <v>40546</v>
      </c>
      <c r="C4246">
        <v>1</v>
      </c>
      <c r="D4246">
        <v>0</v>
      </c>
      <c r="E4246">
        <v>1</v>
      </c>
      <c r="F4246">
        <v>8</v>
      </c>
      <c r="G4246" t="b">
        <v>0</v>
      </c>
      <c r="H4246">
        <v>1</v>
      </c>
      <c r="I4246">
        <v>1</v>
      </c>
      <c r="J4246">
        <v>0.14000000000000001</v>
      </c>
      <c r="K4246">
        <v>0.1212</v>
      </c>
      <c r="L4246">
        <v>0.5</v>
      </c>
      <c r="M4246">
        <v>0.28360000000000002</v>
      </c>
      <c r="N4246">
        <v>1</v>
      </c>
      <c r="O4246">
        <v>153</v>
      </c>
      <c r="P4246">
        <v>154</v>
      </c>
      <c r="Q4246">
        <v>53</v>
      </c>
      <c r="R4246">
        <v>54</v>
      </c>
    </row>
    <row r="4247" spans="1:18" x14ac:dyDescent="0.25">
      <c r="A4247">
        <v>55</v>
      </c>
      <c r="B4247" s="1">
        <v>40546</v>
      </c>
      <c r="C4247">
        <v>1</v>
      </c>
      <c r="D4247">
        <v>0</v>
      </c>
      <c r="E4247">
        <v>1</v>
      </c>
      <c r="F4247">
        <v>9</v>
      </c>
      <c r="G4247" t="b">
        <v>0</v>
      </c>
      <c r="H4247">
        <v>1</v>
      </c>
      <c r="I4247">
        <v>1</v>
      </c>
      <c r="J4247">
        <v>0.16</v>
      </c>
      <c r="K4247">
        <v>0.13639999999999999</v>
      </c>
      <c r="L4247">
        <v>0.43</v>
      </c>
      <c r="M4247">
        <v>0.3881</v>
      </c>
      <c r="N4247">
        <v>7</v>
      </c>
      <c r="O4247">
        <v>81</v>
      </c>
      <c r="P4247">
        <v>88</v>
      </c>
      <c r="Q4247">
        <v>54</v>
      </c>
      <c r="R4247">
        <v>55</v>
      </c>
    </row>
    <row r="4248" spans="1:18" x14ac:dyDescent="0.25">
      <c r="A4248">
        <v>56</v>
      </c>
      <c r="B4248" s="1">
        <v>40546</v>
      </c>
      <c r="C4248">
        <v>1</v>
      </c>
      <c r="D4248">
        <v>0</v>
      </c>
      <c r="E4248">
        <v>1</v>
      </c>
      <c r="F4248">
        <v>10</v>
      </c>
      <c r="G4248" t="b">
        <v>0</v>
      </c>
      <c r="H4248">
        <v>1</v>
      </c>
      <c r="I4248">
        <v>1</v>
      </c>
      <c r="J4248">
        <v>0.18</v>
      </c>
      <c r="K4248">
        <v>0.16669999999999999</v>
      </c>
      <c r="L4248">
        <v>0.43</v>
      </c>
      <c r="M4248">
        <v>0.25369999999999998</v>
      </c>
      <c r="N4248">
        <v>11</v>
      </c>
      <c r="O4248">
        <v>33</v>
      </c>
      <c r="P4248">
        <v>44</v>
      </c>
      <c r="Q4248">
        <v>55</v>
      </c>
      <c r="R4248">
        <v>56</v>
      </c>
    </row>
    <row r="4249" spans="1:18" x14ac:dyDescent="0.25">
      <c r="A4249">
        <v>57</v>
      </c>
      <c r="B4249" s="1">
        <v>40546</v>
      </c>
      <c r="C4249">
        <v>1</v>
      </c>
      <c r="D4249">
        <v>0</v>
      </c>
      <c r="E4249">
        <v>1</v>
      </c>
      <c r="F4249">
        <v>11</v>
      </c>
      <c r="G4249" t="b">
        <v>0</v>
      </c>
      <c r="H4249">
        <v>1</v>
      </c>
      <c r="I4249">
        <v>1</v>
      </c>
      <c r="J4249">
        <v>0.2</v>
      </c>
      <c r="K4249">
        <v>0.18179999999999999</v>
      </c>
      <c r="L4249">
        <v>0.4</v>
      </c>
      <c r="M4249">
        <v>0.32840000000000003</v>
      </c>
      <c r="N4249">
        <v>10</v>
      </c>
      <c r="O4249">
        <v>41</v>
      </c>
      <c r="P4249">
        <v>51</v>
      </c>
      <c r="Q4249">
        <v>56</v>
      </c>
      <c r="R4249">
        <v>57</v>
      </c>
    </row>
    <row r="4250" spans="1:18" x14ac:dyDescent="0.25">
      <c r="A4250">
        <v>58</v>
      </c>
      <c r="B4250" s="1">
        <v>40546</v>
      </c>
      <c r="C4250">
        <v>1</v>
      </c>
      <c r="D4250">
        <v>0</v>
      </c>
      <c r="E4250">
        <v>1</v>
      </c>
      <c r="F4250">
        <v>12</v>
      </c>
      <c r="G4250" t="b">
        <v>0</v>
      </c>
      <c r="H4250">
        <v>1</v>
      </c>
      <c r="I4250">
        <v>1</v>
      </c>
      <c r="J4250">
        <v>0.22</v>
      </c>
      <c r="K4250">
        <v>0.21210000000000001</v>
      </c>
      <c r="L4250">
        <v>0.35</v>
      </c>
      <c r="M4250">
        <v>0.29849999999999999</v>
      </c>
      <c r="N4250">
        <v>13</v>
      </c>
      <c r="O4250">
        <v>48</v>
      </c>
      <c r="P4250">
        <v>61</v>
      </c>
      <c r="Q4250">
        <v>57</v>
      </c>
      <c r="R4250">
        <v>58</v>
      </c>
    </row>
    <row r="4251" spans="1:18" x14ac:dyDescent="0.25">
      <c r="A4251">
        <v>59</v>
      </c>
      <c r="B4251" s="1">
        <v>40546</v>
      </c>
      <c r="C4251">
        <v>1</v>
      </c>
      <c r="D4251">
        <v>0</v>
      </c>
      <c r="E4251">
        <v>1</v>
      </c>
      <c r="F4251">
        <v>13</v>
      </c>
      <c r="G4251" t="b">
        <v>0</v>
      </c>
      <c r="H4251">
        <v>1</v>
      </c>
      <c r="I4251">
        <v>1</v>
      </c>
      <c r="J4251">
        <v>0.24</v>
      </c>
      <c r="L4251">
        <v>0.35</v>
      </c>
      <c r="M4251">
        <v>0.28360000000000002</v>
      </c>
      <c r="N4251">
        <v>8</v>
      </c>
      <c r="O4251">
        <v>53</v>
      </c>
      <c r="P4251">
        <v>61</v>
      </c>
      <c r="Q4251">
        <v>58</v>
      </c>
      <c r="R4251">
        <v>59</v>
      </c>
    </row>
    <row r="4252" spans="1:18" x14ac:dyDescent="0.25">
      <c r="A4252">
        <v>60</v>
      </c>
      <c r="B4252" s="1">
        <v>40546</v>
      </c>
      <c r="C4252">
        <v>1</v>
      </c>
      <c r="D4252">
        <v>0</v>
      </c>
      <c r="E4252">
        <v>1</v>
      </c>
      <c r="F4252">
        <v>14</v>
      </c>
      <c r="G4252" t="b">
        <v>0</v>
      </c>
      <c r="H4252">
        <v>1</v>
      </c>
      <c r="I4252">
        <v>1</v>
      </c>
      <c r="J4252">
        <v>0.26</v>
      </c>
      <c r="K4252">
        <v>0.2424</v>
      </c>
      <c r="L4252">
        <v>0.3</v>
      </c>
      <c r="M4252">
        <v>0.28360000000000002</v>
      </c>
      <c r="N4252">
        <v>11</v>
      </c>
      <c r="O4252">
        <v>66</v>
      </c>
      <c r="P4252">
        <v>77</v>
      </c>
      <c r="Q4252">
        <v>59</v>
      </c>
      <c r="R4252">
        <v>60</v>
      </c>
    </row>
    <row r="4253" spans="1:18" x14ac:dyDescent="0.25">
      <c r="A4253">
        <v>61</v>
      </c>
      <c r="B4253" s="1">
        <v>40546</v>
      </c>
      <c r="C4253">
        <v>1</v>
      </c>
      <c r="D4253">
        <v>0</v>
      </c>
      <c r="E4253">
        <v>1</v>
      </c>
      <c r="F4253">
        <v>15</v>
      </c>
      <c r="G4253" t="b">
        <v>0</v>
      </c>
      <c r="H4253">
        <v>1</v>
      </c>
      <c r="I4253">
        <v>1</v>
      </c>
      <c r="J4253">
        <v>0.26</v>
      </c>
      <c r="K4253">
        <v>0.2424</v>
      </c>
      <c r="L4253">
        <v>0.3</v>
      </c>
      <c r="M4253">
        <v>0.25369999999999998</v>
      </c>
      <c r="N4253">
        <v>14</v>
      </c>
      <c r="O4253">
        <v>58</v>
      </c>
      <c r="P4253">
        <v>72</v>
      </c>
      <c r="Q4253">
        <v>60</v>
      </c>
      <c r="R4253">
        <v>61</v>
      </c>
    </row>
    <row r="4254" spans="1:18" x14ac:dyDescent="0.25">
      <c r="A4254">
        <v>62</v>
      </c>
      <c r="B4254" s="1">
        <v>40546</v>
      </c>
      <c r="C4254">
        <v>1</v>
      </c>
      <c r="D4254">
        <v>0</v>
      </c>
      <c r="E4254">
        <v>1</v>
      </c>
      <c r="F4254">
        <v>16</v>
      </c>
      <c r="G4254" t="b">
        <v>0</v>
      </c>
      <c r="H4254">
        <v>1</v>
      </c>
      <c r="I4254">
        <v>1</v>
      </c>
      <c r="J4254">
        <v>0.26</v>
      </c>
      <c r="K4254">
        <v>0.2424</v>
      </c>
      <c r="L4254">
        <v>0.3</v>
      </c>
      <c r="M4254">
        <v>0.25369999999999998</v>
      </c>
      <c r="N4254">
        <v>9</v>
      </c>
      <c r="O4254">
        <v>67</v>
      </c>
      <c r="P4254">
        <v>76</v>
      </c>
      <c r="Q4254">
        <v>61</v>
      </c>
      <c r="R4254">
        <v>62</v>
      </c>
    </row>
    <row r="4255" spans="1:18" x14ac:dyDescent="0.25">
      <c r="A4255">
        <v>63</v>
      </c>
      <c r="B4255" s="1">
        <v>40546</v>
      </c>
      <c r="C4255">
        <v>1</v>
      </c>
      <c r="D4255">
        <v>0</v>
      </c>
      <c r="E4255">
        <v>1</v>
      </c>
      <c r="F4255">
        <v>17</v>
      </c>
      <c r="G4255" t="b">
        <v>0</v>
      </c>
      <c r="H4255">
        <v>1</v>
      </c>
      <c r="I4255">
        <v>1</v>
      </c>
      <c r="J4255">
        <v>0.24</v>
      </c>
      <c r="K4255">
        <v>0.2273</v>
      </c>
      <c r="L4255">
        <v>0.3</v>
      </c>
      <c r="M4255">
        <v>0.22389999999999999</v>
      </c>
      <c r="N4255">
        <v>11</v>
      </c>
      <c r="O4255">
        <v>146</v>
      </c>
      <c r="P4255">
        <v>157</v>
      </c>
      <c r="Q4255">
        <v>62</v>
      </c>
      <c r="R4255">
        <v>63</v>
      </c>
    </row>
    <row r="4256" spans="1:18" x14ac:dyDescent="0.25">
      <c r="A4256">
        <v>64</v>
      </c>
      <c r="B4256" s="1">
        <v>40546</v>
      </c>
      <c r="C4256">
        <v>1</v>
      </c>
      <c r="D4256">
        <v>0</v>
      </c>
      <c r="E4256">
        <v>1</v>
      </c>
      <c r="F4256">
        <v>18</v>
      </c>
      <c r="G4256" t="b">
        <v>0</v>
      </c>
      <c r="H4256">
        <v>1</v>
      </c>
      <c r="I4256">
        <v>1</v>
      </c>
      <c r="J4256">
        <v>0.24</v>
      </c>
      <c r="K4256">
        <v>0.2576</v>
      </c>
      <c r="L4256">
        <v>0.32</v>
      </c>
      <c r="M4256">
        <v>0.1045</v>
      </c>
      <c r="N4256">
        <v>9</v>
      </c>
      <c r="O4256">
        <v>148</v>
      </c>
      <c r="P4256">
        <v>157</v>
      </c>
      <c r="Q4256">
        <v>63</v>
      </c>
      <c r="R4256">
        <v>64</v>
      </c>
    </row>
    <row r="4257" spans="1:18" x14ac:dyDescent="0.25">
      <c r="A4257">
        <v>65</v>
      </c>
      <c r="B4257" s="1">
        <v>40546</v>
      </c>
      <c r="C4257">
        <v>1</v>
      </c>
      <c r="D4257">
        <v>0</v>
      </c>
      <c r="E4257">
        <v>1</v>
      </c>
      <c r="F4257">
        <v>19</v>
      </c>
      <c r="G4257" t="b">
        <v>0</v>
      </c>
      <c r="H4257">
        <v>1</v>
      </c>
      <c r="I4257">
        <v>1</v>
      </c>
      <c r="J4257">
        <v>0.2</v>
      </c>
      <c r="K4257">
        <v>0.2576</v>
      </c>
      <c r="L4257">
        <v>0.47</v>
      </c>
      <c r="M4257">
        <v>0</v>
      </c>
      <c r="N4257">
        <v>8</v>
      </c>
      <c r="O4257">
        <v>102</v>
      </c>
      <c r="P4257">
        <v>110</v>
      </c>
      <c r="Q4257">
        <v>64</v>
      </c>
      <c r="R4257">
        <v>65</v>
      </c>
    </row>
    <row r="4258" spans="1:18" x14ac:dyDescent="0.25">
      <c r="A4258">
        <v>66</v>
      </c>
      <c r="B4258" s="1">
        <v>40546</v>
      </c>
      <c r="C4258">
        <v>1</v>
      </c>
      <c r="D4258">
        <v>0</v>
      </c>
      <c r="E4258">
        <v>1</v>
      </c>
      <c r="F4258">
        <v>20</v>
      </c>
      <c r="G4258" t="b">
        <v>0</v>
      </c>
      <c r="H4258">
        <v>1</v>
      </c>
      <c r="I4258">
        <v>1</v>
      </c>
      <c r="J4258">
        <v>0.2</v>
      </c>
      <c r="L4258">
        <v>0.47</v>
      </c>
      <c r="M4258">
        <v>0.1045</v>
      </c>
      <c r="N4258">
        <v>3</v>
      </c>
      <c r="O4258">
        <v>49</v>
      </c>
      <c r="P4258">
        <v>52</v>
      </c>
      <c r="Q4258">
        <v>65</v>
      </c>
      <c r="R4258">
        <v>66</v>
      </c>
    </row>
    <row r="4259" spans="1:18" x14ac:dyDescent="0.25">
      <c r="A4259">
        <v>67</v>
      </c>
      <c r="B4259" s="1">
        <v>40546</v>
      </c>
      <c r="C4259">
        <v>1</v>
      </c>
      <c r="D4259">
        <v>0</v>
      </c>
      <c r="E4259">
        <v>1</v>
      </c>
      <c r="F4259">
        <v>21</v>
      </c>
      <c r="G4259" t="b">
        <v>0</v>
      </c>
      <c r="H4259">
        <v>1</v>
      </c>
      <c r="I4259">
        <v>1</v>
      </c>
      <c r="J4259">
        <v>0.18</v>
      </c>
      <c r="K4259">
        <v>0.19700000000000001</v>
      </c>
      <c r="L4259">
        <v>0.64</v>
      </c>
      <c r="M4259">
        <v>0.1343</v>
      </c>
      <c r="N4259">
        <v>3</v>
      </c>
      <c r="O4259">
        <v>49</v>
      </c>
      <c r="P4259">
        <v>52</v>
      </c>
      <c r="Q4259">
        <v>66</v>
      </c>
      <c r="R4259">
        <v>67</v>
      </c>
    </row>
    <row r="4260" spans="1:18" x14ac:dyDescent="0.25">
      <c r="A4260">
        <v>68</v>
      </c>
      <c r="B4260" s="1">
        <v>40546</v>
      </c>
      <c r="C4260">
        <v>1</v>
      </c>
      <c r="D4260">
        <v>0</v>
      </c>
      <c r="E4260">
        <v>1</v>
      </c>
      <c r="F4260">
        <v>22</v>
      </c>
      <c r="G4260" t="b">
        <v>0</v>
      </c>
      <c r="H4260">
        <v>1</v>
      </c>
      <c r="I4260">
        <v>1</v>
      </c>
      <c r="J4260">
        <v>0.14000000000000001</v>
      </c>
      <c r="K4260">
        <v>0.1515</v>
      </c>
      <c r="L4260">
        <v>0.69</v>
      </c>
      <c r="M4260">
        <v>0.1343</v>
      </c>
      <c r="N4260">
        <v>0</v>
      </c>
      <c r="O4260">
        <v>20</v>
      </c>
      <c r="P4260">
        <v>20</v>
      </c>
      <c r="Q4260">
        <v>67</v>
      </c>
      <c r="R4260">
        <v>68</v>
      </c>
    </row>
    <row r="4261" spans="1:18" x14ac:dyDescent="0.25">
      <c r="A4261">
        <v>69</v>
      </c>
      <c r="B4261" s="1">
        <v>40546</v>
      </c>
      <c r="C4261">
        <v>1</v>
      </c>
      <c r="D4261">
        <v>0</v>
      </c>
      <c r="E4261">
        <v>1</v>
      </c>
      <c r="F4261">
        <v>23</v>
      </c>
      <c r="G4261" t="b">
        <v>0</v>
      </c>
      <c r="H4261">
        <v>1</v>
      </c>
      <c r="I4261">
        <v>1</v>
      </c>
      <c r="J4261">
        <v>0.18</v>
      </c>
      <c r="K4261">
        <v>0.21210000000000001</v>
      </c>
      <c r="L4261">
        <v>0.55000000000000004</v>
      </c>
      <c r="M4261">
        <v>0.1045</v>
      </c>
      <c r="N4261">
        <v>1</v>
      </c>
      <c r="O4261">
        <v>11</v>
      </c>
      <c r="P4261">
        <v>12</v>
      </c>
      <c r="Q4261">
        <v>68</v>
      </c>
      <c r="R4261">
        <v>69</v>
      </c>
    </row>
    <row r="4262" spans="1:18" x14ac:dyDescent="0.25">
      <c r="A4262">
        <v>70</v>
      </c>
      <c r="B4262" s="1">
        <v>40547</v>
      </c>
      <c r="C4262">
        <v>1</v>
      </c>
      <c r="D4262">
        <v>0</v>
      </c>
      <c r="E4262">
        <v>1</v>
      </c>
      <c r="F4262">
        <v>0</v>
      </c>
      <c r="G4262" t="b">
        <v>0</v>
      </c>
      <c r="H4262">
        <v>2</v>
      </c>
      <c r="I4262">
        <v>1</v>
      </c>
      <c r="J4262">
        <v>0.16</v>
      </c>
      <c r="L4262">
        <v>0.55000000000000004</v>
      </c>
      <c r="M4262">
        <v>0.1045</v>
      </c>
      <c r="N4262">
        <v>0</v>
      </c>
      <c r="O4262">
        <v>5</v>
      </c>
      <c r="P4262">
        <v>5</v>
      </c>
      <c r="Q4262">
        <v>69</v>
      </c>
      <c r="R4262">
        <v>70</v>
      </c>
    </row>
    <row r="4263" spans="1:18" x14ac:dyDescent="0.25">
      <c r="A4263">
        <v>71</v>
      </c>
      <c r="B4263" s="1">
        <v>40547</v>
      </c>
      <c r="C4263">
        <v>1</v>
      </c>
      <c r="D4263">
        <v>0</v>
      </c>
      <c r="E4263">
        <v>1</v>
      </c>
      <c r="F4263">
        <v>1</v>
      </c>
      <c r="G4263" t="b">
        <v>0</v>
      </c>
      <c r="H4263">
        <v>2</v>
      </c>
      <c r="I4263">
        <v>1</v>
      </c>
      <c r="J4263">
        <v>0.16</v>
      </c>
      <c r="K4263">
        <v>0.18179999999999999</v>
      </c>
      <c r="L4263">
        <v>0.59</v>
      </c>
      <c r="M4263">
        <v>0.1045</v>
      </c>
      <c r="N4263">
        <v>0</v>
      </c>
      <c r="O4263">
        <v>2</v>
      </c>
      <c r="P4263">
        <v>2</v>
      </c>
      <c r="Q4263">
        <v>70</v>
      </c>
      <c r="R4263">
        <v>71</v>
      </c>
    </row>
    <row r="4264" spans="1:18" x14ac:dyDescent="0.25">
      <c r="A4264">
        <v>72</v>
      </c>
      <c r="B4264" s="1">
        <v>40547</v>
      </c>
      <c r="C4264">
        <v>1</v>
      </c>
      <c r="D4264">
        <v>0</v>
      </c>
      <c r="E4264">
        <v>1</v>
      </c>
      <c r="F4264">
        <v>2</v>
      </c>
      <c r="G4264" t="b">
        <v>0</v>
      </c>
      <c r="H4264">
        <v>2</v>
      </c>
      <c r="I4264">
        <v>1</v>
      </c>
      <c r="J4264">
        <v>0.14000000000000001</v>
      </c>
      <c r="K4264">
        <v>0.1515</v>
      </c>
      <c r="L4264">
        <v>0.63</v>
      </c>
      <c r="M4264">
        <v>0.1343</v>
      </c>
      <c r="N4264">
        <v>0</v>
      </c>
      <c r="O4264">
        <v>1</v>
      </c>
      <c r="P4264">
        <v>1</v>
      </c>
      <c r="Q4264">
        <v>71</v>
      </c>
      <c r="R4264">
        <v>72</v>
      </c>
    </row>
    <row r="4265" spans="1:18" x14ac:dyDescent="0.25">
      <c r="A4265">
        <v>73</v>
      </c>
      <c r="B4265" s="1">
        <v>40547</v>
      </c>
      <c r="C4265">
        <v>1</v>
      </c>
      <c r="D4265">
        <v>0</v>
      </c>
      <c r="E4265">
        <v>1</v>
      </c>
      <c r="F4265">
        <v>4</v>
      </c>
      <c r="G4265" t="b">
        <v>0</v>
      </c>
      <c r="H4265">
        <v>2</v>
      </c>
      <c r="I4265">
        <v>1</v>
      </c>
      <c r="J4265">
        <v>0.14000000000000001</v>
      </c>
      <c r="K4265">
        <v>0.18179999999999999</v>
      </c>
      <c r="L4265">
        <v>0.63</v>
      </c>
      <c r="M4265">
        <v>8.9599999999999999E-2</v>
      </c>
      <c r="N4265">
        <v>0</v>
      </c>
      <c r="O4265">
        <v>2</v>
      </c>
      <c r="P4265">
        <v>2</v>
      </c>
      <c r="Q4265">
        <v>72</v>
      </c>
      <c r="R4265">
        <v>73</v>
      </c>
    </row>
    <row r="4266" spans="1:18" x14ac:dyDescent="0.25">
      <c r="A4266">
        <v>74</v>
      </c>
      <c r="B4266" s="1">
        <v>40547</v>
      </c>
      <c r="C4266">
        <v>1</v>
      </c>
      <c r="D4266">
        <v>0</v>
      </c>
      <c r="E4266">
        <v>1</v>
      </c>
      <c r="F4266">
        <v>5</v>
      </c>
      <c r="G4266" t="b">
        <v>0</v>
      </c>
      <c r="H4266">
        <v>2</v>
      </c>
      <c r="I4266">
        <v>1</v>
      </c>
      <c r="J4266">
        <v>0.12</v>
      </c>
      <c r="K4266">
        <v>0.1515</v>
      </c>
      <c r="L4266">
        <v>0.68</v>
      </c>
      <c r="M4266">
        <v>0.1045</v>
      </c>
      <c r="N4266">
        <v>0</v>
      </c>
      <c r="O4266">
        <v>4</v>
      </c>
      <c r="P4266">
        <v>4</v>
      </c>
      <c r="Q4266">
        <v>73</v>
      </c>
      <c r="R4266">
        <v>74</v>
      </c>
    </row>
    <row r="4267" spans="1:18" x14ac:dyDescent="0.25">
      <c r="A4267">
        <v>75</v>
      </c>
      <c r="B4267" s="1">
        <v>40547</v>
      </c>
      <c r="C4267">
        <v>1</v>
      </c>
      <c r="D4267">
        <v>0</v>
      </c>
      <c r="E4267">
        <v>1</v>
      </c>
      <c r="F4267">
        <v>6</v>
      </c>
      <c r="G4267" t="b">
        <v>0</v>
      </c>
      <c r="H4267">
        <v>2</v>
      </c>
      <c r="I4267">
        <v>1</v>
      </c>
      <c r="J4267">
        <v>0.12</v>
      </c>
      <c r="K4267">
        <v>0.1515</v>
      </c>
      <c r="L4267">
        <v>0.74</v>
      </c>
      <c r="M4267">
        <v>0.1045</v>
      </c>
      <c r="N4267">
        <v>0</v>
      </c>
      <c r="O4267">
        <v>36</v>
      </c>
      <c r="P4267">
        <v>36</v>
      </c>
      <c r="Q4267">
        <v>74</v>
      </c>
      <c r="R4267">
        <v>75</v>
      </c>
    </row>
    <row r="4268" spans="1:18" x14ac:dyDescent="0.25">
      <c r="A4268">
        <v>76</v>
      </c>
      <c r="B4268" s="1">
        <v>40547</v>
      </c>
      <c r="C4268">
        <v>1</v>
      </c>
      <c r="D4268">
        <v>0</v>
      </c>
      <c r="E4268">
        <v>1</v>
      </c>
      <c r="F4268">
        <v>7</v>
      </c>
      <c r="G4268" t="b">
        <v>0</v>
      </c>
      <c r="H4268">
        <v>2</v>
      </c>
      <c r="I4268">
        <v>1</v>
      </c>
      <c r="J4268">
        <v>0.12</v>
      </c>
      <c r="K4268">
        <v>0.1515</v>
      </c>
      <c r="L4268">
        <v>0.74</v>
      </c>
      <c r="M4268">
        <v>0.1343</v>
      </c>
      <c r="N4268">
        <v>2</v>
      </c>
      <c r="O4268">
        <v>92</v>
      </c>
      <c r="P4268">
        <v>94</v>
      </c>
      <c r="Q4268">
        <v>75</v>
      </c>
      <c r="R4268">
        <v>76</v>
      </c>
    </row>
    <row r="4269" spans="1:18" x14ac:dyDescent="0.25">
      <c r="A4269">
        <v>77</v>
      </c>
      <c r="B4269" s="1">
        <v>40547</v>
      </c>
      <c r="C4269">
        <v>1</v>
      </c>
      <c r="D4269">
        <v>0</v>
      </c>
      <c r="E4269">
        <v>1</v>
      </c>
      <c r="F4269">
        <v>8</v>
      </c>
      <c r="G4269" t="b">
        <v>0</v>
      </c>
      <c r="H4269">
        <v>2</v>
      </c>
      <c r="I4269">
        <v>1</v>
      </c>
      <c r="J4269">
        <v>0.14000000000000001</v>
      </c>
      <c r="K4269">
        <v>0.1515</v>
      </c>
      <c r="L4269">
        <v>0.69</v>
      </c>
      <c r="M4269">
        <v>0.16420000000000001</v>
      </c>
      <c r="N4269">
        <v>2</v>
      </c>
      <c r="O4269">
        <v>177</v>
      </c>
      <c r="P4269">
        <v>179</v>
      </c>
      <c r="Q4269">
        <v>76</v>
      </c>
      <c r="R4269">
        <v>77</v>
      </c>
    </row>
    <row r="4270" spans="1:18" x14ac:dyDescent="0.25">
      <c r="A4270">
        <v>78</v>
      </c>
      <c r="B4270" s="1">
        <v>40547</v>
      </c>
      <c r="C4270">
        <v>1</v>
      </c>
      <c r="D4270">
        <v>0</v>
      </c>
      <c r="E4270">
        <v>1</v>
      </c>
      <c r="F4270">
        <v>9</v>
      </c>
      <c r="G4270" t="b">
        <v>0</v>
      </c>
      <c r="H4270">
        <v>2</v>
      </c>
      <c r="I4270">
        <v>1</v>
      </c>
      <c r="J4270">
        <v>0.16</v>
      </c>
      <c r="K4270">
        <v>0.1515</v>
      </c>
      <c r="L4270">
        <v>0.64</v>
      </c>
      <c r="M4270">
        <v>0.22389999999999999</v>
      </c>
      <c r="N4270">
        <v>2</v>
      </c>
      <c r="O4270">
        <v>98</v>
      </c>
      <c r="P4270">
        <v>100</v>
      </c>
      <c r="Q4270">
        <v>77</v>
      </c>
      <c r="R4270">
        <v>78</v>
      </c>
    </row>
    <row r="4271" spans="1:18" x14ac:dyDescent="0.25">
      <c r="A4271">
        <v>79</v>
      </c>
      <c r="B4271" s="1">
        <v>40547</v>
      </c>
      <c r="C4271">
        <v>1</v>
      </c>
      <c r="D4271">
        <v>0</v>
      </c>
      <c r="E4271">
        <v>1</v>
      </c>
      <c r="F4271">
        <v>10</v>
      </c>
      <c r="G4271" t="b">
        <v>0</v>
      </c>
      <c r="H4271">
        <v>2</v>
      </c>
      <c r="I4271">
        <v>2</v>
      </c>
      <c r="J4271">
        <v>0.16</v>
      </c>
      <c r="K4271">
        <v>0.13639999999999999</v>
      </c>
      <c r="L4271">
        <v>0.69</v>
      </c>
      <c r="M4271">
        <v>0.32840000000000003</v>
      </c>
      <c r="N4271">
        <v>5</v>
      </c>
      <c r="O4271">
        <v>37</v>
      </c>
      <c r="P4271">
        <v>42</v>
      </c>
      <c r="Q4271">
        <v>78</v>
      </c>
      <c r="R4271">
        <v>79</v>
      </c>
    </row>
    <row r="4272" spans="1:18" x14ac:dyDescent="0.25">
      <c r="A4272">
        <v>80</v>
      </c>
      <c r="B4272" s="1">
        <v>40547</v>
      </c>
      <c r="C4272">
        <v>1</v>
      </c>
      <c r="D4272">
        <v>0</v>
      </c>
      <c r="E4272">
        <v>1</v>
      </c>
      <c r="F4272">
        <v>11</v>
      </c>
      <c r="G4272" t="b">
        <v>0</v>
      </c>
      <c r="H4272">
        <v>2</v>
      </c>
      <c r="I4272">
        <v>1</v>
      </c>
      <c r="J4272">
        <v>0.22</v>
      </c>
      <c r="K4272">
        <v>0.21210000000000001</v>
      </c>
      <c r="L4272">
        <v>0.51</v>
      </c>
      <c r="M4272">
        <v>0.29849999999999999</v>
      </c>
      <c r="N4272">
        <v>7</v>
      </c>
      <c r="O4272">
        <v>50</v>
      </c>
      <c r="P4272">
        <v>57</v>
      </c>
      <c r="Q4272">
        <v>79</v>
      </c>
      <c r="R4272">
        <v>80</v>
      </c>
    </row>
    <row r="4273" spans="1:18" x14ac:dyDescent="0.25">
      <c r="A4273">
        <v>81</v>
      </c>
      <c r="B4273" s="1">
        <v>40547</v>
      </c>
      <c r="C4273">
        <v>1</v>
      </c>
      <c r="D4273">
        <v>0</v>
      </c>
      <c r="E4273">
        <v>1</v>
      </c>
      <c r="F4273">
        <v>12</v>
      </c>
      <c r="G4273" t="b">
        <v>0</v>
      </c>
      <c r="H4273">
        <v>2</v>
      </c>
      <c r="I4273">
        <v>1</v>
      </c>
      <c r="J4273">
        <v>0.22</v>
      </c>
      <c r="K4273">
        <v>0.2273</v>
      </c>
      <c r="L4273">
        <v>0.51</v>
      </c>
      <c r="M4273">
        <v>0.16420000000000001</v>
      </c>
      <c r="N4273">
        <v>12</v>
      </c>
      <c r="O4273">
        <v>66</v>
      </c>
      <c r="P4273">
        <v>78</v>
      </c>
      <c r="Q4273">
        <v>80</v>
      </c>
      <c r="R4273">
        <v>81</v>
      </c>
    </row>
    <row r="4274" spans="1:18" x14ac:dyDescent="0.25">
      <c r="A4274">
        <v>82</v>
      </c>
      <c r="B4274" s="1">
        <v>40547</v>
      </c>
      <c r="C4274">
        <v>1</v>
      </c>
      <c r="D4274">
        <v>0</v>
      </c>
      <c r="E4274">
        <v>1</v>
      </c>
      <c r="F4274">
        <v>13</v>
      </c>
      <c r="G4274" t="b">
        <v>0</v>
      </c>
      <c r="H4274">
        <v>2</v>
      </c>
      <c r="I4274">
        <v>1</v>
      </c>
      <c r="J4274">
        <v>0.24</v>
      </c>
      <c r="K4274">
        <v>0.2273</v>
      </c>
      <c r="L4274">
        <v>0.56000000000000005</v>
      </c>
      <c r="M4274">
        <v>0.19400000000000001</v>
      </c>
      <c r="N4274">
        <v>18</v>
      </c>
      <c r="O4274">
        <v>79</v>
      </c>
      <c r="P4274">
        <v>97</v>
      </c>
      <c r="Q4274">
        <v>81</v>
      </c>
      <c r="R4274">
        <v>82</v>
      </c>
    </row>
    <row r="4275" spans="1:18" x14ac:dyDescent="0.25">
      <c r="A4275">
        <v>83</v>
      </c>
      <c r="B4275" s="1">
        <v>40547</v>
      </c>
      <c r="C4275">
        <v>1</v>
      </c>
      <c r="D4275">
        <v>0</v>
      </c>
      <c r="E4275">
        <v>1</v>
      </c>
      <c r="F4275">
        <v>14</v>
      </c>
      <c r="G4275" t="b">
        <v>0</v>
      </c>
      <c r="H4275">
        <v>2</v>
      </c>
      <c r="I4275">
        <v>1</v>
      </c>
      <c r="J4275">
        <v>0.26</v>
      </c>
      <c r="K4275">
        <v>0.2576</v>
      </c>
      <c r="L4275">
        <v>0.52</v>
      </c>
      <c r="M4275">
        <v>0.22389999999999999</v>
      </c>
      <c r="N4275">
        <v>9</v>
      </c>
      <c r="O4275">
        <v>54</v>
      </c>
      <c r="P4275">
        <v>63</v>
      </c>
      <c r="Q4275">
        <v>82</v>
      </c>
      <c r="R4275">
        <v>83</v>
      </c>
    </row>
    <row r="4276" spans="1:18" x14ac:dyDescent="0.25">
      <c r="A4276">
        <v>84</v>
      </c>
      <c r="B4276" s="1">
        <v>40547</v>
      </c>
      <c r="C4276">
        <v>1</v>
      </c>
      <c r="D4276">
        <v>0</v>
      </c>
      <c r="E4276">
        <v>1</v>
      </c>
      <c r="F4276">
        <v>15</v>
      </c>
      <c r="G4276" t="b">
        <v>0</v>
      </c>
      <c r="H4276">
        <v>2</v>
      </c>
      <c r="I4276">
        <v>1</v>
      </c>
      <c r="J4276">
        <v>0.28000000000000003</v>
      </c>
      <c r="K4276">
        <v>0.2727</v>
      </c>
      <c r="L4276">
        <v>0.52</v>
      </c>
      <c r="M4276">
        <v>0.25369999999999998</v>
      </c>
      <c r="N4276">
        <v>17</v>
      </c>
      <c r="O4276">
        <v>48</v>
      </c>
      <c r="P4276">
        <v>65</v>
      </c>
      <c r="Q4276">
        <v>83</v>
      </c>
      <c r="R4276">
        <v>84</v>
      </c>
    </row>
    <row r="4277" spans="1:18" x14ac:dyDescent="0.25">
      <c r="A4277">
        <v>85</v>
      </c>
      <c r="B4277" s="1">
        <v>40547</v>
      </c>
      <c r="C4277">
        <v>1</v>
      </c>
      <c r="D4277">
        <v>0</v>
      </c>
      <c r="E4277">
        <v>1</v>
      </c>
      <c r="F4277">
        <v>16</v>
      </c>
      <c r="G4277" t="b">
        <v>0</v>
      </c>
      <c r="H4277">
        <v>2</v>
      </c>
      <c r="I4277">
        <v>1</v>
      </c>
      <c r="J4277">
        <v>0.3</v>
      </c>
      <c r="K4277">
        <v>0.28789999999999999</v>
      </c>
      <c r="L4277">
        <v>0.49</v>
      </c>
      <c r="M4277">
        <v>0.25369999999999998</v>
      </c>
      <c r="N4277">
        <v>15</v>
      </c>
      <c r="O4277">
        <v>68</v>
      </c>
      <c r="P4277">
        <v>83</v>
      </c>
      <c r="Q4277">
        <v>84</v>
      </c>
      <c r="R4277">
        <v>85</v>
      </c>
    </row>
    <row r="4278" spans="1:18" x14ac:dyDescent="0.25">
      <c r="A4278">
        <v>86</v>
      </c>
      <c r="B4278" s="1">
        <v>40547</v>
      </c>
      <c r="C4278">
        <v>1</v>
      </c>
      <c r="D4278">
        <v>0</v>
      </c>
      <c r="E4278">
        <v>1</v>
      </c>
      <c r="F4278">
        <v>17</v>
      </c>
      <c r="G4278" t="b">
        <v>0</v>
      </c>
      <c r="H4278">
        <v>2</v>
      </c>
      <c r="I4278">
        <v>1</v>
      </c>
      <c r="J4278">
        <v>0.28000000000000003</v>
      </c>
      <c r="K4278">
        <v>0.2727</v>
      </c>
      <c r="L4278">
        <v>0.48</v>
      </c>
      <c r="M4278">
        <v>0.22389999999999999</v>
      </c>
      <c r="N4278">
        <v>10</v>
      </c>
      <c r="O4278">
        <v>202</v>
      </c>
      <c r="P4278">
        <v>212</v>
      </c>
      <c r="Q4278">
        <v>85</v>
      </c>
      <c r="R4278">
        <v>86</v>
      </c>
    </row>
    <row r="4279" spans="1:18" x14ac:dyDescent="0.25">
      <c r="A4279">
        <v>87</v>
      </c>
      <c r="B4279" s="1">
        <v>40547</v>
      </c>
      <c r="C4279">
        <v>1</v>
      </c>
      <c r="D4279">
        <v>0</v>
      </c>
      <c r="E4279">
        <v>1</v>
      </c>
      <c r="F4279">
        <v>18</v>
      </c>
      <c r="G4279" t="b">
        <v>0</v>
      </c>
      <c r="H4279">
        <v>2</v>
      </c>
      <c r="I4279">
        <v>1</v>
      </c>
      <c r="J4279">
        <v>0.26</v>
      </c>
      <c r="K4279">
        <v>0.2576</v>
      </c>
      <c r="L4279">
        <v>0.48</v>
      </c>
      <c r="M4279">
        <v>0.19400000000000001</v>
      </c>
      <c r="N4279">
        <v>3</v>
      </c>
      <c r="O4279">
        <v>179</v>
      </c>
      <c r="P4279">
        <v>182</v>
      </c>
      <c r="Q4279">
        <v>86</v>
      </c>
      <c r="R4279">
        <v>87</v>
      </c>
    </row>
    <row r="4280" spans="1:18" x14ac:dyDescent="0.25">
      <c r="A4280">
        <v>88</v>
      </c>
      <c r="B4280" s="1">
        <v>40547</v>
      </c>
      <c r="C4280">
        <v>1</v>
      </c>
      <c r="D4280">
        <v>0</v>
      </c>
      <c r="E4280">
        <v>1</v>
      </c>
      <c r="F4280">
        <v>19</v>
      </c>
      <c r="G4280" t="b">
        <v>0</v>
      </c>
      <c r="H4280">
        <v>2</v>
      </c>
      <c r="I4280">
        <v>1</v>
      </c>
      <c r="J4280">
        <v>0.24</v>
      </c>
      <c r="K4280">
        <v>0.2576</v>
      </c>
      <c r="L4280">
        <v>0.48</v>
      </c>
      <c r="M4280">
        <v>0.1045</v>
      </c>
      <c r="N4280">
        <v>2</v>
      </c>
      <c r="O4280">
        <v>110</v>
      </c>
      <c r="P4280">
        <v>112</v>
      </c>
      <c r="Q4280">
        <v>87</v>
      </c>
      <c r="R4280">
        <v>88</v>
      </c>
    </row>
    <row r="4281" spans="1:18" x14ac:dyDescent="0.25">
      <c r="A4281">
        <v>89</v>
      </c>
      <c r="B4281" s="1">
        <v>40547</v>
      </c>
      <c r="C4281">
        <v>1</v>
      </c>
      <c r="D4281">
        <v>0</v>
      </c>
      <c r="E4281">
        <v>1</v>
      </c>
      <c r="F4281">
        <v>20</v>
      </c>
      <c r="G4281" t="b">
        <v>0</v>
      </c>
      <c r="H4281">
        <v>2</v>
      </c>
      <c r="I4281">
        <v>1</v>
      </c>
      <c r="J4281">
        <v>0.24</v>
      </c>
      <c r="K4281">
        <v>0.2576</v>
      </c>
      <c r="L4281">
        <v>0.48</v>
      </c>
      <c r="M4281">
        <v>0.1045</v>
      </c>
      <c r="N4281">
        <v>1</v>
      </c>
      <c r="O4281">
        <v>53</v>
      </c>
      <c r="P4281">
        <v>54</v>
      </c>
      <c r="Q4281">
        <v>88</v>
      </c>
      <c r="R4281">
        <v>89</v>
      </c>
    </row>
    <row r="4282" spans="1:18" x14ac:dyDescent="0.25">
      <c r="A4282">
        <v>90</v>
      </c>
      <c r="B4282" s="1">
        <v>40547</v>
      </c>
      <c r="C4282">
        <v>1</v>
      </c>
      <c r="D4282">
        <v>0</v>
      </c>
      <c r="E4282">
        <v>1</v>
      </c>
      <c r="F4282">
        <v>21</v>
      </c>
      <c r="G4282" t="b">
        <v>0</v>
      </c>
      <c r="H4282">
        <v>2</v>
      </c>
      <c r="I4282">
        <v>1</v>
      </c>
      <c r="J4282">
        <v>0.22</v>
      </c>
      <c r="K4282">
        <v>0.2727</v>
      </c>
      <c r="L4282">
        <v>0.64</v>
      </c>
      <c r="M4282">
        <v>0</v>
      </c>
      <c r="N4282">
        <v>0</v>
      </c>
      <c r="O4282">
        <v>48</v>
      </c>
      <c r="P4282">
        <v>48</v>
      </c>
      <c r="Q4282">
        <v>89</v>
      </c>
      <c r="R4282">
        <v>90</v>
      </c>
    </row>
    <row r="4283" spans="1:18" x14ac:dyDescent="0.25">
      <c r="A4283">
        <v>91</v>
      </c>
      <c r="B4283" s="1">
        <v>40547</v>
      </c>
      <c r="C4283">
        <v>1</v>
      </c>
      <c r="D4283">
        <v>0</v>
      </c>
      <c r="E4283">
        <v>1</v>
      </c>
      <c r="F4283">
        <v>22</v>
      </c>
      <c r="G4283" t="b">
        <v>0</v>
      </c>
      <c r="H4283">
        <v>2</v>
      </c>
      <c r="I4283">
        <v>1</v>
      </c>
      <c r="J4283">
        <v>0.22</v>
      </c>
      <c r="K4283">
        <v>0.2576</v>
      </c>
      <c r="L4283">
        <v>0.64</v>
      </c>
      <c r="M4283">
        <v>8.9599999999999999E-2</v>
      </c>
      <c r="N4283">
        <v>1</v>
      </c>
      <c r="O4283">
        <v>34</v>
      </c>
      <c r="P4283">
        <v>35</v>
      </c>
      <c r="Q4283">
        <v>90</v>
      </c>
      <c r="R4283">
        <v>91</v>
      </c>
    </row>
    <row r="4284" spans="1:18" x14ac:dyDescent="0.25">
      <c r="A4284">
        <v>92</v>
      </c>
      <c r="B4284" s="1">
        <v>40547</v>
      </c>
      <c r="C4284">
        <v>1</v>
      </c>
      <c r="D4284">
        <v>0</v>
      </c>
      <c r="E4284">
        <v>1</v>
      </c>
      <c r="F4284">
        <v>23</v>
      </c>
      <c r="G4284" t="b">
        <v>0</v>
      </c>
      <c r="H4284">
        <v>2</v>
      </c>
      <c r="I4284">
        <v>1</v>
      </c>
      <c r="J4284">
        <v>0.2</v>
      </c>
      <c r="K4284">
        <v>0.2273</v>
      </c>
      <c r="L4284">
        <v>0.69</v>
      </c>
      <c r="M4284">
        <v>8.9599999999999999E-2</v>
      </c>
      <c r="N4284">
        <v>2</v>
      </c>
      <c r="O4284">
        <v>9</v>
      </c>
      <c r="P4284">
        <v>11</v>
      </c>
      <c r="Q4284">
        <v>91</v>
      </c>
      <c r="R4284">
        <v>92</v>
      </c>
    </row>
    <row r="4285" spans="1:18" x14ac:dyDescent="0.25">
      <c r="A4285">
        <v>93</v>
      </c>
      <c r="B4285" s="1">
        <v>40548</v>
      </c>
      <c r="C4285">
        <v>1</v>
      </c>
      <c r="D4285">
        <v>0</v>
      </c>
      <c r="E4285">
        <v>1</v>
      </c>
      <c r="F4285">
        <v>0</v>
      </c>
      <c r="G4285" t="b">
        <v>0</v>
      </c>
      <c r="H4285">
        <v>3</v>
      </c>
      <c r="I4285">
        <v>1</v>
      </c>
      <c r="J4285">
        <v>0.2</v>
      </c>
      <c r="K4285">
        <v>0.2576</v>
      </c>
      <c r="L4285">
        <v>0.64</v>
      </c>
      <c r="M4285">
        <v>0</v>
      </c>
      <c r="N4285">
        <v>0</v>
      </c>
      <c r="O4285">
        <v>6</v>
      </c>
      <c r="P4285">
        <v>6</v>
      </c>
      <c r="Q4285">
        <v>92</v>
      </c>
      <c r="R4285">
        <v>93</v>
      </c>
    </row>
    <row r="4286" spans="1:18" x14ac:dyDescent="0.25">
      <c r="A4286">
        <v>94</v>
      </c>
      <c r="B4286" s="1">
        <v>40548</v>
      </c>
      <c r="C4286">
        <v>1</v>
      </c>
      <c r="D4286">
        <v>0</v>
      </c>
      <c r="E4286">
        <v>1</v>
      </c>
      <c r="F4286">
        <v>1</v>
      </c>
      <c r="G4286" t="b">
        <v>0</v>
      </c>
      <c r="H4286">
        <v>3</v>
      </c>
      <c r="I4286">
        <v>1</v>
      </c>
      <c r="J4286">
        <v>0.16</v>
      </c>
      <c r="K4286">
        <v>0.19700000000000001</v>
      </c>
      <c r="L4286">
        <v>0.74</v>
      </c>
      <c r="M4286">
        <v>8.9599999999999999E-2</v>
      </c>
      <c r="N4286">
        <v>0</v>
      </c>
      <c r="O4286">
        <v>6</v>
      </c>
      <c r="P4286">
        <v>6</v>
      </c>
      <c r="Q4286">
        <v>93</v>
      </c>
      <c r="R4286">
        <v>94</v>
      </c>
    </row>
    <row r="4287" spans="1:18" x14ac:dyDescent="0.25">
      <c r="A4287">
        <v>95</v>
      </c>
      <c r="B4287" s="1">
        <v>40548</v>
      </c>
      <c r="C4287">
        <v>1</v>
      </c>
      <c r="D4287">
        <v>0</v>
      </c>
      <c r="E4287">
        <v>1</v>
      </c>
      <c r="F4287">
        <v>2</v>
      </c>
      <c r="G4287" t="b">
        <v>0</v>
      </c>
      <c r="H4287">
        <v>3</v>
      </c>
      <c r="I4287">
        <v>1</v>
      </c>
      <c r="J4287">
        <v>0.16</v>
      </c>
      <c r="K4287">
        <v>0.19700000000000001</v>
      </c>
      <c r="L4287">
        <v>0.74</v>
      </c>
      <c r="M4287">
        <v>8.9599999999999999E-2</v>
      </c>
      <c r="N4287">
        <v>0</v>
      </c>
      <c r="O4287">
        <v>2</v>
      </c>
      <c r="P4287">
        <v>2</v>
      </c>
      <c r="Q4287">
        <v>94</v>
      </c>
      <c r="R4287">
        <v>95</v>
      </c>
    </row>
    <row r="4288" spans="1:18" x14ac:dyDescent="0.25">
      <c r="A4288">
        <v>96</v>
      </c>
      <c r="B4288" s="1">
        <v>40548</v>
      </c>
      <c r="C4288">
        <v>1</v>
      </c>
      <c r="D4288">
        <v>0</v>
      </c>
      <c r="E4288">
        <v>1</v>
      </c>
      <c r="F4288">
        <v>4</v>
      </c>
      <c r="G4288" t="b">
        <v>0</v>
      </c>
      <c r="H4288">
        <v>3</v>
      </c>
      <c r="I4288">
        <v>1</v>
      </c>
      <c r="J4288">
        <v>0.24</v>
      </c>
      <c r="K4288">
        <v>0.2273</v>
      </c>
      <c r="L4288">
        <v>0.48</v>
      </c>
      <c r="M4288">
        <v>0.22389999999999999</v>
      </c>
      <c r="N4288">
        <v>0</v>
      </c>
      <c r="O4288">
        <v>2</v>
      </c>
      <c r="P4288">
        <v>2</v>
      </c>
      <c r="Q4288">
        <v>95</v>
      </c>
      <c r="R4288">
        <v>96</v>
      </c>
    </row>
    <row r="4289" spans="1:18" x14ac:dyDescent="0.25">
      <c r="A4289">
        <v>97</v>
      </c>
      <c r="B4289" s="1">
        <v>40548</v>
      </c>
      <c r="C4289">
        <v>1</v>
      </c>
      <c r="D4289">
        <v>0</v>
      </c>
      <c r="E4289">
        <v>1</v>
      </c>
      <c r="F4289">
        <v>5</v>
      </c>
      <c r="G4289" t="b">
        <v>0</v>
      </c>
      <c r="H4289">
        <v>3</v>
      </c>
      <c r="I4289">
        <v>1</v>
      </c>
      <c r="J4289">
        <v>0.22</v>
      </c>
      <c r="K4289">
        <v>0.2273</v>
      </c>
      <c r="L4289">
        <v>0.47</v>
      </c>
      <c r="M4289">
        <v>0.16420000000000001</v>
      </c>
      <c r="N4289">
        <v>0</v>
      </c>
      <c r="O4289">
        <v>3</v>
      </c>
      <c r="P4289">
        <v>3</v>
      </c>
      <c r="Q4289">
        <v>96</v>
      </c>
      <c r="R4289">
        <v>97</v>
      </c>
    </row>
    <row r="4290" spans="1:18" x14ac:dyDescent="0.25">
      <c r="A4290">
        <v>98</v>
      </c>
      <c r="B4290" s="1">
        <v>40548</v>
      </c>
      <c r="C4290">
        <v>1</v>
      </c>
      <c r="D4290">
        <v>0</v>
      </c>
      <c r="E4290">
        <v>1</v>
      </c>
      <c r="F4290">
        <v>6</v>
      </c>
      <c r="G4290" t="b">
        <v>0</v>
      </c>
      <c r="H4290">
        <v>3</v>
      </c>
      <c r="I4290">
        <v>1</v>
      </c>
      <c r="J4290">
        <v>0.2</v>
      </c>
      <c r="K4290">
        <v>0.19700000000000001</v>
      </c>
      <c r="L4290">
        <v>0.47</v>
      </c>
      <c r="M4290">
        <v>0.22389999999999999</v>
      </c>
      <c r="N4290">
        <v>0</v>
      </c>
      <c r="O4290">
        <v>33</v>
      </c>
      <c r="P4290">
        <v>33</v>
      </c>
      <c r="Q4290">
        <v>97</v>
      </c>
      <c r="R4290">
        <v>98</v>
      </c>
    </row>
    <row r="4291" spans="1:18" x14ac:dyDescent="0.25">
      <c r="A4291">
        <v>99</v>
      </c>
      <c r="B4291" s="1">
        <v>40548</v>
      </c>
      <c r="C4291">
        <v>1</v>
      </c>
      <c r="D4291">
        <v>0</v>
      </c>
      <c r="E4291">
        <v>1</v>
      </c>
      <c r="F4291">
        <v>7</v>
      </c>
      <c r="G4291" t="b">
        <v>0</v>
      </c>
      <c r="H4291">
        <v>3</v>
      </c>
      <c r="I4291">
        <v>1</v>
      </c>
      <c r="J4291">
        <v>0.18</v>
      </c>
      <c r="K4291">
        <v>0.18179999999999999</v>
      </c>
      <c r="L4291">
        <v>0.43</v>
      </c>
      <c r="M4291">
        <v>0.19400000000000001</v>
      </c>
      <c r="N4291">
        <v>1</v>
      </c>
      <c r="O4291">
        <v>87</v>
      </c>
      <c r="P4291">
        <v>88</v>
      </c>
      <c r="Q4291">
        <v>98</v>
      </c>
      <c r="R4291">
        <v>99</v>
      </c>
    </row>
    <row r="4292" spans="1:18" x14ac:dyDescent="0.25">
      <c r="A4292">
        <v>100</v>
      </c>
      <c r="B4292" s="1">
        <v>40548</v>
      </c>
      <c r="C4292">
        <v>1</v>
      </c>
      <c r="D4292">
        <v>0</v>
      </c>
      <c r="E4292">
        <v>1</v>
      </c>
      <c r="F4292">
        <v>8</v>
      </c>
      <c r="G4292" t="b">
        <v>0</v>
      </c>
      <c r="H4292">
        <v>3</v>
      </c>
      <c r="I4292">
        <v>1</v>
      </c>
      <c r="J4292">
        <v>0.2</v>
      </c>
      <c r="K4292">
        <v>0.18179999999999999</v>
      </c>
      <c r="L4292">
        <v>0.4</v>
      </c>
      <c r="M4292">
        <v>0.29849999999999999</v>
      </c>
      <c r="N4292">
        <v>3</v>
      </c>
      <c r="O4292">
        <v>192</v>
      </c>
      <c r="P4292">
        <v>195</v>
      </c>
      <c r="Q4292">
        <v>99</v>
      </c>
      <c r="R4292">
        <v>100</v>
      </c>
    </row>
    <row r="4293" spans="1:18" x14ac:dyDescent="0.25">
      <c r="A4293">
        <v>101</v>
      </c>
      <c r="B4293" s="1">
        <v>40548</v>
      </c>
      <c r="C4293">
        <v>1</v>
      </c>
      <c r="D4293">
        <v>0</v>
      </c>
      <c r="E4293">
        <v>1</v>
      </c>
      <c r="F4293">
        <v>9</v>
      </c>
      <c r="G4293" t="b">
        <v>0</v>
      </c>
      <c r="H4293">
        <v>3</v>
      </c>
      <c r="I4293">
        <v>1</v>
      </c>
      <c r="J4293">
        <v>0.22</v>
      </c>
      <c r="K4293">
        <v>0.19700000000000001</v>
      </c>
      <c r="L4293">
        <v>0.37</v>
      </c>
      <c r="M4293">
        <v>0.32840000000000003</v>
      </c>
      <c r="N4293">
        <v>6</v>
      </c>
      <c r="O4293">
        <v>109</v>
      </c>
      <c r="P4293">
        <v>115</v>
      </c>
      <c r="Q4293">
        <v>100</v>
      </c>
      <c r="R4293">
        <v>101</v>
      </c>
    </row>
    <row r="4294" spans="1:18" x14ac:dyDescent="0.25">
      <c r="A4294">
        <v>102</v>
      </c>
      <c r="B4294" s="1">
        <v>40548</v>
      </c>
      <c r="C4294">
        <v>1</v>
      </c>
      <c r="D4294">
        <v>0</v>
      </c>
      <c r="E4294">
        <v>1</v>
      </c>
      <c r="F4294">
        <v>10</v>
      </c>
      <c r="G4294" t="b">
        <v>0</v>
      </c>
      <c r="H4294">
        <v>3</v>
      </c>
      <c r="I4294">
        <v>1</v>
      </c>
      <c r="J4294">
        <v>0.22</v>
      </c>
      <c r="K4294">
        <v>0.19700000000000001</v>
      </c>
      <c r="L4294">
        <v>0.37</v>
      </c>
      <c r="M4294">
        <v>0.32840000000000003</v>
      </c>
      <c r="N4294">
        <v>4</v>
      </c>
      <c r="O4294">
        <v>53</v>
      </c>
      <c r="P4294">
        <v>57</v>
      </c>
      <c r="Q4294">
        <v>101</v>
      </c>
      <c r="R4294">
        <v>102</v>
      </c>
    </row>
    <row r="4295" spans="1:18" x14ac:dyDescent="0.25">
      <c r="A4295">
        <v>103</v>
      </c>
      <c r="B4295" s="1">
        <v>40548</v>
      </c>
      <c r="C4295">
        <v>1</v>
      </c>
      <c r="D4295">
        <v>0</v>
      </c>
      <c r="E4295">
        <v>1</v>
      </c>
      <c r="F4295">
        <v>11</v>
      </c>
      <c r="G4295" t="b">
        <v>0</v>
      </c>
      <c r="H4295">
        <v>3</v>
      </c>
      <c r="I4295">
        <v>1</v>
      </c>
      <c r="J4295">
        <v>0.26</v>
      </c>
      <c r="K4295">
        <v>0.2273</v>
      </c>
      <c r="L4295">
        <v>0.33</v>
      </c>
      <c r="M4295">
        <v>0.32840000000000003</v>
      </c>
      <c r="N4295">
        <v>12</v>
      </c>
      <c r="O4295">
        <v>34</v>
      </c>
      <c r="P4295">
        <v>46</v>
      </c>
      <c r="Q4295">
        <v>102</v>
      </c>
      <c r="R4295">
        <v>103</v>
      </c>
    </row>
    <row r="4296" spans="1:18" x14ac:dyDescent="0.25">
      <c r="A4296">
        <v>104</v>
      </c>
      <c r="B4296" s="1">
        <v>40548</v>
      </c>
      <c r="C4296">
        <v>1</v>
      </c>
      <c r="D4296">
        <v>0</v>
      </c>
      <c r="E4296">
        <v>1</v>
      </c>
      <c r="F4296">
        <v>12</v>
      </c>
      <c r="G4296" t="b">
        <v>0</v>
      </c>
      <c r="H4296">
        <v>3</v>
      </c>
      <c r="I4296">
        <v>1</v>
      </c>
      <c r="J4296">
        <v>0.26</v>
      </c>
      <c r="K4296">
        <v>0.2273</v>
      </c>
      <c r="L4296">
        <v>0.33</v>
      </c>
      <c r="M4296">
        <v>0.32840000000000003</v>
      </c>
      <c r="N4296">
        <v>5</v>
      </c>
      <c r="O4296">
        <v>74</v>
      </c>
      <c r="P4296">
        <v>79</v>
      </c>
      <c r="Q4296">
        <v>103</v>
      </c>
      <c r="R4296">
        <v>104</v>
      </c>
    </row>
    <row r="4297" spans="1:18" x14ac:dyDescent="0.25">
      <c r="A4297">
        <v>105</v>
      </c>
      <c r="B4297" s="1">
        <v>40548</v>
      </c>
      <c r="C4297">
        <v>1</v>
      </c>
      <c r="D4297">
        <v>0</v>
      </c>
      <c r="E4297">
        <v>1</v>
      </c>
      <c r="F4297">
        <v>13</v>
      </c>
      <c r="G4297" t="b">
        <v>0</v>
      </c>
      <c r="H4297">
        <v>3</v>
      </c>
      <c r="I4297">
        <v>1</v>
      </c>
      <c r="J4297">
        <v>0.28000000000000003</v>
      </c>
      <c r="K4297">
        <v>0.2576</v>
      </c>
      <c r="L4297">
        <v>0.3</v>
      </c>
      <c r="M4297">
        <v>0.29849999999999999</v>
      </c>
      <c r="N4297">
        <v>6</v>
      </c>
      <c r="O4297">
        <v>65</v>
      </c>
      <c r="P4297">
        <v>71</v>
      </c>
      <c r="Q4297">
        <v>104</v>
      </c>
      <c r="R4297">
        <v>105</v>
      </c>
    </row>
    <row r="4298" spans="1:18" x14ac:dyDescent="0.25">
      <c r="A4298">
        <v>106</v>
      </c>
      <c r="B4298" s="1">
        <v>40548</v>
      </c>
      <c r="C4298">
        <v>1</v>
      </c>
      <c r="D4298">
        <v>0</v>
      </c>
      <c r="E4298">
        <v>1</v>
      </c>
      <c r="F4298">
        <v>14</v>
      </c>
      <c r="G4298" t="b">
        <v>0</v>
      </c>
      <c r="H4298">
        <v>3</v>
      </c>
      <c r="I4298">
        <v>1</v>
      </c>
      <c r="J4298">
        <v>0.3</v>
      </c>
      <c r="K4298">
        <v>0.28789999999999999</v>
      </c>
      <c r="L4298">
        <v>0.28000000000000003</v>
      </c>
      <c r="M4298">
        <v>0.19400000000000001</v>
      </c>
      <c r="N4298">
        <v>10</v>
      </c>
      <c r="O4298">
        <v>52</v>
      </c>
      <c r="P4298">
        <v>62</v>
      </c>
      <c r="Q4298">
        <v>105</v>
      </c>
      <c r="R4298">
        <v>106</v>
      </c>
    </row>
    <row r="4299" spans="1:18" x14ac:dyDescent="0.25">
      <c r="A4299">
        <v>107</v>
      </c>
      <c r="B4299" s="1">
        <v>40548</v>
      </c>
      <c r="C4299">
        <v>1</v>
      </c>
      <c r="D4299">
        <v>0</v>
      </c>
      <c r="E4299">
        <v>1</v>
      </c>
      <c r="F4299">
        <v>15</v>
      </c>
      <c r="G4299" t="b">
        <v>0</v>
      </c>
      <c r="H4299">
        <v>3</v>
      </c>
      <c r="I4299">
        <v>1</v>
      </c>
      <c r="J4299">
        <v>0.3</v>
      </c>
      <c r="K4299">
        <v>0.28789999999999999</v>
      </c>
      <c r="L4299">
        <v>0.28000000000000003</v>
      </c>
      <c r="M4299">
        <v>0.19400000000000001</v>
      </c>
      <c r="N4299">
        <v>7</v>
      </c>
      <c r="O4299">
        <v>55</v>
      </c>
      <c r="P4299">
        <v>62</v>
      </c>
      <c r="Q4299">
        <v>106</v>
      </c>
      <c r="R4299">
        <v>107</v>
      </c>
    </row>
    <row r="4300" spans="1:18" x14ac:dyDescent="0.25">
      <c r="A4300">
        <v>108</v>
      </c>
      <c r="B4300" s="1">
        <v>40548</v>
      </c>
      <c r="C4300">
        <v>1</v>
      </c>
      <c r="D4300">
        <v>0</v>
      </c>
      <c r="E4300">
        <v>1</v>
      </c>
      <c r="F4300">
        <v>16</v>
      </c>
      <c r="G4300" t="b">
        <v>0</v>
      </c>
      <c r="H4300">
        <v>3</v>
      </c>
      <c r="I4300">
        <v>1</v>
      </c>
      <c r="J4300">
        <v>0.3</v>
      </c>
      <c r="K4300">
        <v>0.31819999999999998</v>
      </c>
      <c r="L4300">
        <v>0.28000000000000003</v>
      </c>
      <c r="M4300">
        <v>8.9599999999999999E-2</v>
      </c>
      <c r="N4300">
        <v>4</v>
      </c>
      <c r="O4300">
        <v>85</v>
      </c>
      <c r="P4300">
        <v>89</v>
      </c>
      <c r="Q4300">
        <v>107</v>
      </c>
      <c r="R4300">
        <v>108</v>
      </c>
    </row>
    <row r="4301" spans="1:18" x14ac:dyDescent="0.25">
      <c r="A4301">
        <v>109</v>
      </c>
      <c r="B4301" s="1">
        <v>40548</v>
      </c>
      <c r="C4301">
        <v>1</v>
      </c>
      <c r="D4301">
        <v>0</v>
      </c>
      <c r="E4301">
        <v>1</v>
      </c>
      <c r="F4301">
        <v>17</v>
      </c>
      <c r="G4301" t="b">
        <v>0</v>
      </c>
      <c r="H4301">
        <v>3</v>
      </c>
      <c r="I4301">
        <v>1</v>
      </c>
      <c r="J4301">
        <v>0.24</v>
      </c>
      <c r="K4301">
        <v>0.2273</v>
      </c>
      <c r="L4301">
        <v>0.38</v>
      </c>
      <c r="M4301">
        <v>0.19400000000000001</v>
      </c>
      <c r="N4301">
        <v>4</v>
      </c>
      <c r="O4301">
        <v>186</v>
      </c>
      <c r="P4301">
        <v>190</v>
      </c>
      <c r="Q4301">
        <v>108</v>
      </c>
      <c r="R4301">
        <v>109</v>
      </c>
    </row>
    <row r="4302" spans="1:18" x14ac:dyDescent="0.25">
      <c r="A4302">
        <v>110</v>
      </c>
      <c r="B4302" s="1">
        <v>40548</v>
      </c>
      <c r="C4302">
        <v>1</v>
      </c>
      <c r="D4302">
        <v>0</v>
      </c>
      <c r="E4302">
        <v>1</v>
      </c>
      <c r="F4302">
        <v>18</v>
      </c>
      <c r="G4302" t="b">
        <v>0</v>
      </c>
      <c r="H4302">
        <v>3</v>
      </c>
      <c r="I4302">
        <v>1</v>
      </c>
      <c r="J4302">
        <v>0.24</v>
      </c>
      <c r="K4302">
        <v>0.2424</v>
      </c>
      <c r="L4302">
        <v>0.38</v>
      </c>
      <c r="M4302">
        <v>0.1343</v>
      </c>
      <c r="N4302">
        <v>3</v>
      </c>
      <c r="O4302">
        <v>166</v>
      </c>
      <c r="P4302">
        <v>169</v>
      </c>
      <c r="Q4302">
        <v>109</v>
      </c>
      <c r="R4302">
        <v>110</v>
      </c>
    </row>
    <row r="4303" spans="1:18" x14ac:dyDescent="0.25">
      <c r="A4303">
        <v>111</v>
      </c>
      <c r="B4303" s="1">
        <v>40548</v>
      </c>
      <c r="C4303">
        <v>1</v>
      </c>
      <c r="D4303">
        <v>0</v>
      </c>
      <c r="E4303">
        <v>1</v>
      </c>
      <c r="F4303">
        <v>19</v>
      </c>
      <c r="G4303" t="b">
        <v>0</v>
      </c>
      <c r="H4303">
        <v>3</v>
      </c>
      <c r="I4303">
        <v>1</v>
      </c>
      <c r="J4303">
        <v>0.24</v>
      </c>
      <c r="K4303">
        <v>0.2576</v>
      </c>
      <c r="L4303">
        <v>0.38</v>
      </c>
      <c r="M4303">
        <v>0.1045</v>
      </c>
      <c r="N4303">
        <v>5</v>
      </c>
      <c r="O4303">
        <v>127</v>
      </c>
      <c r="P4303">
        <v>132</v>
      </c>
      <c r="Q4303">
        <v>110</v>
      </c>
      <c r="R4303">
        <v>111</v>
      </c>
    </row>
    <row r="4304" spans="1:18" x14ac:dyDescent="0.25">
      <c r="A4304">
        <v>112</v>
      </c>
      <c r="B4304" s="1">
        <v>40548</v>
      </c>
      <c r="C4304">
        <v>1</v>
      </c>
      <c r="D4304">
        <v>0</v>
      </c>
      <c r="E4304">
        <v>1</v>
      </c>
      <c r="F4304">
        <v>20</v>
      </c>
      <c r="G4304" t="b">
        <v>0</v>
      </c>
      <c r="H4304">
        <v>3</v>
      </c>
      <c r="I4304">
        <v>1</v>
      </c>
      <c r="J4304">
        <v>0.22</v>
      </c>
      <c r="K4304">
        <v>0.2273</v>
      </c>
      <c r="L4304">
        <v>0.47</v>
      </c>
      <c r="M4304">
        <v>0.16420000000000001</v>
      </c>
      <c r="N4304">
        <v>7</v>
      </c>
      <c r="O4304">
        <v>82</v>
      </c>
      <c r="P4304">
        <v>89</v>
      </c>
      <c r="Q4304">
        <v>111</v>
      </c>
      <c r="R4304">
        <v>112</v>
      </c>
    </row>
    <row r="4305" spans="1:18" x14ac:dyDescent="0.25">
      <c r="A4305">
        <v>113</v>
      </c>
      <c r="B4305" s="1">
        <v>40548</v>
      </c>
      <c r="C4305">
        <v>1</v>
      </c>
      <c r="D4305">
        <v>0</v>
      </c>
      <c r="E4305">
        <v>1</v>
      </c>
      <c r="F4305">
        <v>21</v>
      </c>
      <c r="G4305" t="b">
        <v>0</v>
      </c>
      <c r="H4305">
        <v>3</v>
      </c>
      <c r="I4305">
        <v>1</v>
      </c>
      <c r="J4305">
        <v>0.2</v>
      </c>
      <c r="K4305">
        <v>0.19700000000000001</v>
      </c>
      <c r="L4305">
        <v>0.51</v>
      </c>
      <c r="M4305">
        <v>0.19400000000000001</v>
      </c>
      <c r="N4305">
        <v>3</v>
      </c>
      <c r="O4305">
        <v>40</v>
      </c>
      <c r="P4305">
        <v>43</v>
      </c>
      <c r="Q4305">
        <v>112</v>
      </c>
      <c r="R4305">
        <v>113</v>
      </c>
    </row>
    <row r="4306" spans="1:18" x14ac:dyDescent="0.25">
      <c r="A4306">
        <v>114</v>
      </c>
      <c r="B4306" s="1">
        <v>40548</v>
      </c>
      <c r="C4306">
        <v>1</v>
      </c>
      <c r="D4306">
        <v>0</v>
      </c>
      <c r="E4306">
        <v>1</v>
      </c>
      <c r="F4306">
        <v>22</v>
      </c>
      <c r="G4306" t="b">
        <v>0</v>
      </c>
      <c r="H4306">
        <v>3</v>
      </c>
      <c r="I4306">
        <v>1</v>
      </c>
      <c r="J4306">
        <v>0.18</v>
      </c>
      <c r="K4306">
        <v>0.19700000000000001</v>
      </c>
      <c r="L4306">
        <v>0.55000000000000004</v>
      </c>
      <c r="M4306">
        <v>0.1343</v>
      </c>
      <c r="N4306">
        <v>1</v>
      </c>
      <c r="O4306">
        <v>41</v>
      </c>
      <c r="P4306">
        <v>42</v>
      </c>
      <c r="Q4306">
        <v>113</v>
      </c>
      <c r="R4306">
        <v>114</v>
      </c>
    </row>
    <row r="4307" spans="1:18" x14ac:dyDescent="0.25">
      <c r="A4307">
        <v>115</v>
      </c>
      <c r="B4307" s="1">
        <v>40548</v>
      </c>
      <c r="C4307">
        <v>1</v>
      </c>
      <c r="D4307">
        <v>0</v>
      </c>
      <c r="E4307">
        <v>1</v>
      </c>
      <c r="F4307">
        <v>23</v>
      </c>
      <c r="G4307" t="b">
        <v>0</v>
      </c>
      <c r="H4307">
        <v>3</v>
      </c>
      <c r="I4307">
        <v>1</v>
      </c>
      <c r="J4307">
        <v>0.2</v>
      </c>
      <c r="K4307">
        <v>0.2576</v>
      </c>
      <c r="L4307">
        <v>0.47</v>
      </c>
      <c r="M4307">
        <v>0</v>
      </c>
      <c r="N4307">
        <v>1</v>
      </c>
      <c r="O4307">
        <v>18</v>
      </c>
      <c r="P4307">
        <v>19</v>
      </c>
      <c r="Q4307">
        <v>114</v>
      </c>
      <c r="R4307">
        <v>115</v>
      </c>
    </row>
    <row r="4308" spans="1:18" x14ac:dyDescent="0.25">
      <c r="A4308">
        <v>116</v>
      </c>
      <c r="B4308" s="1">
        <v>40549</v>
      </c>
      <c r="C4308">
        <v>1</v>
      </c>
      <c r="D4308">
        <v>0</v>
      </c>
      <c r="E4308">
        <v>1</v>
      </c>
      <c r="F4308">
        <v>0</v>
      </c>
      <c r="G4308" t="b">
        <v>0</v>
      </c>
      <c r="H4308">
        <v>4</v>
      </c>
      <c r="I4308">
        <v>1</v>
      </c>
      <c r="J4308">
        <v>0.18</v>
      </c>
      <c r="K4308">
        <v>0.2424</v>
      </c>
      <c r="L4308">
        <v>0.55000000000000004</v>
      </c>
      <c r="M4308">
        <v>0</v>
      </c>
      <c r="N4308">
        <v>0</v>
      </c>
      <c r="O4308">
        <v>11</v>
      </c>
      <c r="P4308">
        <v>11</v>
      </c>
      <c r="Q4308">
        <v>115</v>
      </c>
      <c r="R4308">
        <v>116</v>
      </c>
    </row>
    <row r="4309" spans="1:18" x14ac:dyDescent="0.25">
      <c r="A4309">
        <v>117</v>
      </c>
      <c r="B4309" s="1">
        <v>40549</v>
      </c>
      <c r="C4309">
        <v>1</v>
      </c>
      <c r="D4309">
        <v>0</v>
      </c>
      <c r="E4309">
        <v>1</v>
      </c>
      <c r="F4309">
        <v>1</v>
      </c>
      <c r="G4309" t="b">
        <v>0</v>
      </c>
      <c r="H4309">
        <v>4</v>
      </c>
      <c r="I4309">
        <v>1</v>
      </c>
      <c r="J4309">
        <v>0.16</v>
      </c>
      <c r="K4309">
        <v>0.2273</v>
      </c>
      <c r="L4309">
        <v>0.64</v>
      </c>
      <c r="M4309">
        <v>0</v>
      </c>
      <c r="N4309">
        <v>0</v>
      </c>
      <c r="O4309">
        <v>4</v>
      </c>
      <c r="P4309">
        <v>4</v>
      </c>
      <c r="Q4309">
        <v>116</v>
      </c>
      <c r="R4309">
        <v>117</v>
      </c>
    </row>
    <row r="4310" spans="1:18" x14ac:dyDescent="0.25">
      <c r="A4310">
        <v>118</v>
      </c>
      <c r="B4310" s="1">
        <v>40549</v>
      </c>
      <c r="C4310">
        <v>1</v>
      </c>
      <c r="D4310">
        <v>0</v>
      </c>
      <c r="E4310">
        <v>1</v>
      </c>
      <c r="F4310">
        <v>2</v>
      </c>
      <c r="G4310" t="b">
        <v>0</v>
      </c>
      <c r="H4310">
        <v>4</v>
      </c>
      <c r="I4310">
        <v>1</v>
      </c>
      <c r="J4310">
        <v>0.16</v>
      </c>
      <c r="K4310">
        <v>0.2273</v>
      </c>
      <c r="L4310">
        <v>0.64</v>
      </c>
      <c r="M4310">
        <v>0</v>
      </c>
      <c r="N4310">
        <v>0</v>
      </c>
      <c r="O4310">
        <v>2</v>
      </c>
      <c r="P4310">
        <v>2</v>
      </c>
      <c r="Q4310">
        <v>117</v>
      </c>
      <c r="R4310">
        <v>118</v>
      </c>
    </row>
    <row r="4311" spans="1:18" x14ac:dyDescent="0.25">
      <c r="A4311">
        <v>119</v>
      </c>
      <c r="B4311" s="1">
        <v>40549</v>
      </c>
      <c r="C4311">
        <v>1</v>
      </c>
      <c r="D4311">
        <v>0</v>
      </c>
      <c r="E4311">
        <v>1</v>
      </c>
      <c r="F4311">
        <v>4</v>
      </c>
      <c r="G4311" t="b">
        <v>0</v>
      </c>
      <c r="H4311">
        <v>4</v>
      </c>
      <c r="I4311">
        <v>2</v>
      </c>
      <c r="J4311">
        <v>0.16</v>
      </c>
      <c r="K4311">
        <v>0.19700000000000001</v>
      </c>
      <c r="L4311">
        <v>0.64</v>
      </c>
      <c r="M4311">
        <v>8.9599999999999999E-2</v>
      </c>
      <c r="N4311">
        <v>0</v>
      </c>
      <c r="O4311">
        <v>1</v>
      </c>
      <c r="P4311">
        <v>1</v>
      </c>
      <c r="Q4311">
        <v>118</v>
      </c>
      <c r="R4311">
        <v>119</v>
      </c>
    </row>
    <row r="4312" spans="1:18" x14ac:dyDescent="0.25">
      <c r="A4312">
        <v>120</v>
      </c>
      <c r="B4312" s="1">
        <v>40549</v>
      </c>
      <c r="C4312">
        <v>1</v>
      </c>
      <c r="D4312">
        <v>0</v>
      </c>
      <c r="E4312">
        <v>1</v>
      </c>
      <c r="F4312">
        <v>5</v>
      </c>
      <c r="G4312" t="b">
        <v>0</v>
      </c>
      <c r="H4312">
        <v>4</v>
      </c>
      <c r="I4312">
        <v>2</v>
      </c>
      <c r="J4312">
        <v>0.14000000000000001</v>
      </c>
      <c r="K4312">
        <v>0.18179999999999999</v>
      </c>
      <c r="L4312">
        <v>0.69</v>
      </c>
      <c r="M4312">
        <v>8.9599999999999999E-2</v>
      </c>
      <c r="N4312">
        <v>0</v>
      </c>
      <c r="O4312">
        <v>4</v>
      </c>
      <c r="P4312">
        <v>4</v>
      </c>
      <c r="Q4312">
        <v>119</v>
      </c>
      <c r="R4312">
        <v>120</v>
      </c>
    </row>
    <row r="4313" spans="1:18" x14ac:dyDescent="0.25">
      <c r="A4313">
        <v>121</v>
      </c>
      <c r="B4313" s="1">
        <v>40549</v>
      </c>
      <c r="C4313">
        <v>1</v>
      </c>
      <c r="D4313">
        <v>0</v>
      </c>
      <c r="E4313">
        <v>1</v>
      </c>
      <c r="F4313">
        <v>6</v>
      </c>
      <c r="G4313" t="b">
        <v>0</v>
      </c>
      <c r="H4313">
        <v>4</v>
      </c>
      <c r="I4313">
        <v>2</v>
      </c>
      <c r="J4313">
        <v>0.14000000000000001</v>
      </c>
      <c r="K4313">
        <v>0.16669999999999999</v>
      </c>
      <c r="L4313">
        <v>0.63</v>
      </c>
      <c r="M4313">
        <v>0.1045</v>
      </c>
      <c r="N4313">
        <v>0</v>
      </c>
      <c r="O4313">
        <v>36</v>
      </c>
      <c r="P4313">
        <v>36</v>
      </c>
      <c r="Q4313">
        <v>120</v>
      </c>
      <c r="R4313">
        <v>121</v>
      </c>
    </row>
    <row r="4314" spans="1:18" x14ac:dyDescent="0.25">
      <c r="A4314">
        <v>122</v>
      </c>
      <c r="B4314" s="1">
        <v>40549</v>
      </c>
      <c r="C4314">
        <v>1</v>
      </c>
      <c r="D4314">
        <v>0</v>
      </c>
      <c r="E4314">
        <v>1</v>
      </c>
      <c r="F4314">
        <v>7</v>
      </c>
      <c r="G4314" t="b">
        <v>0</v>
      </c>
      <c r="H4314">
        <v>4</v>
      </c>
      <c r="I4314">
        <v>2</v>
      </c>
      <c r="J4314">
        <v>0.16</v>
      </c>
      <c r="K4314">
        <v>0.2273</v>
      </c>
      <c r="L4314">
        <v>0.59</v>
      </c>
      <c r="M4314">
        <v>0</v>
      </c>
      <c r="N4314">
        <v>0</v>
      </c>
      <c r="O4314">
        <v>95</v>
      </c>
      <c r="P4314">
        <v>95</v>
      </c>
      <c r="Q4314">
        <v>121</v>
      </c>
      <c r="R4314">
        <v>122</v>
      </c>
    </row>
    <row r="4315" spans="1:18" x14ac:dyDescent="0.25">
      <c r="A4315">
        <v>123</v>
      </c>
      <c r="B4315" s="1">
        <v>40549</v>
      </c>
      <c r="C4315">
        <v>1</v>
      </c>
      <c r="D4315">
        <v>0</v>
      </c>
      <c r="E4315">
        <v>1</v>
      </c>
      <c r="F4315">
        <v>8</v>
      </c>
      <c r="G4315" t="b">
        <v>0</v>
      </c>
      <c r="H4315">
        <v>4</v>
      </c>
      <c r="I4315">
        <v>1</v>
      </c>
      <c r="J4315">
        <v>0.16</v>
      </c>
      <c r="K4315">
        <v>0.2273</v>
      </c>
      <c r="L4315">
        <v>0.59</v>
      </c>
      <c r="M4315">
        <v>0</v>
      </c>
      <c r="N4315">
        <v>3</v>
      </c>
      <c r="O4315">
        <v>216</v>
      </c>
      <c r="P4315">
        <v>219</v>
      </c>
      <c r="Q4315">
        <v>122</v>
      </c>
      <c r="R4315">
        <v>123</v>
      </c>
    </row>
    <row r="4316" spans="1:18" x14ac:dyDescent="0.25">
      <c r="A4316">
        <v>124</v>
      </c>
      <c r="B4316" s="1">
        <v>40549</v>
      </c>
      <c r="C4316">
        <v>1</v>
      </c>
      <c r="D4316">
        <v>0</v>
      </c>
      <c r="E4316">
        <v>1</v>
      </c>
      <c r="F4316">
        <v>9</v>
      </c>
      <c r="G4316" t="b">
        <v>0</v>
      </c>
      <c r="H4316">
        <v>4</v>
      </c>
      <c r="I4316">
        <v>2</v>
      </c>
      <c r="J4316">
        <v>0.18</v>
      </c>
      <c r="K4316">
        <v>0.2424</v>
      </c>
      <c r="L4316">
        <v>0.51</v>
      </c>
      <c r="M4316">
        <v>0</v>
      </c>
      <c r="N4316">
        <v>6</v>
      </c>
      <c r="O4316">
        <v>116</v>
      </c>
      <c r="P4316">
        <v>122</v>
      </c>
      <c r="Q4316">
        <v>123</v>
      </c>
      <c r="R4316">
        <v>124</v>
      </c>
    </row>
    <row r="4317" spans="1:18" x14ac:dyDescent="0.25">
      <c r="A4317">
        <v>125</v>
      </c>
      <c r="B4317" s="1">
        <v>40549</v>
      </c>
      <c r="C4317">
        <v>1</v>
      </c>
      <c r="D4317">
        <v>0</v>
      </c>
      <c r="E4317">
        <v>1</v>
      </c>
      <c r="F4317">
        <v>10</v>
      </c>
      <c r="G4317" t="b">
        <v>0</v>
      </c>
      <c r="H4317">
        <v>4</v>
      </c>
      <c r="I4317">
        <v>1</v>
      </c>
      <c r="J4317">
        <v>0.2</v>
      </c>
      <c r="K4317">
        <v>0.2576</v>
      </c>
      <c r="L4317">
        <v>0.47</v>
      </c>
      <c r="M4317">
        <v>0</v>
      </c>
      <c r="N4317">
        <v>3</v>
      </c>
      <c r="O4317">
        <v>42</v>
      </c>
      <c r="P4317">
        <v>45</v>
      </c>
      <c r="Q4317">
        <v>124</v>
      </c>
      <c r="R4317">
        <v>125</v>
      </c>
    </row>
    <row r="4318" spans="1:18" x14ac:dyDescent="0.25">
      <c r="A4318">
        <v>126</v>
      </c>
      <c r="B4318" s="1">
        <v>40549</v>
      </c>
      <c r="C4318">
        <v>1</v>
      </c>
      <c r="D4318">
        <v>0</v>
      </c>
      <c r="E4318">
        <v>1</v>
      </c>
      <c r="F4318">
        <v>11</v>
      </c>
      <c r="G4318" t="b">
        <v>0</v>
      </c>
      <c r="H4318">
        <v>4</v>
      </c>
      <c r="I4318">
        <v>1</v>
      </c>
      <c r="J4318">
        <v>0.22</v>
      </c>
      <c r="K4318">
        <v>0.2576</v>
      </c>
      <c r="L4318">
        <v>0.44</v>
      </c>
      <c r="M4318">
        <v>8.9599999999999999E-2</v>
      </c>
      <c r="N4318">
        <v>2</v>
      </c>
      <c r="O4318">
        <v>57</v>
      </c>
      <c r="P4318">
        <v>59</v>
      </c>
      <c r="Q4318">
        <v>125</v>
      </c>
      <c r="R4318">
        <v>126</v>
      </c>
    </row>
    <row r="4319" spans="1:18" x14ac:dyDescent="0.25">
      <c r="A4319">
        <v>127</v>
      </c>
      <c r="B4319" s="1">
        <v>40549</v>
      </c>
      <c r="C4319">
        <v>1</v>
      </c>
      <c r="D4319">
        <v>0</v>
      </c>
      <c r="E4319">
        <v>1</v>
      </c>
      <c r="F4319">
        <v>12</v>
      </c>
      <c r="G4319" t="b">
        <v>0</v>
      </c>
      <c r="H4319">
        <v>4</v>
      </c>
      <c r="I4319">
        <v>1</v>
      </c>
      <c r="J4319">
        <v>0.26</v>
      </c>
      <c r="K4319">
        <v>0.28789999999999999</v>
      </c>
      <c r="L4319">
        <v>0.35</v>
      </c>
      <c r="M4319">
        <v>0</v>
      </c>
      <c r="N4319">
        <v>6</v>
      </c>
      <c r="O4319">
        <v>78</v>
      </c>
      <c r="P4319">
        <v>84</v>
      </c>
      <c r="Q4319">
        <v>126</v>
      </c>
      <c r="R4319">
        <v>127</v>
      </c>
    </row>
    <row r="4320" spans="1:18" x14ac:dyDescent="0.25">
      <c r="A4320">
        <v>128</v>
      </c>
      <c r="B4320" s="1">
        <v>40549</v>
      </c>
      <c r="C4320">
        <v>1</v>
      </c>
      <c r="D4320">
        <v>0</v>
      </c>
      <c r="E4320">
        <v>1</v>
      </c>
      <c r="F4320">
        <v>13</v>
      </c>
      <c r="G4320" t="b">
        <v>0</v>
      </c>
      <c r="H4320">
        <v>4</v>
      </c>
      <c r="I4320">
        <v>1</v>
      </c>
      <c r="J4320">
        <v>0.26</v>
      </c>
      <c r="K4320">
        <v>0.2727</v>
      </c>
      <c r="L4320">
        <v>0.35</v>
      </c>
      <c r="M4320">
        <v>0.1045</v>
      </c>
      <c r="N4320">
        <v>12</v>
      </c>
      <c r="O4320">
        <v>55</v>
      </c>
      <c r="P4320">
        <v>67</v>
      </c>
      <c r="Q4320">
        <v>127</v>
      </c>
      <c r="R4320">
        <v>128</v>
      </c>
    </row>
    <row r="4321" spans="1:18" x14ac:dyDescent="0.25">
      <c r="A4321">
        <v>129</v>
      </c>
      <c r="B4321" s="1">
        <v>40549</v>
      </c>
      <c r="C4321">
        <v>1</v>
      </c>
      <c r="D4321">
        <v>0</v>
      </c>
      <c r="E4321">
        <v>1</v>
      </c>
      <c r="F4321">
        <v>14</v>
      </c>
      <c r="G4321" t="b">
        <v>0</v>
      </c>
      <c r="H4321">
        <v>4</v>
      </c>
      <c r="I4321">
        <v>1</v>
      </c>
      <c r="J4321">
        <v>0.28000000000000003</v>
      </c>
      <c r="K4321">
        <v>0.2727</v>
      </c>
      <c r="L4321">
        <v>0.36</v>
      </c>
      <c r="M4321">
        <v>0.16420000000000001</v>
      </c>
      <c r="N4321">
        <v>11</v>
      </c>
      <c r="O4321">
        <v>59</v>
      </c>
      <c r="P4321">
        <v>70</v>
      </c>
      <c r="Q4321">
        <v>128</v>
      </c>
      <c r="R4321">
        <v>129</v>
      </c>
    </row>
    <row r="4322" spans="1:18" x14ac:dyDescent="0.25">
      <c r="A4322">
        <v>130</v>
      </c>
      <c r="B4322" s="1">
        <v>40549</v>
      </c>
      <c r="C4322">
        <v>1</v>
      </c>
      <c r="D4322">
        <v>0</v>
      </c>
      <c r="E4322">
        <v>1</v>
      </c>
      <c r="F4322">
        <v>15</v>
      </c>
      <c r="G4322" t="b">
        <v>0</v>
      </c>
      <c r="H4322">
        <v>4</v>
      </c>
      <c r="I4322">
        <v>1</v>
      </c>
      <c r="J4322">
        <v>0.28000000000000003</v>
      </c>
      <c r="K4322">
        <v>0.2727</v>
      </c>
      <c r="L4322">
        <v>0.36</v>
      </c>
      <c r="M4322">
        <v>0</v>
      </c>
      <c r="N4322">
        <v>8</v>
      </c>
      <c r="O4322">
        <v>54</v>
      </c>
      <c r="P4322">
        <v>62</v>
      </c>
      <c r="Q4322">
        <v>129</v>
      </c>
      <c r="R4322">
        <v>130</v>
      </c>
    </row>
    <row r="4323" spans="1:18" x14ac:dyDescent="0.25">
      <c r="A4323">
        <v>131</v>
      </c>
      <c r="B4323" s="1">
        <v>40549</v>
      </c>
      <c r="C4323">
        <v>1</v>
      </c>
      <c r="D4323">
        <v>0</v>
      </c>
      <c r="E4323">
        <v>1</v>
      </c>
      <c r="F4323">
        <v>16</v>
      </c>
      <c r="G4323" t="b">
        <v>0</v>
      </c>
      <c r="H4323">
        <v>4</v>
      </c>
      <c r="I4323">
        <v>1</v>
      </c>
      <c r="J4323">
        <v>0.26</v>
      </c>
      <c r="K4323">
        <v>0.2576</v>
      </c>
      <c r="L4323">
        <v>0.38</v>
      </c>
      <c r="M4323">
        <v>0.16420000000000001</v>
      </c>
      <c r="N4323">
        <v>12</v>
      </c>
      <c r="O4323">
        <v>74</v>
      </c>
      <c r="P4323">
        <v>86</v>
      </c>
      <c r="Q4323">
        <v>130</v>
      </c>
      <c r="R4323">
        <v>131</v>
      </c>
    </row>
    <row r="4324" spans="1:18" x14ac:dyDescent="0.25">
      <c r="A4324">
        <v>132</v>
      </c>
      <c r="B4324" s="1">
        <v>40549</v>
      </c>
      <c r="C4324">
        <v>1</v>
      </c>
      <c r="D4324">
        <v>0</v>
      </c>
      <c r="E4324">
        <v>1</v>
      </c>
      <c r="F4324">
        <v>17</v>
      </c>
      <c r="G4324" t="b">
        <v>0</v>
      </c>
      <c r="H4324">
        <v>4</v>
      </c>
      <c r="I4324">
        <v>1</v>
      </c>
      <c r="J4324">
        <v>0.22</v>
      </c>
      <c r="K4324">
        <v>0.2273</v>
      </c>
      <c r="L4324">
        <v>0.51</v>
      </c>
      <c r="M4324">
        <v>0.16420000000000001</v>
      </c>
      <c r="N4324">
        <v>9</v>
      </c>
      <c r="O4324">
        <v>163</v>
      </c>
      <c r="P4324">
        <v>172</v>
      </c>
      <c r="Q4324">
        <v>131</v>
      </c>
      <c r="R4324">
        <v>132</v>
      </c>
    </row>
    <row r="4325" spans="1:18" x14ac:dyDescent="0.25">
      <c r="A4325">
        <v>133</v>
      </c>
      <c r="B4325" s="1">
        <v>40549</v>
      </c>
      <c r="C4325">
        <v>1</v>
      </c>
      <c r="D4325">
        <v>0</v>
      </c>
      <c r="E4325">
        <v>1</v>
      </c>
      <c r="F4325">
        <v>18</v>
      </c>
      <c r="G4325" t="b">
        <v>0</v>
      </c>
      <c r="H4325">
        <v>4</v>
      </c>
      <c r="I4325">
        <v>1</v>
      </c>
      <c r="J4325">
        <v>0.22</v>
      </c>
      <c r="K4325">
        <v>0.2273</v>
      </c>
      <c r="L4325">
        <v>0.51</v>
      </c>
      <c r="M4325">
        <v>0.1343</v>
      </c>
      <c r="N4325">
        <v>5</v>
      </c>
      <c r="O4325">
        <v>158</v>
      </c>
      <c r="P4325">
        <v>163</v>
      </c>
      <c r="Q4325">
        <v>132</v>
      </c>
      <c r="R4325">
        <v>133</v>
      </c>
    </row>
    <row r="4326" spans="1:18" x14ac:dyDescent="0.25">
      <c r="A4326">
        <v>134</v>
      </c>
      <c r="B4326" s="1">
        <v>40549</v>
      </c>
      <c r="C4326">
        <v>1</v>
      </c>
      <c r="D4326">
        <v>0</v>
      </c>
      <c r="E4326">
        <v>1</v>
      </c>
      <c r="F4326">
        <v>19</v>
      </c>
      <c r="G4326" t="b">
        <v>0</v>
      </c>
      <c r="H4326">
        <v>4</v>
      </c>
      <c r="I4326">
        <v>1</v>
      </c>
      <c r="J4326">
        <v>0.22</v>
      </c>
      <c r="K4326">
        <v>0.2576</v>
      </c>
      <c r="L4326">
        <v>0.55000000000000004</v>
      </c>
      <c r="M4326">
        <v>8.9599999999999999E-2</v>
      </c>
      <c r="N4326">
        <v>3</v>
      </c>
      <c r="O4326">
        <v>109</v>
      </c>
      <c r="P4326">
        <v>112</v>
      </c>
      <c r="Q4326">
        <v>133</v>
      </c>
      <c r="R4326">
        <v>134</v>
      </c>
    </row>
    <row r="4327" spans="1:18" x14ac:dyDescent="0.25">
      <c r="A4327">
        <v>135</v>
      </c>
      <c r="B4327" s="1">
        <v>40549</v>
      </c>
      <c r="C4327">
        <v>1</v>
      </c>
      <c r="D4327">
        <v>0</v>
      </c>
      <c r="E4327">
        <v>1</v>
      </c>
      <c r="F4327">
        <v>20</v>
      </c>
      <c r="G4327" t="b">
        <v>0</v>
      </c>
      <c r="H4327">
        <v>4</v>
      </c>
      <c r="I4327">
        <v>1</v>
      </c>
      <c r="J4327">
        <v>0.2</v>
      </c>
      <c r="K4327">
        <v>0.21210000000000001</v>
      </c>
      <c r="L4327">
        <v>0.51</v>
      </c>
      <c r="M4327">
        <v>0.16420000000000001</v>
      </c>
      <c r="N4327">
        <v>3</v>
      </c>
      <c r="O4327">
        <v>66</v>
      </c>
      <c r="P4327">
        <v>69</v>
      </c>
      <c r="Q4327">
        <v>134</v>
      </c>
      <c r="R4327">
        <v>135</v>
      </c>
    </row>
    <row r="4328" spans="1:18" x14ac:dyDescent="0.25">
      <c r="A4328">
        <v>136</v>
      </c>
      <c r="B4328" s="1">
        <v>40549</v>
      </c>
      <c r="C4328">
        <v>1</v>
      </c>
      <c r="D4328">
        <v>0</v>
      </c>
      <c r="E4328">
        <v>1</v>
      </c>
      <c r="F4328">
        <v>21</v>
      </c>
      <c r="G4328" t="b">
        <v>0</v>
      </c>
      <c r="H4328">
        <v>4</v>
      </c>
      <c r="I4328">
        <v>2</v>
      </c>
      <c r="J4328">
        <v>0.22</v>
      </c>
      <c r="K4328">
        <v>0.21210000000000001</v>
      </c>
      <c r="L4328">
        <v>0.55000000000000004</v>
      </c>
      <c r="M4328">
        <v>0.22389999999999999</v>
      </c>
      <c r="N4328">
        <v>0</v>
      </c>
      <c r="O4328">
        <v>48</v>
      </c>
      <c r="P4328">
        <v>48</v>
      </c>
      <c r="Q4328">
        <v>135</v>
      </c>
      <c r="R4328">
        <v>136</v>
      </c>
    </row>
    <row r="4329" spans="1:18" x14ac:dyDescent="0.25">
      <c r="A4329">
        <v>137</v>
      </c>
      <c r="B4329" s="1">
        <v>40549</v>
      </c>
      <c r="C4329">
        <v>1</v>
      </c>
      <c r="D4329">
        <v>0</v>
      </c>
      <c r="E4329">
        <v>1</v>
      </c>
      <c r="F4329">
        <v>22</v>
      </c>
      <c r="G4329" t="b">
        <v>0</v>
      </c>
      <c r="H4329">
        <v>4</v>
      </c>
      <c r="I4329">
        <v>2</v>
      </c>
      <c r="J4329">
        <v>0.22</v>
      </c>
      <c r="K4329">
        <v>0.21210000000000001</v>
      </c>
      <c r="L4329">
        <v>0.51</v>
      </c>
      <c r="M4329">
        <v>0.28360000000000002</v>
      </c>
      <c r="N4329">
        <v>1</v>
      </c>
      <c r="O4329">
        <v>51</v>
      </c>
      <c r="P4329">
        <v>52</v>
      </c>
      <c r="Q4329">
        <v>136</v>
      </c>
      <c r="R4329">
        <v>137</v>
      </c>
    </row>
    <row r="4330" spans="1:18" x14ac:dyDescent="0.25">
      <c r="A4330">
        <v>138</v>
      </c>
      <c r="B4330" s="1">
        <v>40549</v>
      </c>
      <c r="C4330">
        <v>1</v>
      </c>
      <c r="D4330">
        <v>0</v>
      </c>
      <c r="E4330">
        <v>1</v>
      </c>
      <c r="F4330">
        <v>23</v>
      </c>
      <c r="G4330" t="b">
        <v>0</v>
      </c>
      <c r="H4330">
        <v>4</v>
      </c>
      <c r="I4330">
        <v>2</v>
      </c>
      <c r="J4330">
        <v>0.2</v>
      </c>
      <c r="K4330">
        <v>0.19700000000000001</v>
      </c>
      <c r="L4330">
        <v>0.59</v>
      </c>
      <c r="M4330">
        <v>0.19400000000000001</v>
      </c>
      <c r="N4330">
        <v>4</v>
      </c>
      <c r="O4330">
        <v>19</v>
      </c>
      <c r="P4330">
        <v>23</v>
      </c>
      <c r="Q4330">
        <v>137</v>
      </c>
      <c r="R4330">
        <v>138</v>
      </c>
    </row>
    <row r="4331" spans="1:18" x14ac:dyDescent="0.25">
      <c r="A4331">
        <v>139</v>
      </c>
      <c r="B4331" s="1">
        <v>40550</v>
      </c>
      <c r="C4331">
        <v>1</v>
      </c>
      <c r="D4331">
        <v>0</v>
      </c>
      <c r="E4331">
        <v>1</v>
      </c>
      <c r="F4331">
        <v>0</v>
      </c>
      <c r="G4331" t="b">
        <v>0</v>
      </c>
      <c r="H4331">
        <v>5</v>
      </c>
      <c r="I4331">
        <v>2</v>
      </c>
      <c r="J4331">
        <v>0.2</v>
      </c>
      <c r="K4331">
        <v>0.19700000000000001</v>
      </c>
      <c r="L4331">
        <v>0.64</v>
      </c>
      <c r="M4331">
        <v>0.19400000000000001</v>
      </c>
      <c r="N4331">
        <v>4</v>
      </c>
      <c r="O4331">
        <v>13</v>
      </c>
      <c r="P4331">
        <v>17</v>
      </c>
      <c r="Q4331">
        <v>138</v>
      </c>
      <c r="R4331">
        <v>139</v>
      </c>
    </row>
    <row r="4332" spans="1:18" x14ac:dyDescent="0.25">
      <c r="A4332">
        <v>140</v>
      </c>
      <c r="B4332" s="1">
        <v>40550</v>
      </c>
      <c r="C4332">
        <v>1</v>
      </c>
      <c r="D4332">
        <v>0</v>
      </c>
      <c r="E4332">
        <v>1</v>
      </c>
      <c r="F4332">
        <v>1</v>
      </c>
      <c r="G4332" t="b">
        <v>0</v>
      </c>
      <c r="H4332">
        <v>5</v>
      </c>
      <c r="I4332">
        <v>2</v>
      </c>
      <c r="J4332">
        <v>0.2</v>
      </c>
      <c r="K4332">
        <v>0.19700000000000001</v>
      </c>
      <c r="L4332">
        <v>0.69</v>
      </c>
      <c r="M4332">
        <v>0.22389999999999999</v>
      </c>
      <c r="N4332">
        <v>2</v>
      </c>
      <c r="O4332">
        <v>5</v>
      </c>
      <c r="P4332">
        <v>7</v>
      </c>
      <c r="Q4332">
        <v>139</v>
      </c>
      <c r="R4332">
        <v>140</v>
      </c>
    </row>
    <row r="4333" spans="1:18" x14ac:dyDescent="0.25">
      <c r="A4333">
        <v>141</v>
      </c>
      <c r="B4333" s="1">
        <v>40550</v>
      </c>
      <c r="C4333">
        <v>1</v>
      </c>
      <c r="D4333">
        <v>0</v>
      </c>
      <c r="E4333">
        <v>1</v>
      </c>
      <c r="F4333">
        <v>2</v>
      </c>
      <c r="G4333" t="b">
        <v>0</v>
      </c>
      <c r="H4333">
        <v>5</v>
      </c>
      <c r="I4333">
        <v>2</v>
      </c>
      <c r="J4333">
        <v>0.2</v>
      </c>
      <c r="K4333">
        <v>0.19700000000000001</v>
      </c>
      <c r="L4333">
        <v>0.69</v>
      </c>
      <c r="M4333">
        <v>0.22389999999999999</v>
      </c>
      <c r="N4333">
        <v>0</v>
      </c>
      <c r="O4333">
        <v>1</v>
      </c>
      <c r="P4333">
        <v>1</v>
      </c>
      <c r="Q4333">
        <v>140</v>
      </c>
      <c r="R4333">
        <v>141</v>
      </c>
    </row>
    <row r="4334" spans="1:18" x14ac:dyDescent="0.25">
      <c r="A4334">
        <v>142</v>
      </c>
      <c r="B4334" s="1">
        <v>40550</v>
      </c>
      <c r="C4334">
        <v>1</v>
      </c>
      <c r="D4334">
        <v>0</v>
      </c>
      <c r="E4334">
        <v>1</v>
      </c>
      <c r="F4334">
        <v>4</v>
      </c>
      <c r="G4334" t="b">
        <v>0</v>
      </c>
      <c r="H4334">
        <v>5</v>
      </c>
      <c r="I4334">
        <v>2</v>
      </c>
      <c r="J4334">
        <v>0.2</v>
      </c>
      <c r="K4334">
        <v>0.21210000000000001</v>
      </c>
      <c r="L4334">
        <v>0.69</v>
      </c>
      <c r="M4334">
        <v>0.1343</v>
      </c>
      <c r="N4334">
        <v>0</v>
      </c>
      <c r="O4334">
        <v>1</v>
      </c>
      <c r="P4334">
        <v>1</v>
      </c>
      <c r="Q4334">
        <v>141</v>
      </c>
      <c r="R4334">
        <v>142</v>
      </c>
    </row>
    <row r="4335" spans="1:18" x14ac:dyDescent="0.25">
      <c r="A4335">
        <v>143</v>
      </c>
      <c r="B4335" s="1">
        <v>40550</v>
      </c>
      <c r="C4335">
        <v>1</v>
      </c>
      <c r="D4335">
        <v>0</v>
      </c>
      <c r="E4335">
        <v>1</v>
      </c>
      <c r="F4335">
        <v>5</v>
      </c>
      <c r="G4335" t="b">
        <v>0</v>
      </c>
      <c r="H4335">
        <v>5</v>
      </c>
      <c r="I4335">
        <v>3</v>
      </c>
      <c r="J4335">
        <v>0.22</v>
      </c>
      <c r="K4335">
        <v>0.2727</v>
      </c>
      <c r="L4335">
        <v>0.55000000000000004</v>
      </c>
      <c r="M4335">
        <v>0</v>
      </c>
      <c r="N4335">
        <v>0</v>
      </c>
      <c r="O4335">
        <v>5</v>
      </c>
      <c r="P4335">
        <v>5</v>
      </c>
      <c r="Q4335">
        <v>142</v>
      </c>
      <c r="R4335">
        <v>143</v>
      </c>
    </row>
    <row r="4336" spans="1:18" x14ac:dyDescent="0.25">
      <c r="A4336">
        <v>144</v>
      </c>
      <c r="B4336" s="1">
        <v>40550</v>
      </c>
      <c r="C4336">
        <v>1</v>
      </c>
      <c r="D4336">
        <v>0</v>
      </c>
      <c r="E4336">
        <v>1</v>
      </c>
      <c r="F4336">
        <v>6</v>
      </c>
      <c r="G4336" t="b">
        <v>0</v>
      </c>
      <c r="H4336">
        <v>5</v>
      </c>
      <c r="I4336">
        <v>2</v>
      </c>
      <c r="J4336">
        <v>0.2</v>
      </c>
      <c r="K4336">
        <v>0.2576</v>
      </c>
      <c r="L4336">
        <v>0.69</v>
      </c>
      <c r="M4336">
        <v>0</v>
      </c>
      <c r="N4336">
        <v>8</v>
      </c>
      <c r="O4336">
        <v>26</v>
      </c>
      <c r="P4336">
        <v>34</v>
      </c>
      <c r="Q4336">
        <v>143</v>
      </c>
      <c r="R4336">
        <v>144</v>
      </c>
    </row>
    <row r="4337" spans="1:18" x14ac:dyDescent="0.25">
      <c r="A4337">
        <v>145</v>
      </c>
      <c r="B4337" s="1">
        <v>40550</v>
      </c>
      <c r="C4337">
        <v>1</v>
      </c>
      <c r="D4337">
        <v>0</v>
      </c>
      <c r="E4337">
        <v>1</v>
      </c>
      <c r="F4337">
        <v>7</v>
      </c>
      <c r="G4337" t="b">
        <v>0</v>
      </c>
      <c r="H4337">
        <v>5</v>
      </c>
      <c r="I4337">
        <v>1</v>
      </c>
      <c r="J4337">
        <v>0.2</v>
      </c>
      <c r="K4337">
        <v>0.21210000000000001</v>
      </c>
      <c r="L4337">
        <v>0.69</v>
      </c>
      <c r="M4337">
        <v>0.1343</v>
      </c>
      <c r="N4337">
        <v>8</v>
      </c>
      <c r="O4337">
        <v>76</v>
      </c>
      <c r="P4337">
        <v>84</v>
      </c>
      <c r="Q4337">
        <v>144</v>
      </c>
      <c r="R4337">
        <v>145</v>
      </c>
    </row>
    <row r="4338" spans="1:18" x14ac:dyDescent="0.25">
      <c r="A4338">
        <v>146</v>
      </c>
      <c r="B4338" s="1">
        <v>40550</v>
      </c>
      <c r="C4338">
        <v>1</v>
      </c>
      <c r="D4338">
        <v>0</v>
      </c>
      <c r="E4338">
        <v>1</v>
      </c>
      <c r="F4338">
        <v>8</v>
      </c>
      <c r="G4338" t="b">
        <v>0</v>
      </c>
      <c r="H4338">
        <v>5</v>
      </c>
      <c r="I4338">
        <v>1</v>
      </c>
      <c r="J4338">
        <v>0.2</v>
      </c>
      <c r="K4338">
        <v>0.19700000000000001</v>
      </c>
      <c r="L4338">
        <v>0.51</v>
      </c>
      <c r="M4338">
        <v>0.25369999999999998</v>
      </c>
      <c r="N4338">
        <v>20</v>
      </c>
      <c r="O4338">
        <v>190</v>
      </c>
      <c r="P4338">
        <v>210</v>
      </c>
      <c r="Q4338">
        <v>145</v>
      </c>
      <c r="R4338">
        <v>146</v>
      </c>
    </row>
    <row r="4339" spans="1:18" x14ac:dyDescent="0.25">
      <c r="A4339">
        <v>147</v>
      </c>
      <c r="B4339" s="1">
        <v>40550</v>
      </c>
      <c r="C4339">
        <v>1</v>
      </c>
      <c r="D4339">
        <v>0</v>
      </c>
      <c r="E4339">
        <v>1</v>
      </c>
      <c r="F4339">
        <v>9</v>
      </c>
      <c r="G4339" t="b">
        <v>0</v>
      </c>
      <c r="H4339">
        <v>5</v>
      </c>
      <c r="I4339">
        <v>1</v>
      </c>
      <c r="J4339">
        <v>0.2</v>
      </c>
      <c r="K4339">
        <v>0.18179999999999999</v>
      </c>
      <c r="L4339">
        <v>0.47</v>
      </c>
      <c r="M4339">
        <v>0.29849999999999999</v>
      </c>
      <c r="N4339">
        <v>9</v>
      </c>
      <c r="O4339">
        <v>125</v>
      </c>
      <c r="P4339">
        <v>134</v>
      </c>
      <c r="Q4339">
        <v>146</v>
      </c>
      <c r="R4339">
        <v>147</v>
      </c>
    </row>
    <row r="4340" spans="1:18" x14ac:dyDescent="0.25">
      <c r="A4340">
        <v>148</v>
      </c>
      <c r="B4340" s="1">
        <v>40550</v>
      </c>
      <c r="C4340">
        <v>1</v>
      </c>
      <c r="D4340">
        <v>0</v>
      </c>
      <c r="E4340">
        <v>1</v>
      </c>
      <c r="F4340">
        <v>10</v>
      </c>
      <c r="G4340" t="b">
        <v>0</v>
      </c>
      <c r="H4340">
        <v>5</v>
      </c>
      <c r="I4340">
        <v>1</v>
      </c>
      <c r="J4340">
        <v>0.22</v>
      </c>
      <c r="K4340">
        <v>0.19700000000000001</v>
      </c>
      <c r="L4340">
        <v>0.37</v>
      </c>
      <c r="M4340">
        <v>0.32840000000000003</v>
      </c>
      <c r="N4340">
        <v>16</v>
      </c>
      <c r="O4340">
        <v>47</v>
      </c>
      <c r="P4340">
        <v>63</v>
      </c>
      <c r="Q4340">
        <v>147</v>
      </c>
      <c r="R4340">
        <v>148</v>
      </c>
    </row>
    <row r="4341" spans="1:18" x14ac:dyDescent="0.25">
      <c r="A4341">
        <v>149</v>
      </c>
      <c r="B4341" s="1">
        <v>40550</v>
      </c>
      <c r="C4341">
        <v>1</v>
      </c>
      <c r="D4341">
        <v>0</v>
      </c>
      <c r="E4341">
        <v>1</v>
      </c>
      <c r="F4341">
        <v>11</v>
      </c>
      <c r="G4341" t="b">
        <v>0</v>
      </c>
      <c r="H4341">
        <v>5</v>
      </c>
      <c r="I4341">
        <v>2</v>
      </c>
      <c r="J4341">
        <v>0.2</v>
      </c>
      <c r="K4341">
        <v>0.19700000000000001</v>
      </c>
      <c r="L4341">
        <v>0.4</v>
      </c>
      <c r="M4341">
        <v>0.22389999999999999</v>
      </c>
      <c r="N4341">
        <v>19</v>
      </c>
      <c r="O4341">
        <v>48</v>
      </c>
      <c r="P4341">
        <v>67</v>
      </c>
      <c r="Q4341">
        <v>148</v>
      </c>
      <c r="R4341">
        <v>149</v>
      </c>
    </row>
    <row r="4342" spans="1:18" x14ac:dyDescent="0.25">
      <c r="A4342">
        <v>150</v>
      </c>
      <c r="B4342" s="1">
        <v>40550</v>
      </c>
      <c r="C4342">
        <v>1</v>
      </c>
      <c r="D4342">
        <v>0</v>
      </c>
      <c r="E4342">
        <v>1</v>
      </c>
      <c r="F4342">
        <v>12</v>
      </c>
      <c r="G4342" t="b">
        <v>0</v>
      </c>
      <c r="H4342">
        <v>5</v>
      </c>
      <c r="I4342">
        <v>2</v>
      </c>
      <c r="J4342">
        <v>0.2</v>
      </c>
      <c r="K4342">
        <v>0.19700000000000001</v>
      </c>
      <c r="L4342">
        <v>0.37</v>
      </c>
      <c r="M4342">
        <v>0.25369999999999998</v>
      </c>
      <c r="N4342">
        <v>9</v>
      </c>
      <c r="O4342">
        <v>50</v>
      </c>
      <c r="P4342">
        <v>59</v>
      </c>
      <c r="Q4342">
        <v>149</v>
      </c>
      <c r="R4342">
        <v>150</v>
      </c>
    </row>
    <row r="4343" spans="1:18" x14ac:dyDescent="0.25">
      <c r="A4343">
        <v>151</v>
      </c>
      <c r="B4343" s="1">
        <v>40550</v>
      </c>
      <c r="C4343">
        <v>1</v>
      </c>
      <c r="D4343">
        <v>0</v>
      </c>
      <c r="E4343">
        <v>1</v>
      </c>
      <c r="F4343">
        <v>13</v>
      </c>
      <c r="G4343" t="b">
        <v>0</v>
      </c>
      <c r="H4343">
        <v>5</v>
      </c>
      <c r="I4343">
        <v>2</v>
      </c>
      <c r="J4343">
        <v>0.2</v>
      </c>
      <c r="K4343">
        <v>0.18179999999999999</v>
      </c>
      <c r="L4343">
        <v>0.37</v>
      </c>
      <c r="M4343">
        <v>0.28360000000000002</v>
      </c>
      <c r="N4343">
        <v>9</v>
      </c>
      <c r="O4343">
        <v>64</v>
      </c>
      <c r="P4343">
        <v>73</v>
      </c>
      <c r="Q4343">
        <v>150</v>
      </c>
      <c r="R4343">
        <v>151</v>
      </c>
    </row>
    <row r="4344" spans="1:18" x14ac:dyDescent="0.25">
      <c r="A4344">
        <v>152</v>
      </c>
      <c r="B4344" s="1">
        <v>40550</v>
      </c>
      <c r="C4344">
        <v>1</v>
      </c>
      <c r="D4344">
        <v>0</v>
      </c>
      <c r="E4344">
        <v>1</v>
      </c>
      <c r="F4344">
        <v>14</v>
      </c>
      <c r="G4344" t="b">
        <v>0</v>
      </c>
      <c r="H4344">
        <v>5</v>
      </c>
      <c r="I4344">
        <v>2</v>
      </c>
      <c r="J4344">
        <v>0.2</v>
      </c>
      <c r="K4344">
        <v>0.19700000000000001</v>
      </c>
      <c r="L4344">
        <v>0.4</v>
      </c>
      <c r="M4344">
        <v>0.25369999999999998</v>
      </c>
      <c r="N4344">
        <v>7</v>
      </c>
      <c r="O4344">
        <v>43</v>
      </c>
      <c r="P4344">
        <v>50</v>
      </c>
      <c r="Q4344">
        <v>151</v>
      </c>
      <c r="R4344">
        <v>152</v>
      </c>
    </row>
    <row r="4345" spans="1:18" x14ac:dyDescent="0.25">
      <c r="A4345">
        <v>153</v>
      </c>
      <c r="B4345" s="1">
        <v>40550</v>
      </c>
      <c r="C4345">
        <v>1</v>
      </c>
      <c r="D4345">
        <v>0</v>
      </c>
      <c r="E4345">
        <v>1</v>
      </c>
      <c r="F4345">
        <v>15</v>
      </c>
      <c r="G4345" t="b">
        <v>0</v>
      </c>
      <c r="H4345">
        <v>5</v>
      </c>
      <c r="I4345">
        <v>2</v>
      </c>
      <c r="J4345">
        <v>0.2</v>
      </c>
      <c r="K4345">
        <v>0.21210000000000001</v>
      </c>
      <c r="L4345">
        <v>0.37</v>
      </c>
      <c r="M4345">
        <v>0.16420000000000001</v>
      </c>
      <c r="N4345">
        <v>9</v>
      </c>
      <c r="O4345">
        <v>63</v>
      </c>
      <c r="P4345">
        <v>72</v>
      </c>
      <c r="Q4345">
        <v>152</v>
      </c>
      <c r="R4345">
        <v>153</v>
      </c>
    </row>
    <row r="4346" spans="1:18" x14ac:dyDescent="0.25">
      <c r="A4346">
        <v>154</v>
      </c>
      <c r="B4346" s="1">
        <v>40550</v>
      </c>
      <c r="C4346">
        <v>1</v>
      </c>
      <c r="D4346">
        <v>0</v>
      </c>
      <c r="E4346">
        <v>1</v>
      </c>
      <c r="F4346">
        <v>16</v>
      </c>
      <c r="G4346" t="b">
        <v>0</v>
      </c>
      <c r="H4346">
        <v>5</v>
      </c>
      <c r="I4346">
        <v>2</v>
      </c>
      <c r="J4346">
        <v>0.2</v>
      </c>
      <c r="K4346">
        <v>0.21210000000000001</v>
      </c>
      <c r="L4346">
        <v>0.37</v>
      </c>
      <c r="M4346">
        <v>0.16420000000000001</v>
      </c>
      <c r="N4346">
        <v>5</v>
      </c>
      <c r="O4346">
        <v>82</v>
      </c>
      <c r="P4346">
        <v>87</v>
      </c>
      <c r="Q4346">
        <v>153</v>
      </c>
      <c r="R4346">
        <v>154</v>
      </c>
    </row>
    <row r="4347" spans="1:18" x14ac:dyDescent="0.25">
      <c r="A4347">
        <v>155</v>
      </c>
      <c r="B4347" s="1">
        <v>40550</v>
      </c>
      <c r="C4347">
        <v>1</v>
      </c>
      <c r="D4347">
        <v>0</v>
      </c>
      <c r="E4347">
        <v>1</v>
      </c>
      <c r="F4347">
        <v>17</v>
      </c>
      <c r="G4347" t="b">
        <v>0</v>
      </c>
      <c r="H4347">
        <v>5</v>
      </c>
      <c r="I4347">
        <v>2</v>
      </c>
      <c r="J4347">
        <v>0.2</v>
      </c>
      <c r="K4347">
        <v>0.2576</v>
      </c>
      <c r="L4347">
        <v>0.37</v>
      </c>
      <c r="M4347">
        <v>0</v>
      </c>
      <c r="N4347">
        <v>9</v>
      </c>
      <c r="O4347">
        <v>178</v>
      </c>
      <c r="P4347">
        <v>187</v>
      </c>
      <c r="Q4347">
        <v>154</v>
      </c>
      <c r="R4347">
        <v>155</v>
      </c>
    </row>
    <row r="4348" spans="1:18" x14ac:dyDescent="0.25">
      <c r="A4348">
        <v>156</v>
      </c>
      <c r="B4348" s="1">
        <v>40550</v>
      </c>
      <c r="C4348">
        <v>1</v>
      </c>
      <c r="D4348">
        <v>0</v>
      </c>
      <c r="E4348">
        <v>1</v>
      </c>
      <c r="F4348">
        <v>18</v>
      </c>
      <c r="G4348" t="b">
        <v>0</v>
      </c>
      <c r="H4348">
        <v>5</v>
      </c>
      <c r="I4348">
        <v>1</v>
      </c>
      <c r="J4348">
        <v>0.2</v>
      </c>
      <c r="K4348">
        <v>0.2273</v>
      </c>
      <c r="L4348">
        <v>0.4</v>
      </c>
      <c r="M4348">
        <v>8.9599999999999999E-2</v>
      </c>
      <c r="N4348">
        <v>7</v>
      </c>
      <c r="O4348">
        <v>116</v>
      </c>
      <c r="P4348">
        <v>123</v>
      </c>
      <c r="Q4348">
        <v>155</v>
      </c>
      <c r="R4348">
        <v>156</v>
      </c>
    </row>
    <row r="4349" spans="1:18" x14ac:dyDescent="0.25">
      <c r="A4349">
        <v>157</v>
      </c>
      <c r="B4349" s="1">
        <v>40550</v>
      </c>
      <c r="C4349">
        <v>1</v>
      </c>
      <c r="D4349">
        <v>0</v>
      </c>
      <c r="E4349">
        <v>1</v>
      </c>
      <c r="F4349">
        <v>19</v>
      </c>
      <c r="G4349" t="b">
        <v>0</v>
      </c>
      <c r="H4349">
        <v>5</v>
      </c>
      <c r="I4349">
        <v>1</v>
      </c>
      <c r="J4349">
        <v>0.16</v>
      </c>
      <c r="K4349">
        <v>0.19700000000000001</v>
      </c>
      <c r="L4349">
        <v>0.55000000000000004</v>
      </c>
      <c r="M4349">
        <v>8.9599999999999999E-2</v>
      </c>
      <c r="N4349">
        <v>3</v>
      </c>
      <c r="O4349">
        <v>92</v>
      </c>
      <c r="P4349">
        <v>95</v>
      </c>
      <c r="Q4349">
        <v>156</v>
      </c>
      <c r="R4349">
        <v>157</v>
      </c>
    </row>
    <row r="4350" spans="1:18" x14ac:dyDescent="0.25">
      <c r="A4350">
        <v>158</v>
      </c>
      <c r="B4350" s="1">
        <v>40550</v>
      </c>
      <c r="C4350">
        <v>1</v>
      </c>
      <c r="D4350">
        <v>0</v>
      </c>
      <c r="E4350">
        <v>1</v>
      </c>
      <c r="F4350">
        <v>20</v>
      </c>
      <c r="G4350" t="b">
        <v>0</v>
      </c>
      <c r="H4350">
        <v>5</v>
      </c>
      <c r="I4350">
        <v>1</v>
      </c>
      <c r="J4350">
        <v>0.18</v>
      </c>
      <c r="K4350">
        <v>0.21210000000000001</v>
      </c>
      <c r="L4350">
        <v>0.47</v>
      </c>
      <c r="M4350">
        <v>0.1045</v>
      </c>
      <c r="N4350">
        <v>1</v>
      </c>
      <c r="O4350">
        <v>50</v>
      </c>
      <c r="P4350">
        <v>51</v>
      </c>
      <c r="Q4350">
        <v>157</v>
      </c>
      <c r="R4350">
        <v>158</v>
      </c>
    </row>
    <row r="4351" spans="1:18" x14ac:dyDescent="0.25">
      <c r="A4351">
        <v>159</v>
      </c>
      <c r="B4351" s="1">
        <v>40550</v>
      </c>
      <c r="C4351">
        <v>1</v>
      </c>
      <c r="D4351">
        <v>0</v>
      </c>
      <c r="E4351">
        <v>1</v>
      </c>
      <c r="F4351">
        <v>21</v>
      </c>
      <c r="G4351" t="b">
        <v>0</v>
      </c>
      <c r="H4351">
        <v>5</v>
      </c>
      <c r="I4351">
        <v>1</v>
      </c>
      <c r="J4351">
        <v>0.18</v>
      </c>
      <c r="K4351">
        <v>0.19700000000000001</v>
      </c>
      <c r="L4351">
        <v>0.47</v>
      </c>
      <c r="M4351">
        <v>0.1343</v>
      </c>
      <c r="N4351">
        <v>0</v>
      </c>
      <c r="O4351">
        <v>39</v>
      </c>
      <c r="P4351">
        <v>39</v>
      </c>
      <c r="Q4351">
        <v>158</v>
      </c>
      <c r="R4351">
        <v>159</v>
      </c>
    </row>
    <row r="4352" spans="1:18" x14ac:dyDescent="0.25">
      <c r="A4352">
        <v>160</v>
      </c>
      <c r="B4352" s="1">
        <v>40550</v>
      </c>
      <c r="C4352">
        <v>1</v>
      </c>
      <c r="D4352">
        <v>0</v>
      </c>
      <c r="E4352">
        <v>1</v>
      </c>
      <c r="F4352">
        <v>22</v>
      </c>
      <c r="G4352" t="b">
        <v>0</v>
      </c>
      <c r="H4352">
        <v>5</v>
      </c>
      <c r="I4352">
        <v>2</v>
      </c>
      <c r="J4352">
        <v>0.18</v>
      </c>
      <c r="K4352">
        <v>0.19700000000000001</v>
      </c>
      <c r="L4352">
        <v>0.43</v>
      </c>
      <c r="M4352">
        <v>0.16420000000000001</v>
      </c>
      <c r="N4352">
        <v>2</v>
      </c>
      <c r="O4352">
        <v>34</v>
      </c>
      <c r="P4352">
        <v>36</v>
      </c>
      <c r="Q4352">
        <v>159</v>
      </c>
      <c r="R4352">
        <v>160</v>
      </c>
    </row>
    <row r="4353" spans="1:18" x14ac:dyDescent="0.25">
      <c r="A4353">
        <v>161</v>
      </c>
      <c r="B4353" s="1">
        <v>40550</v>
      </c>
      <c r="C4353">
        <v>1</v>
      </c>
      <c r="D4353">
        <v>0</v>
      </c>
      <c r="E4353">
        <v>1</v>
      </c>
      <c r="F4353">
        <v>23</v>
      </c>
      <c r="G4353" t="b">
        <v>0</v>
      </c>
      <c r="H4353">
        <v>5</v>
      </c>
      <c r="I4353">
        <v>2</v>
      </c>
      <c r="J4353">
        <v>0.18</v>
      </c>
      <c r="K4353">
        <v>0.19700000000000001</v>
      </c>
      <c r="L4353">
        <v>0.51</v>
      </c>
      <c r="M4353">
        <v>0.16420000000000001</v>
      </c>
      <c r="N4353">
        <v>1</v>
      </c>
      <c r="O4353">
        <v>14</v>
      </c>
      <c r="P4353">
        <v>15</v>
      </c>
      <c r="Q4353">
        <v>160</v>
      </c>
      <c r="R4353">
        <v>161</v>
      </c>
    </row>
    <row r="4354" spans="1:18" x14ac:dyDescent="0.25">
      <c r="A4354">
        <v>162</v>
      </c>
      <c r="B4354" s="1">
        <v>40551</v>
      </c>
      <c r="C4354">
        <v>1</v>
      </c>
      <c r="D4354">
        <v>0</v>
      </c>
      <c r="E4354">
        <v>1</v>
      </c>
      <c r="F4354">
        <v>0</v>
      </c>
      <c r="G4354" t="b">
        <v>0</v>
      </c>
      <c r="H4354">
        <v>6</v>
      </c>
      <c r="I4354">
        <v>2</v>
      </c>
      <c r="J4354">
        <v>0.18</v>
      </c>
      <c r="K4354">
        <v>0.19700000000000001</v>
      </c>
      <c r="L4354">
        <v>0.51</v>
      </c>
      <c r="M4354">
        <v>0.16420000000000001</v>
      </c>
      <c r="N4354">
        <v>1</v>
      </c>
      <c r="O4354">
        <v>24</v>
      </c>
      <c r="P4354">
        <v>25</v>
      </c>
      <c r="Q4354">
        <v>161</v>
      </c>
      <c r="R4354">
        <v>162</v>
      </c>
    </row>
    <row r="4355" spans="1:18" x14ac:dyDescent="0.25">
      <c r="A4355">
        <v>163</v>
      </c>
      <c r="B4355" s="1">
        <v>40551</v>
      </c>
      <c r="C4355">
        <v>1</v>
      </c>
      <c r="D4355">
        <v>0</v>
      </c>
      <c r="E4355">
        <v>1</v>
      </c>
      <c r="F4355">
        <v>1</v>
      </c>
      <c r="G4355" t="b">
        <v>0</v>
      </c>
      <c r="H4355">
        <v>6</v>
      </c>
      <c r="I4355">
        <v>2</v>
      </c>
      <c r="J4355">
        <v>0.18</v>
      </c>
      <c r="K4355">
        <v>0.21210000000000001</v>
      </c>
      <c r="L4355">
        <v>0.55000000000000004</v>
      </c>
      <c r="M4355">
        <v>8.9599999999999999E-2</v>
      </c>
      <c r="N4355">
        <v>1</v>
      </c>
      <c r="O4355">
        <v>15</v>
      </c>
      <c r="P4355">
        <v>16</v>
      </c>
      <c r="Q4355">
        <v>162</v>
      </c>
      <c r="R4355">
        <v>163</v>
      </c>
    </row>
    <row r="4356" spans="1:18" x14ac:dyDescent="0.25">
      <c r="A4356">
        <v>164</v>
      </c>
      <c r="B4356" s="1">
        <v>40551</v>
      </c>
      <c r="C4356">
        <v>1</v>
      </c>
      <c r="D4356">
        <v>0</v>
      </c>
      <c r="E4356">
        <v>1</v>
      </c>
      <c r="F4356">
        <v>2</v>
      </c>
      <c r="G4356" t="b">
        <v>0</v>
      </c>
      <c r="H4356">
        <v>6</v>
      </c>
      <c r="I4356">
        <v>2</v>
      </c>
      <c r="J4356">
        <v>0.18</v>
      </c>
      <c r="K4356">
        <v>0.2424</v>
      </c>
      <c r="L4356">
        <v>0.55000000000000004</v>
      </c>
      <c r="M4356">
        <v>0</v>
      </c>
      <c r="N4356">
        <v>3</v>
      </c>
      <c r="O4356">
        <v>13</v>
      </c>
      <c r="P4356">
        <v>16</v>
      </c>
      <c r="Q4356">
        <v>163</v>
      </c>
      <c r="R4356">
        <v>164</v>
      </c>
    </row>
    <row r="4357" spans="1:18" x14ac:dyDescent="0.25">
      <c r="A4357">
        <v>165</v>
      </c>
      <c r="B4357" s="1">
        <v>40551</v>
      </c>
      <c r="C4357">
        <v>1</v>
      </c>
      <c r="D4357">
        <v>0</v>
      </c>
      <c r="E4357">
        <v>1</v>
      </c>
      <c r="F4357">
        <v>3</v>
      </c>
      <c r="G4357" t="b">
        <v>0</v>
      </c>
      <c r="H4357">
        <v>6</v>
      </c>
      <c r="I4357">
        <v>3</v>
      </c>
      <c r="J4357">
        <v>0.18</v>
      </c>
      <c r="K4357">
        <v>0.19700000000000001</v>
      </c>
      <c r="L4357">
        <v>0.55000000000000004</v>
      </c>
      <c r="M4357">
        <v>0.16420000000000001</v>
      </c>
      <c r="N4357">
        <v>0</v>
      </c>
      <c r="O4357">
        <v>7</v>
      </c>
      <c r="P4357">
        <v>7</v>
      </c>
      <c r="Q4357">
        <v>164</v>
      </c>
      <c r="R4357">
        <v>165</v>
      </c>
    </row>
    <row r="4358" spans="1:18" x14ac:dyDescent="0.25">
      <c r="A4358">
        <v>166</v>
      </c>
      <c r="B4358" s="1">
        <v>40551</v>
      </c>
      <c r="C4358">
        <v>1</v>
      </c>
      <c r="D4358">
        <v>0</v>
      </c>
      <c r="E4358">
        <v>1</v>
      </c>
      <c r="F4358">
        <v>4</v>
      </c>
      <c r="G4358" t="b">
        <v>0</v>
      </c>
      <c r="H4358">
        <v>6</v>
      </c>
      <c r="I4358">
        <v>3</v>
      </c>
      <c r="J4358">
        <v>0.18</v>
      </c>
      <c r="K4358">
        <v>0.19700000000000001</v>
      </c>
      <c r="L4358">
        <v>0.55000000000000004</v>
      </c>
      <c r="M4358">
        <v>0.16420000000000001</v>
      </c>
      <c r="N4358">
        <v>0</v>
      </c>
      <c r="O4358">
        <v>1</v>
      </c>
      <c r="P4358">
        <v>1</v>
      </c>
      <c r="Q4358">
        <v>165</v>
      </c>
      <c r="R4358">
        <v>166</v>
      </c>
    </row>
    <row r="4359" spans="1:18" x14ac:dyDescent="0.25">
      <c r="A4359">
        <v>167</v>
      </c>
      <c r="B4359" s="1">
        <v>40551</v>
      </c>
      <c r="C4359">
        <v>1</v>
      </c>
      <c r="D4359">
        <v>0</v>
      </c>
      <c r="E4359">
        <v>1</v>
      </c>
      <c r="F4359">
        <v>5</v>
      </c>
      <c r="G4359" t="b">
        <v>0</v>
      </c>
      <c r="H4359">
        <v>6</v>
      </c>
      <c r="I4359">
        <v>2</v>
      </c>
      <c r="J4359">
        <v>0.16</v>
      </c>
      <c r="K4359">
        <v>0.16669999999999999</v>
      </c>
      <c r="L4359">
        <v>0.74</v>
      </c>
      <c r="M4359">
        <v>0.16420000000000001</v>
      </c>
      <c r="N4359">
        <v>0</v>
      </c>
      <c r="O4359">
        <v>5</v>
      </c>
      <c r="P4359">
        <v>5</v>
      </c>
      <c r="Q4359">
        <v>166</v>
      </c>
      <c r="R4359">
        <v>167</v>
      </c>
    </row>
    <row r="4360" spans="1:18" x14ac:dyDescent="0.25">
      <c r="A4360">
        <v>168</v>
      </c>
      <c r="B4360" s="1">
        <v>40551</v>
      </c>
      <c r="C4360">
        <v>1</v>
      </c>
      <c r="D4360">
        <v>0</v>
      </c>
      <c r="E4360">
        <v>1</v>
      </c>
      <c r="F4360">
        <v>6</v>
      </c>
      <c r="G4360" t="b">
        <v>0</v>
      </c>
      <c r="H4360">
        <v>6</v>
      </c>
      <c r="I4360">
        <v>2</v>
      </c>
      <c r="J4360">
        <v>0.16</v>
      </c>
      <c r="K4360">
        <v>0.16669999999999999</v>
      </c>
      <c r="L4360">
        <v>0.74</v>
      </c>
      <c r="M4360">
        <v>0.16420000000000001</v>
      </c>
      <c r="N4360">
        <v>0</v>
      </c>
      <c r="O4360">
        <v>2</v>
      </c>
      <c r="P4360">
        <v>2</v>
      </c>
      <c r="Q4360">
        <v>167</v>
      </c>
      <c r="R4360">
        <v>168</v>
      </c>
    </row>
    <row r="4361" spans="1:18" x14ac:dyDescent="0.25">
      <c r="A4361">
        <v>169</v>
      </c>
      <c r="B4361" s="1">
        <v>40551</v>
      </c>
      <c r="C4361">
        <v>1</v>
      </c>
      <c r="D4361">
        <v>0</v>
      </c>
      <c r="E4361">
        <v>1</v>
      </c>
      <c r="F4361">
        <v>7</v>
      </c>
      <c r="G4361" t="b">
        <v>0</v>
      </c>
      <c r="H4361">
        <v>6</v>
      </c>
      <c r="I4361">
        <v>2</v>
      </c>
      <c r="J4361">
        <v>0.16</v>
      </c>
      <c r="K4361">
        <v>0.18179999999999999</v>
      </c>
      <c r="L4361">
        <v>0.74</v>
      </c>
      <c r="M4361">
        <v>0.1045</v>
      </c>
      <c r="N4361">
        <v>1</v>
      </c>
      <c r="O4361">
        <v>8</v>
      </c>
      <c r="P4361">
        <v>9</v>
      </c>
      <c r="Q4361">
        <v>168</v>
      </c>
      <c r="R4361">
        <v>169</v>
      </c>
    </row>
    <row r="4362" spans="1:18" x14ac:dyDescent="0.25">
      <c r="A4362">
        <v>170</v>
      </c>
      <c r="B4362" s="1">
        <v>40551</v>
      </c>
      <c r="C4362">
        <v>1</v>
      </c>
      <c r="D4362">
        <v>0</v>
      </c>
      <c r="E4362">
        <v>1</v>
      </c>
      <c r="F4362">
        <v>8</v>
      </c>
      <c r="G4362" t="b">
        <v>0</v>
      </c>
      <c r="H4362">
        <v>6</v>
      </c>
      <c r="I4362">
        <v>3</v>
      </c>
      <c r="J4362">
        <v>0.16</v>
      </c>
      <c r="K4362">
        <v>0.18179999999999999</v>
      </c>
      <c r="L4362">
        <v>0.93</v>
      </c>
      <c r="M4362">
        <v>0.1045</v>
      </c>
      <c r="N4362">
        <v>0</v>
      </c>
      <c r="O4362">
        <v>15</v>
      </c>
      <c r="P4362">
        <v>15</v>
      </c>
      <c r="Q4362">
        <v>169</v>
      </c>
      <c r="R4362">
        <v>170</v>
      </c>
    </row>
    <row r="4363" spans="1:18" x14ac:dyDescent="0.25">
      <c r="A4363">
        <v>171</v>
      </c>
      <c r="B4363" s="1">
        <v>40551</v>
      </c>
      <c r="C4363">
        <v>1</v>
      </c>
      <c r="D4363">
        <v>0</v>
      </c>
      <c r="E4363">
        <v>1</v>
      </c>
      <c r="F4363">
        <v>9</v>
      </c>
      <c r="G4363" t="b">
        <v>0</v>
      </c>
      <c r="H4363">
        <v>6</v>
      </c>
      <c r="I4363">
        <v>3</v>
      </c>
      <c r="J4363">
        <v>0.16</v>
      </c>
      <c r="K4363">
        <v>0.18179999999999999</v>
      </c>
      <c r="L4363">
        <v>0.93</v>
      </c>
      <c r="M4363">
        <v>0.1045</v>
      </c>
      <c r="N4363">
        <v>0</v>
      </c>
      <c r="O4363">
        <v>20</v>
      </c>
      <c r="P4363">
        <v>20</v>
      </c>
      <c r="Q4363">
        <v>170</v>
      </c>
      <c r="R4363">
        <v>171</v>
      </c>
    </row>
    <row r="4364" spans="1:18" x14ac:dyDescent="0.25">
      <c r="A4364">
        <v>172</v>
      </c>
      <c r="B4364" s="1">
        <v>40551</v>
      </c>
      <c r="C4364">
        <v>1</v>
      </c>
      <c r="D4364">
        <v>0</v>
      </c>
      <c r="E4364">
        <v>1</v>
      </c>
      <c r="F4364">
        <v>10</v>
      </c>
      <c r="G4364" t="b">
        <v>0</v>
      </c>
      <c r="H4364">
        <v>6</v>
      </c>
      <c r="I4364">
        <v>2</v>
      </c>
      <c r="J4364">
        <v>0.18</v>
      </c>
      <c r="K4364">
        <v>0.19700000000000001</v>
      </c>
      <c r="L4364">
        <v>0.8</v>
      </c>
      <c r="M4364">
        <v>0.16420000000000001</v>
      </c>
      <c r="N4364">
        <v>5</v>
      </c>
      <c r="O4364">
        <v>56</v>
      </c>
      <c r="P4364">
        <v>61</v>
      </c>
      <c r="Q4364">
        <v>171</v>
      </c>
      <c r="R4364">
        <v>172</v>
      </c>
    </row>
    <row r="4365" spans="1:18" x14ac:dyDescent="0.25">
      <c r="A4365">
        <v>173</v>
      </c>
      <c r="B4365" s="1">
        <v>40551</v>
      </c>
      <c r="C4365">
        <v>1</v>
      </c>
      <c r="D4365">
        <v>0</v>
      </c>
      <c r="E4365">
        <v>1</v>
      </c>
      <c r="F4365">
        <v>11</v>
      </c>
      <c r="G4365" t="b">
        <v>0</v>
      </c>
      <c r="H4365">
        <v>6</v>
      </c>
      <c r="I4365">
        <v>2</v>
      </c>
      <c r="J4365">
        <v>0.2</v>
      </c>
      <c r="K4365">
        <v>0.18179999999999999</v>
      </c>
      <c r="L4365">
        <v>0.69</v>
      </c>
      <c r="M4365">
        <v>0.3881</v>
      </c>
      <c r="N4365">
        <v>2</v>
      </c>
      <c r="O4365">
        <v>60</v>
      </c>
      <c r="P4365">
        <v>62</v>
      </c>
      <c r="Q4365">
        <v>172</v>
      </c>
      <c r="R4365">
        <v>173</v>
      </c>
    </row>
    <row r="4366" spans="1:18" x14ac:dyDescent="0.25">
      <c r="A4366">
        <v>174</v>
      </c>
      <c r="B4366" s="1">
        <v>40551</v>
      </c>
      <c r="C4366">
        <v>1</v>
      </c>
      <c r="D4366">
        <v>0</v>
      </c>
      <c r="E4366">
        <v>1</v>
      </c>
      <c r="F4366">
        <v>12</v>
      </c>
      <c r="G4366" t="b">
        <v>0</v>
      </c>
      <c r="H4366">
        <v>6</v>
      </c>
      <c r="I4366">
        <v>2</v>
      </c>
      <c r="J4366">
        <v>0.2</v>
      </c>
      <c r="K4366">
        <v>0.18179999999999999</v>
      </c>
      <c r="L4366">
        <v>0.59</v>
      </c>
      <c r="M4366">
        <v>0.35820000000000002</v>
      </c>
      <c r="N4366">
        <v>8</v>
      </c>
      <c r="O4366">
        <v>90</v>
      </c>
      <c r="P4366">
        <v>98</v>
      </c>
      <c r="Q4366">
        <v>173</v>
      </c>
      <c r="R4366">
        <v>174</v>
      </c>
    </row>
    <row r="4367" spans="1:18" x14ac:dyDescent="0.25">
      <c r="A4367">
        <v>175</v>
      </c>
      <c r="B4367" s="1">
        <v>40551</v>
      </c>
      <c r="C4367">
        <v>1</v>
      </c>
      <c r="D4367">
        <v>0</v>
      </c>
      <c r="E4367">
        <v>1</v>
      </c>
      <c r="F4367">
        <v>13</v>
      </c>
      <c r="G4367" t="b">
        <v>0</v>
      </c>
      <c r="H4367">
        <v>6</v>
      </c>
      <c r="I4367">
        <v>1</v>
      </c>
      <c r="J4367">
        <v>0.2</v>
      </c>
      <c r="K4367">
        <v>0.18179999999999999</v>
      </c>
      <c r="L4367">
        <v>0.44</v>
      </c>
      <c r="M4367">
        <v>0.32840000000000003</v>
      </c>
      <c r="N4367">
        <v>7</v>
      </c>
      <c r="O4367">
        <v>95</v>
      </c>
      <c r="P4367">
        <v>102</v>
      </c>
      <c r="Q4367">
        <v>174</v>
      </c>
      <c r="R4367">
        <v>175</v>
      </c>
    </row>
    <row r="4368" spans="1:18" x14ac:dyDescent="0.25">
      <c r="A4368">
        <v>176</v>
      </c>
      <c r="B4368" s="1">
        <v>40551</v>
      </c>
      <c r="C4368">
        <v>1</v>
      </c>
      <c r="D4368">
        <v>0</v>
      </c>
      <c r="E4368">
        <v>1</v>
      </c>
      <c r="F4368">
        <v>14</v>
      </c>
      <c r="G4368" t="b">
        <v>0</v>
      </c>
      <c r="H4368">
        <v>6</v>
      </c>
      <c r="I4368">
        <v>1</v>
      </c>
      <c r="J4368">
        <v>0.2</v>
      </c>
      <c r="K4368">
        <v>0.16669999999999999</v>
      </c>
      <c r="L4368">
        <v>0.32</v>
      </c>
      <c r="M4368">
        <v>0.49249999999999999</v>
      </c>
      <c r="N4368">
        <v>12</v>
      </c>
      <c r="O4368">
        <v>83</v>
      </c>
      <c r="P4368">
        <v>95</v>
      </c>
      <c r="Q4368">
        <v>175</v>
      </c>
      <c r="R4368">
        <v>176</v>
      </c>
    </row>
    <row r="4369" spans="1:18" x14ac:dyDescent="0.25">
      <c r="A4369">
        <v>177</v>
      </c>
      <c r="B4369" s="1">
        <v>40551</v>
      </c>
      <c r="C4369">
        <v>1</v>
      </c>
      <c r="D4369">
        <v>0</v>
      </c>
      <c r="E4369">
        <v>1</v>
      </c>
      <c r="F4369">
        <v>15</v>
      </c>
      <c r="G4369" t="b">
        <v>0</v>
      </c>
      <c r="H4369">
        <v>6</v>
      </c>
      <c r="I4369">
        <v>1</v>
      </c>
      <c r="J4369">
        <v>0.2</v>
      </c>
      <c r="K4369">
        <v>0.16669999999999999</v>
      </c>
      <c r="L4369">
        <v>0.32</v>
      </c>
      <c r="M4369">
        <v>0.44779999999999998</v>
      </c>
      <c r="N4369">
        <v>5</v>
      </c>
      <c r="O4369">
        <v>69</v>
      </c>
      <c r="P4369">
        <v>74</v>
      </c>
      <c r="Q4369">
        <v>176</v>
      </c>
      <c r="R4369">
        <v>177</v>
      </c>
    </row>
    <row r="4370" spans="1:18" x14ac:dyDescent="0.25">
      <c r="A4370">
        <v>178</v>
      </c>
      <c r="B4370" s="1">
        <v>40551</v>
      </c>
      <c r="C4370">
        <v>1</v>
      </c>
      <c r="D4370">
        <v>0</v>
      </c>
      <c r="E4370">
        <v>1</v>
      </c>
      <c r="F4370">
        <v>16</v>
      </c>
      <c r="G4370" t="b">
        <v>0</v>
      </c>
      <c r="H4370">
        <v>6</v>
      </c>
      <c r="I4370">
        <v>1</v>
      </c>
      <c r="J4370">
        <v>0.18</v>
      </c>
      <c r="K4370">
        <v>0.13639999999999999</v>
      </c>
      <c r="L4370">
        <v>0.28999999999999998</v>
      </c>
      <c r="M4370">
        <v>0.44779999999999998</v>
      </c>
      <c r="N4370">
        <v>8</v>
      </c>
      <c r="O4370">
        <v>68</v>
      </c>
      <c r="P4370">
        <v>76</v>
      </c>
      <c r="Q4370">
        <v>177</v>
      </c>
      <c r="R4370">
        <v>178</v>
      </c>
    </row>
    <row r="4371" spans="1:18" x14ac:dyDescent="0.25">
      <c r="A4371">
        <v>179</v>
      </c>
      <c r="B4371" s="1">
        <v>40551</v>
      </c>
      <c r="C4371">
        <v>1</v>
      </c>
      <c r="D4371">
        <v>0</v>
      </c>
      <c r="E4371">
        <v>1</v>
      </c>
      <c r="F4371">
        <v>17</v>
      </c>
      <c r="G4371" t="b">
        <v>0</v>
      </c>
      <c r="H4371">
        <v>6</v>
      </c>
      <c r="I4371">
        <v>1</v>
      </c>
      <c r="J4371">
        <v>0.16</v>
      </c>
      <c r="K4371">
        <v>0.1212</v>
      </c>
      <c r="L4371">
        <v>0.37</v>
      </c>
      <c r="M4371">
        <v>0.55220000000000002</v>
      </c>
      <c r="N4371">
        <v>5</v>
      </c>
      <c r="O4371">
        <v>64</v>
      </c>
      <c r="P4371">
        <v>69</v>
      </c>
      <c r="Q4371">
        <v>178</v>
      </c>
      <c r="R4371">
        <v>179</v>
      </c>
    </row>
    <row r="4372" spans="1:18" x14ac:dyDescent="0.25">
      <c r="A4372">
        <v>180</v>
      </c>
      <c r="B4372" s="1">
        <v>40551</v>
      </c>
      <c r="C4372">
        <v>1</v>
      </c>
      <c r="D4372">
        <v>0</v>
      </c>
      <c r="E4372">
        <v>1</v>
      </c>
      <c r="F4372">
        <v>18</v>
      </c>
      <c r="G4372" t="b">
        <v>0</v>
      </c>
      <c r="H4372">
        <v>6</v>
      </c>
      <c r="I4372">
        <v>1</v>
      </c>
      <c r="J4372">
        <v>0.14000000000000001</v>
      </c>
      <c r="K4372">
        <v>0.1212</v>
      </c>
      <c r="L4372">
        <v>0.39</v>
      </c>
      <c r="M4372">
        <v>0.29849999999999999</v>
      </c>
      <c r="N4372">
        <v>3</v>
      </c>
      <c r="O4372">
        <v>52</v>
      </c>
      <c r="P4372">
        <v>55</v>
      </c>
      <c r="Q4372">
        <v>179</v>
      </c>
      <c r="R4372">
        <v>180</v>
      </c>
    </row>
    <row r="4373" spans="1:18" x14ac:dyDescent="0.25">
      <c r="A4373">
        <v>181</v>
      </c>
      <c r="B4373" s="1">
        <v>40551</v>
      </c>
      <c r="C4373">
        <v>1</v>
      </c>
      <c r="D4373">
        <v>0</v>
      </c>
      <c r="E4373">
        <v>1</v>
      </c>
      <c r="F4373">
        <v>19</v>
      </c>
      <c r="G4373" t="b">
        <v>0</v>
      </c>
      <c r="H4373">
        <v>6</v>
      </c>
      <c r="I4373">
        <v>1</v>
      </c>
      <c r="J4373">
        <v>0.14000000000000001</v>
      </c>
      <c r="K4373">
        <v>0.1212</v>
      </c>
      <c r="L4373">
        <v>0.36</v>
      </c>
      <c r="M4373">
        <v>0.25369999999999998</v>
      </c>
      <c r="N4373">
        <v>4</v>
      </c>
      <c r="O4373">
        <v>26</v>
      </c>
      <c r="P4373">
        <v>30</v>
      </c>
      <c r="Q4373">
        <v>180</v>
      </c>
      <c r="R4373">
        <v>181</v>
      </c>
    </row>
    <row r="4374" spans="1:18" x14ac:dyDescent="0.25">
      <c r="A4374">
        <v>182</v>
      </c>
      <c r="B4374" s="1">
        <v>40551</v>
      </c>
      <c r="C4374">
        <v>1</v>
      </c>
      <c r="D4374">
        <v>0</v>
      </c>
      <c r="E4374">
        <v>1</v>
      </c>
      <c r="F4374">
        <v>20</v>
      </c>
      <c r="G4374" t="b">
        <v>0</v>
      </c>
      <c r="H4374">
        <v>6</v>
      </c>
      <c r="I4374">
        <v>1</v>
      </c>
      <c r="J4374">
        <v>0.12</v>
      </c>
      <c r="K4374">
        <v>0.1212</v>
      </c>
      <c r="L4374">
        <v>0.36</v>
      </c>
      <c r="M4374">
        <v>0.25369999999999998</v>
      </c>
      <c r="N4374">
        <v>0</v>
      </c>
      <c r="O4374">
        <v>28</v>
      </c>
      <c r="P4374">
        <v>28</v>
      </c>
      <c r="Q4374">
        <v>181</v>
      </c>
      <c r="R4374">
        <v>182</v>
      </c>
    </row>
    <row r="4375" spans="1:18" x14ac:dyDescent="0.25">
      <c r="A4375">
        <v>183</v>
      </c>
      <c r="B4375" s="1">
        <v>40551</v>
      </c>
      <c r="C4375">
        <v>1</v>
      </c>
      <c r="D4375">
        <v>0</v>
      </c>
      <c r="E4375">
        <v>1</v>
      </c>
      <c r="F4375">
        <v>21</v>
      </c>
      <c r="G4375" t="b">
        <v>0</v>
      </c>
      <c r="H4375">
        <v>6</v>
      </c>
      <c r="I4375">
        <v>1</v>
      </c>
      <c r="J4375">
        <v>0.12</v>
      </c>
      <c r="K4375">
        <v>0.1061</v>
      </c>
      <c r="L4375">
        <v>0.39</v>
      </c>
      <c r="M4375">
        <v>0.35820000000000002</v>
      </c>
      <c r="N4375">
        <v>2</v>
      </c>
      <c r="O4375">
        <v>35</v>
      </c>
      <c r="P4375">
        <v>37</v>
      </c>
      <c r="Q4375">
        <v>182</v>
      </c>
      <c r="R4375">
        <v>183</v>
      </c>
    </row>
    <row r="4376" spans="1:18" x14ac:dyDescent="0.25">
      <c r="A4376">
        <v>184</v>
      </c>
      <c r="B4376" s="1">
        <v>40551</v>
      </c>
      <c r="C4376">
        <v>1</v>
      </c>
      <c r="D4376">
        <v>0</v>
      </c>
      <c r="E4376">
        <v>1</v>
      </c>
      <c r="F4376">
        <v>22</v>
      </c>
      <c r="G4376" t="b">
        <v>0</v>
      </c>
      <c r="H4376">
        <v>6</v>
      </c>
      <c r="I4376">
        <v>1</v>
      </c>
      <c r="J4376">
        <v>0.12</v>
      </c>
      <c r="K4376">
        <v>0.1061</v>
      </c>
      <c r="L4376">
        <v>0.36</v>
      </c>
      <c r="M4376">
        <v>0.3881</v>
      </c>
      <c r="N4376">
        <v>1</v>
      </c>
      <c r="O4376">
        <v>33</v>
      </c>
      <c r="P4376">
        <v>34</v>
      </c>
      <c r="Q4376">
        <v>183</v>
      </c>
      <c r="R4376">
        <v>184</v>
      </c>
    </row>
    <row r="4377" spans="1:18" x14ac:dyDescent="0.25">
      <c r="A4377">
        <v>185</v>
      </c>
      <c r="B4377" s="1">
        <v>40551</v>
      </c>
      <c r="C4377">
        <v>1</v>
      </c>
      <c r="D4377">
        <v>0</v>
      </c>
      <c r="E4377">
        <v>1</v>
      </c>
      <c r="F4377">
        <v>23</v>
      </c>
      <c r="G4377" t="b">
        <v>0</v>
      </c>
      <c r="H4377">
        <v>6</v>
      </c>
      <c r="I4377">
        <v>1</v>
      </c>
      <c r="J4377">
        <v>0.1</v>
      </c>
      <c r="K4377">
        <v>6.0600000000000001E-2</v>
      </c>
      <c r="L4377">
        <v>0.39</v>
      </c>
      <c r="M4377">
        <v>0.44779999999999998</v>
      </c>
      <c r="N4377">
        <v>0</v>
      </c>
      <c r="O4377">
        <v>22</v>
      </c>
      <c r="P4377">
        <v>22</v>
      </c>
      <c r="Q4377">
        <v>184</v>
      </c>
      <c r="R4377">
        <v>185</v>
      </c>
    </row>
    <row r="4378" spans="1:18" x14ac:dyDescent="0.25">
      <c r="A4378">
        <v>186</v>
      </c>
      <c r="B4378" s="1">
        <v>40552</v>
      </c>
      <c r="C4378">
        <v>1</v>
      </c>
      <c r="D4378">
        <v>0</v>
      </c>
      <c r="E4378">
        <v>1</v>
      </c>
      <c r="F4378">
        <v>0</v>
      </c>
      <c r="G4378" t="b">
        <v>0</v>
      </c>
      <c r="H4378">
        <v>0</v>
      </c>
      <c r="I4378">
        <v>1</v>
      </c>
      <c r="J4378">
        <v>0.1</v>
      </c>
      <c r="K4378">
        <v>7.5800000000000006E-2</v>
      </c>
      <c r="L4378">
        <v>0.42</v>
      </c>
      <c r="M4378">
        <v>0.3881</v>
      </c>
      <c r="N4378">
        <v>1</v>
      </c>
      <c r="O4378">
        <v>24</v>
      </c>
      <c r="P4378">
        <v>25</v>
      </c>
      <c r="Q4378">
        <v>185</v>
      </c>
      <c r="R4378">
        <v>186</v>
      </c>
    </row>
    <row r="4379" spans="1:18" x14ac:dyDescent="0.25">
      <c r="A4379">
        <v>187</v>
      </c>
      <c r="B4379" s="1">
        <v>40552</v>
      </c>
      <c r="C4379">
        <v>1</v>
      </c>
      <c r="D4379">
        <v>0</v>
      </c>
      <c r="E4379">
        <v>1</v>
      </c>
      <c r="F4379">
        <v>1</v>
      </c>
      <c r="G4379" t="b">
        <v>0</v>
      </c>
      <c r="H4379">
        <v>0</v>
      </c>
      <c r="I4379">
        <v>1</v>
      </c>
      <c r="J4379">
        <v>0.1</v>
      </c>
      <c r="K4379">
        <v>6.0600000000000001E-2</v>
      </c>
      <c r="L4379">
        <v>0.42</v>
      </c>
      <c r="M4379">
        <v>0.4627</v>
      </c>
      <c r="N4379">
        <v>0</v>
      </c>
      <c r="O4379">
        <v>12</v>
      </c>
      <c r="P4379">
        <v>12</v>
      </c>
      <c r="Q4379">
        <v>186</v>
      </c>
      <c r="R4379">
        <v>187</v>
      </c>
    </row>
    <row r="4380" spans="1:18" x14ac:dyDescent="0.25">
      <c r="A4380">
        <v>188</v>
      </c>
      <c r="B4380" s="1">
        <v>40552</v>
      </c>
      <c r="C4380">
        <v>1</v>
      </c>
      <c r="D4380">
        <v>0</v>
      </c>
      <c r="E4380">
        <v>1</v>
      </c>
      <c r="F4380">
        <v>2</v>
      </c>
      <c r="G4380" t="b">
        <v>0</v>
      </c>
      <c r="H4380">
        <v>0</v>
      </c>
      <c r="I4380">
        <v>1</v>
      </c>
      <c r="J4380">
        <v>0.1</v>
      </c>
      <c r="K4380">
        <v>6.0600000000000001E-2</v>
      </c>
      <c r="L4380">
        <v>0.46</v>
      </c>
      <c r="M4380">
        <v>0.4627</v>
      </c>
      <c r="N4380">
        <v>0</v>
      </c>
      <c r="O4380">
        <v>11</v>
      </c>
      <c r="P4380">
        <v>11</v>
      </c>
      <c r="Q4380">
        <v>187</v>
      </c>
      <c r="R4380">
        <v>188</v>
      </c>
    </row>
    <row r="4381" spans="1:18" x14ac:dyDescent="0.25">
      <c r="A4381">
        <v>189</v>
      </c>
      <c r="B4381" s="1">
        <v>40552</v>
      </c>
      <c r="C4381">
        <v>1</v>
      </c>
      <c r="D4381">
        <v>0</v>
      </c>
      <c r="E4381">
        <v>1</v>
      </c>
      <c r="F4381">
        <v>3</v>
      </c>
      <c r="G4381" t="b">
        <v>0</v>
      </c>
      <c r="H4381">
        <v>0</v>
      </c>
      <c r="I4381">
        <v>1</v>
      </c>
      <c r="J4381">
        <v>0.1</v>
      </c>
      <c r="K4381">
        <v>7.5800000000000006E-2</v>
      </c>
      <c r="L4381">
        <v>0.46</v>
      </c>
      <c r="M4381">
        <v>0.41789999999999999</v>
      </c>
      <c r="N4381">
        <v>0</v>
      </c>
      <c r="O4381">
        <v>4</v>
      </c>
      <c r="P4381">
        <v>4</v>
      </c>
      <c r="Q4381">
        <v>188</v>
      </c>
      <c r="R4381">
        <v>189</v>
      </c>
    </row>
    <row r="4382" spans="1:18" x14ac:dyDescent="0.25">
      <c r="A4382">
        <v>190</v>
      </c>
      <c r="B4382" s="1">
        <v>40552</v>
      </c>
      <c r="C4382">
        <v>1</v>
      </c>
      <c r="D4382">
        <v>0</v>
      </c>
      <c r="E4382">
        <v>1</v>
      </c>
      <c r="F4382">
        <v>4</v>
      </c>
      <c r="G4382" t="b">
        <v>0</v>
      </c>
      <c r="H4382">
        <v>0</v>
      </c>
      <c r="I4382">
        <v>1</v>
      </c>
      <c r="J4382">
        <v>0.08</v>
      </c>
      <c r="K4382">
        <v>9.0899999999999995E-2</v>
      </c>
      <c r="L4382">
        <v>0.53</v>
      </c>
      <c r="M4382">
        <v>0.19400000000000001</v>
      </c>
      <c r="N4382">
        <v>0</v>
      </c>
      <c r="O4382">
        <v>1</v>
      </c>
      <c r="P4382">
        <v>1</v>
      </c>
      <c r="Q4382">
        <v>189</v>
      </c>
      <c r="R4382">
        <v>190</v>
      </c>
    </row>
    <row r="4383" spans="1:18" x14ac:dyDescent="0.25">
      <c r="A4383">
        <v>191</v>
      </c>
      <c r="B4383" s="1">
        <v>40552</v>
      </c>
      <c r="C4383">
        <v>1</v>
      </c>
      <c r="D4383">
        <v>0</v>
      </c>
      <c r="E4383">
        <v>1</v>
      </c>
      <c r="F4383">
        <v>5</v>
      </c>
      <c r="G4383" t="b">
        <v>0</v>
      </c>
      <c r="H4383">
        <v>0</v>
      </c>
      <c r="I4383">
        <v>1</v>
      </c>
      <c r="J4383">
        <v>0.08</v>
      </c>
      <c r="K4383">
        <v>9.0899999999999995E-2</v>
      </c>
      <c r="L4383">
        <v>0.53</v>
      </c>
      <c r="M4383">
        <v>0.19400000000000001</v>
      </c>
      <c r="N4383">
        <v>0</v>
      </c>
      <c r="O4383">
        <v>1</v>
      </c>
      <c r="P4383">
        <v>1</v>
      </c>
      <c r="Q4383">
        <v>190</v>
      </c>
      <c r="R4383">
        <v>191</v>
      </c>
    </row>
    <row r="4384" spans="1:18" x14ac:dyDescent="0.25">
      <c r="A4384">
        <v>192</v>
      </c>
      <c r="B4384" s="1">
        <v>40552</v>
      </c>
      <c r="C4384">
        <v>1</v>
      </c>
      <c r="D4384">
        <v>0</v>
      </c>
      <c r="E4384">
        <v>1</v>
      </c>
      <c r="F4384">
        <v>6</v>
      </c>
      <c r="G4384" t="b">
        <v>0</v>
      </c>
      <c r="H4384">
        <v>0</v>
      </c>
      <c r="I4384">
        <v>1</v>
      </c>
      <c r="J4384">
        <v>0.1</v>
      </c>
      <c r="K4384">
        <v>9.0899999999999995E-2</v>
      </c>
      <c r="L4384">
        <v>0.49</v>
      </c>
      <c r="M4384">
        <v>0.28360000000000002</v>
      </c>
      <c r="N4384">
        <v>0</v>
      </c>
      <c r="O4384">
        <v>1</v>
      </c>
      <c r="P4384">
        <v>1</v>
      </c>
      <c r="Q4384">
        <v>191</v>
      </c>
      <c r="R4384">
        <v>192</v>
      </c>
    </row>
    <row r="4385" spans="1:18" x14ac:dyDescent="0.25">
      <c r="A4385">
        <v>193</v>
      </c>
      <c r="B4385" s="1">
        <v>40552</v>
      </c>
      <c r="C4385">
        <v>1</v>
      </c>
      <c r="D4385">
        <v>0</v>
      </c>
      <c r="E4385">
        <v>1</v>
      </c>
      <c r="F4385">
        <v>7</v>
      </c>
      <c r="G4385" t="b">
        <v>0</v>
      </c>
      <c r="H4385">
        <v>0</v>
      </c>
      <c r="I4385">
        <v>1</v>
      </c>
      <c r="J4385">
        <v>0.08</v>
      </c>
      <c r="K4385">
        <v>9.0899999999999995E-2</v>
      </c>
      <c r="L4385">
        <v>0.53</v>
      </c>
      <c r="M4385">
        <v>0.19400000000000001</v>
      </c>
      <c r="N4385">
        <v>1</v>
      </c>
      <c r="O4385">
        <v>5</v>
      </c>
      <c r="P4385">
        <v>6</v>
      </c>
      <c r="Q4385">
        <v>192</v>
      </c>
      <c r="R4385">
        <v>193</v>
      </c>
    </row>
    <row r="4386" spans="1:18" x14ac:dyDescent="0.25">
      <c r="A4386">
        <v>194</v>
      </c>
      <c r="B4386" s="1">
        <v>40552</v>
      </c>
      <c r="C4386">
        <v>1</v>
      </c>
      <c r="D4386">
        <v>0</v>
      </c>
      <c r="E4386">
        <v>1</v>
      </c>
      <c r="F4386">
        <v>8</v>
      </c>
      <c r="G4386" t="b">
        <v>0</v>
      </c>
      <c r="H4386">
        <v>0</v>
      </c>
      <c r="I4386">
        <v>1</v>
      </c>
      <c r="J4386">
        <v>0.1</v>
      </c>
      <c r="K4386">
        <v>9.0899999999999995E-2</v>
      </c>
      <c r="L4386">
        <v>0.49</v>
      </c>
      <c r="M4386">
        <v>0.28360000000000002</v>
      </c>
      <c r="N4386">
        <v>0</v>
      </c>
      <c r="O4386">
        <v>10</v>
      </c>
      <c r="P4386">
        <v>10</v>
      </c>
      <c r="Q4386">
        <v>193</v>
      </c>
      <c r="R4386">
        <v>194</v>
      </c>
    </row>
    <row r="4387" spans="1:18" x14ac:dyDescent="0.25">
      <c r="A4387">
        <v>195</v>
      </c>
      <c r="B4387" s="1">
        <v>40552</v>
      </c>
      <c r="C4387">
        <v>1</v>
      </c>
      <c r="D4387">
        <v>0</v>
      </c>
      <c r="E4387">
        <v>1</v>
      </c>
      <c r="F4387">
        <v>9</v>
      </c>
      <c r="G4387" t="b">
        <v>0</v>
      </c>
      <c r="H4387">
        <v>0</v>
      </c>
      <c r="I4387">
        <v>1</v>
      </c>
      <c r="J4387">
        <v>0.12</v>
      </c>
      <c r="K4387">
        <v>7.5800000000000006E-2</v>
      </c>
      <c r="L4387">
        <v>0.46</v>
      </c>
      <c r="M4387">
        <v>0.52239999999999998</v>
      </c>
      <c r="N4387">
        <v>0</v>
      </c>
      <c r="O4387">
        <v>19</v>
      </c>
      <c r="P4387">
        <v>19</v>
      </c>
      <c r="Q4387">
        <v>194</v>
      </c>
      <c r="R4387">
        <v>195</v>
      </c>
    </row>
    <row r="4388" spans="1:18" x14ac:dyDescent="0.25">
      <c r="A4388">
        <v>196</v>
      </c>
      <c r="B4388" s="1">
        <v>40552</v>
      </c>
      <c r="C4388">
        <v>1</v>
      </c>
      <c r="D4388">
        <v>0</v>
      </c>
      <c r="E4388">
        <v>1</v>
      </c>
      <c r="F4388">
        <v>10</v>
      </c>
      <c r="G4388" t="b">
        <v>0</v>
      </c>
      <c r="H4388">
        <v>0</v>
      </c>
      <c r="I4388">
        <v>1</v>
      </c>
      <c r="J4388">
        <v>0.14000000000000001</v>
      </c>
      <c r="K4388">
        <v>0.1061</v>
      </c>
      <c r="L4388">
        <v>0.43</v>
      </c>
      <c r="M4388">
        <v>0.3881</v>
      </c>
      <c r="N4388">
        <v>0</v>
      </c>
      <c r="O4388">
        <v>49</v>
      </c>
      <c r="P4388">
        <v>49</v>
      </c>
      <c r="Q4388">
        <v>195</v>
      </c>
      <c r="R4388">
        <v>196</v>
      </c>
    </row>
    <row r="4389" spans="1:18" x14ac:dyDescent="0.25">
      <c r="A4389">
        <v>197</v>
      </c>
      <c r="B4389" s="1">
        <v>40552</v>
      </c>
      <c r="C4389">
        <v>1</v>
      </c>
      <c r="D4389">
        <v>0</v>
      </c>
      <c r="E4389">
        <v>1</v>
      </c>
      <c r="F4389">
        <v>11</v>
      </c>
      <c r="G4389" t="b">
        <v>0</v>
      </c>
      <c r="H4389">
        <v>0</v>
      </c>
      <c r="I4389">
        <v>1</v>
      </c>
      <c r="J4389">
        <v>0.16</v>
      </c>
      <c r="K4389">
        <v>0.1212</v>
      </c>
      <c r="L4389">
        <v>0.4</v>
      </c>
      <c r="M4389">
        <v>0.52239999999999998</v>
      </c>
      <c r="N4389">
        <v>2</v>
      </c>
      <c r="O4389">
        <v>47</v>
      </c>
      <c r="P4389">
        <v>49</v>
      </c>
      <c r="Q4389">
        <v>196</v>
      </c>
      <c r="R4389">
        <v>197</v>
      </c>
    </row>
    <row r="4390" spans="1:18" x14ac:dyDescent="0.25">
      <c r="A4390">
        <v>198</v>
      </c>
      <c r="B4390" s="1">
        <v>40552</v>
      </c>
      <c r="C4390">
        <v>1</v>
      </c>
      <c r="D4390">
        <v>0</v>
      </c>
      <c r="E4390">
        <v>1</v>
      </c>
      <c r="F4390">
        <v>12</v>
      </c>
      <c r="G4390" t="b">
        <v>0</v>
      </c>
      <c r="H4390">
        <v>0</v>
      </c>
      <c r="I4390">
        <v>1</v>
      </c>
      <c r="J4390">
        <v>0.18</v>
      </c>
      <c r="K4390">
        <v>0.13639999999999999</v>
      </c>
      <c r="L4390">
        <v>0.37</v>
      </c>
      <c r="M4390">
        <v>0.44779999999999998</v>
      </c>
      <c r="N4390">
        <v>4</v>
      </c>
      <c r="O4390">
        <v>79</v>
      </c>
      <c r="P4390">
        <v>83</v>
      </c>
      <c r="Q4390">
        <v>197</v>
      </c>
      <c r="R4390">
        <v>198</v>
      </c>
    </row>
    <row r="4391" spans="1:18" x14ac:dyDescent="0.25">
      <c r="A4391">
        <v>199</v>
      </c>
      <c r="B4391" s="1">
        <v>40552</v>
      </c>
      <c r="C4391">
        <v>1</v>
      </c>
      <c r="D4391">
        <v>0</v>
      </c>
      <c r="E4391">
        <v>1</v>
      </c>
      <c r="F4391">
        <v>13</v>
      </c>
      <c r="G4391" t="b">
        <v>0</v>
      </c>
      <c r="H4391">
        <v>0</v>
      </c>
      <c r="I4391">
        <v>1</v>
      </c>
      <c r="J4391">
        <v>0.2</v>
      </c>
      <c r="K4391">
        <v>0.16669999999999999</v>
      </c>
      <c r="L4391">
        <v>0.34</v>
      </c>
      <c r="M4391">
        <v>0.44779999999999998</v>
      </c>
      <c r="N4391">
        <v>6</v>
      </c>
      <c r="O4391">
        <v>69</v>
      </c>
      <c r="P4391">
        <v>75</v>
      </c>
      <c r="Q4391">
        <v>198</v>
      </c>
      <c r="R4391">
        <v>199</v>
      </c>
    </row>
    <row r="4392" spans="1:18" x14ac:dyDescent="0.25">
      <c r="A4392">
        <v>200</v>
      </c>
      <c r="B4392" s="1">
        <v>40552</v>
      </c>
      <c r="C4392">
        <v>1</v>
      </c>
      <c r="D4392">
        <v>0</v>
      </c>
      <c r="E4392">
        <v>1</v>
      </c>
      <c r="F4392">
        <v>14</v>
      </c>
      <c r="G4392" t="b">
        <v>0</v>
      </c>
      <c r="H4392">
        <v>0</v>
      </c>
      <c r="I4392">
        <v>1</v>
      </c>
      <c r="J4392">
        <v>0.22</v>
      </c>
      <c r="K4392">
        <v>0.18179999999999999</v>
      </c>
      <c r="L4392">
        <v>0.32</v>
      </c>
      <c r="M4392">
        <v>0.4627</v>
      </c>
      <c r="N4392">
        <v>8</v>
      </c>
      <c r="O4392">
        <v>64</v>
      </c>
      <c r="P4392">
        <v>72</v>
      </c>
      <c r="Q4392">
        <v>199</v>
      </c>
      <c r="R4392">
        <v>200</v>
      </c>
    </row>
    <row r="4393" spans="1:18" x14ac:dyDescent="0.25">
      <c r="A4393">
        <v>201</v>
      </c>
      <c r="B4393" s="1">
        <v>40552</v>
      </c>
      <c r="C4393">
        <v>1</v>
      </c>
      <c r="D4393">
        <v>0</v>
      </c>
      <c r="E4393">
        <v>1</v>
      </c>
      <c r="F4393">
        <v>15</v>
      </c>
      <c r="G4393" t="b">
        <v>0</v>
      </c>
      <c r="H4393">
        <v>0</v>
      </c>
      <c r="I4393">
        <v>1</v>
      </c>
      <c r="J4393">
        <v>0.22</v>
      </c>
      <c r="K4393">
        <v>0.19700000000000001</v>
      </c>
      <c r="L4393">
        <v>0.35</v>
      </c>
      <c r="M4393">
        <v>0.35820000000000002</v>
      </c>
      <c r="N4393">
        <v>5</v>
      </c>
      <c r="O4393">
        <v>77</v>
      </c>
      <c r="P4393">
        <v>82</v>
      </c>
      <c r="Q4393">
        <v>200</v>
      </c>
      <c r="R4393">
        <v>201</v>
      </c>
    </row>
    <row r="4394" spans="1:18" x14ac:dyDescent="0.25">
      <c r="A4394">
        <v>202</v>
      </c>
      <c r="B4394" s="1">
        <v>40552</v>
      </c>
      <c r="C4394">
        <v>1</v>
      </c>
      <c r="D4394">
        <v>0</v>
      </c>
      <c r="E4394">
        <v>1</v>
      </c>
      <c r="F4394">
        <v>16</v>
      </c>
      <c r="G4394" t="b">
        <v>0</v>
      </c>
      <c r="H4394">
        <v>0</v>
      </c>
      <c r="I4394">
        <v>1</v>
      </c>
      <c r="J4394">
        <v>0.2</v>
      </c>
      <c r="K4394">
        <v>0.16669999999999999</v>
      </c>
      <c r="L4394">
        <v>0.34</v>
      </c>
      <c r="M4394">
        <v>0.44779999999999998</v>
      </c>
      <c r="N4394">
        <v>13</v>
      </c>
      <c r="O4394">
        <v>79</v>
      </c>
      <c r="P4394">
        <v>92</v>
      </c>
      <c r="Q4394">
        <v>201</v>
      </c>
      <c r="R4394">
        <v>202</v>
      </c>
    </row>
    <row r="4395" spans="1:18" x14ac:dyDescent="0.25">
      <c r="A4395">
        <v>203</v>
      </c>
      <c r="B4395" s="1">
        <v>40552</v>
      </c>
      <c r="C4395">
        <v>1</v>
      </c>
      <c r="D4395">
        <v>0</v>
      </c>
      <c r="E4395">
        <v>1</v>
      </c>
      <c r="F4395">
        <v>17</v>
      </c>
      <c r="G4395" t="b">
        <v>0</v>
      </c>
      <c r="H4395">
        <v>0</v>
      </c>
      <c r="I4395">
        <v>1</v>
      </c>
      <c r="J4395">
        <v>0.18</v>
      </c>
      <c r="K4395">
        <v>0.1515</v>
      </c>
      <c r="L4395">
        <v>0.37</v>
      </c>
      <c r="M4395">
        <v>0.3881</v>
      </c>
      <c r="N4395">
        <v>3</v>
      </c>
      <c r="O4395">
        <v>59</v>
      </c>
      <c r="P4395">
        <v>62</v>
      </c>
      <c r="Q4395">
        <v>202</v>
      </c>
      <c r="R4395">
        <v>203</v>
      </c>
    </row>
    <row r="4396" spans="1:18" x14ac:dyDescent="0.25">
      <c r="A4396">
        <v>204</v>
      </c>
      <c r="B4396" s="1">
        <v>40552</v>
      </c>
      <c r="C4396">
        <v>1</v>
      </c>
      <c r="D4396">
        <v>0</v>
      </c>
      <c r="E4396">
        <v>1</v>
      </c>
      <c r="F4396">
        <v>18</v>
      </c>
      <c r="G4396" t="b">
        <v>0</v>
      </c>
      <c r="H4396">
        <v>0</v>
      </c>
      <c r="I4396">
        <v>1</v>
      </c>
      <c r="J4396">
        <v>0.16</v>
      </c>
      <c r="K4396">
        <v>0.13639999999999999</v>
      </c>
      <c r="L4396">
        <v>0.4</v>
      </c>
      <c r="M4396">
        <v>0.32840000000000003</v>
      </c>
      <c r="N4396">
        <v>4</v>
      </c>
      <c r="O4396">
        <v>44</v>
      </c>
      <c r="P4396">
        <v>48</v>
      </c>
      <c r="Q4396">
        <v>203</v>
      </c>
      <c r="R4396">
        <v>204</v>
      </c>
    </row>
    <row r="4397" spans="1:18" x14ac:dyDescent="0.25">
      <c r="A4397">
        <v>205</v>
      </c>
      <c r="B4397" s="1">
        <v>40552</v>
      </c>
      <c r="C4397">
        <v>1</v>
      </c>
      <c r="D4397">
        <v>0</v>
      </c>
      <c r="E4397">
        <v>1</v>
      </c>
      <c r="F4397">
        <v>19</v>
      </c>
      <c r="G4397" t="b">
        <v>0</v>
      </c>
      <c r="H4397">
        <v>0</v>
      </c>
      <c r="I4397">
        <v>1</v>
      </c>
      <c r="J4397">
        <v>0.16</v>
      </c>
      <c r="K4397">
        <v>0.13639999999999999</v>
      </c>
      <c r="L4397">
        <v>0.43</v>
      </c>
      <c r="M4397">
        <v>0.32840000000000003</v>
      </c>
      <c r="N4397">
        <v>1</v>
      </c>
      <c r="O4397">
        <v>40</v>
      </c>
      <c r="P4397">
        <v>41</v>
      </c>
      <c r="Q4397">
        <v>204</v>
      </c>
      <c r="R4397">
        <v>205</v>
      </c>
    </row>
    <row r="4398" spans="1:18" x14ac:dyDescent="0.25">
      <c r="A4398">
        <v>206</v>
      </c>
      <c r="B4398" s="1">
        <v>40552</v>
      </c>
      <c r="C4398">
        <v>1</v>
      </c>
      <c r="D4398">
        <v>0</v>
      </c>
      <c r="E4398">
        <v>1</v>
      </c>
      <c r="F4398">
        <v>20</v>
      </c>
      <c r="G4398" t="b">
        <v>0</v>
      </c>
      <c r="H4398">
        <v>0</v>
      </c>
      <c r="I4398">
        <v>1</v>
      </c>
      <c r="J4398">
        <v>0.14000000000000001</v>
      </c>
      <c r="K4398">
        <v>0.1212</v>
      </c>
      <c r="L4398">
        <v>0.46</v>
      </c>
      <c r="M4398">
        <v>0.25369999999999998</v>
      </c>
      <c r="N4398">
        <v>0</v>
      </c>
      <c r="O4398">
        <v>38</v>
      </c>
      <c r="P4398">
        <v>38</v>
      </c>
      <c r="Q4398">
        <v>205</v>
      </c>
      <c r="R4398">
        <v>206</v>
      </c>
    </row>
    <row r="4399" spans="1:18" x14ac:dyDescent="0.25">
      <c r="A4399">
        <v>207</v>
      </c>
      <c r="B4399" s="1">
        <v>40552</v>
      </c>
      <c r="C4399">
        <v>1</v>
      </c>
      <c r="D4399">
        <v>0</v>
      </c>
      <c r="E4399">
        <v>1</v>
      </c>
      <c r="F4399">
        <v>21</v>
      </c>
      <c r="G4399" t="b">
        <v>0</v>
      </c>
      <c r="H4399">
        <v>0</v>
      </c>
      <c r="I4399">
        <v>1</v>
      </c>
      <c r="J4399">
        <v>0.14000000000000001</v>
      </c>
      <c r="K4399">
        <v>0.1061</v>
      </c>
      <c r="L4399">
        <v>0.46</v>
      </c>
      <c r="M4399">
        <v>0.41789999999999999</v>
      </c>
      <c r="N4399">
        <v>1</v>
      </c>
      <c r="O4399">
        <v>19</v>
      </c>
      <c r="P4399">
        <v>20</v>
      </c>
      <c r="Q4399">
        <v>206</v>
      </c>
      <c r="R4399">
        <v>207</v>
      </c>
    </row>
    <row r="4400" spans="1:18" x14ac:dyDescent="0.25">
      <c r="A4400">
        <v>208</v>
      </c>
      <c r="B4400" s="1">
        <v>40552</v>
      </c>
      <c r="C4400">
        <v>1</v>
      </c>
      <c r="D4400">
        <v>0</v>
      </c>
      <c r="E4400">
        <v>1</v>
      </c>
      <c r="F4400">
        <v>22</v>
      </c>
      <c r="G4400" t="b">
        <v>0</v>
      </c>
      <c r="H4400">
        <v>0</v>
      </c>
      <c r="I4400">
        <v>1</v>
      </c>
      <c r="J4400">
        <v>0.14000000000000001</v>
      </c>
      <c r="K4400">
        <v>0.1212</v>
      </c>
      <c r="L4400">
        <v>0.46</v>
      </c>
      <c r="M4400">
        <v>0.29849999999999999</v>
      </c>
      <c r="N4400">
        <v>5</v>
      </c>
      <c r="O4400">
        <v>10</v>
      </c>
      <c r="P4400">
        <v>15</v>
      </c>
      <c r="Q4400">
        <v>207</v>
      </c>
      <c r="R4400">
        <v>208</v>
      </c>
    </row>
    <row r="4401" spans="1:18" x14ac:dyDescent="0.25">
      <c r="A4401">
        <v>209</v>
      </c>
      <c r="B4401" s="1">
        <v>40552</v>
      </c>
      <c r="C4401">
        <v>1</v>
      </c>
      <c r="D4401">
        <v>0</v>
      </c>
      <c r="E4401">
        <v>1</v>
      </c>
      <c r="F4401">
        <v>23</v>
      </c>
      <c r="G4401" t="b">
        <v>0</v>
      </c>
      <c r="H4401">
        <v>0</v>
      </c>
      <c r="I4401">
        <v>1</v>
      </c>
      <c r="J4401">
        <v>0.12</v>
      </c>
      <c r="K4401">
        <v>0.13639999999999999</v>
      </c>
      <c r="L4401">
        <v>0.5</v>
      </c>
      <c r="M4401">
        <v>0.19400000000000001</v>
      </c>
      <c r="N4401">
        <v>0</v>
      </c>
      <c r="O4401">
        <v>6</v>
      </c>
      <c r="P4401">
        <v>6</v>
      </c>
      <c r="Q4401">
        <v>208</v>
      </c>
      <c r="R4401">
        <v>209</v>
      </c>
    </row>
    <row r="4402" spans="1:18" x14ac:dyDescent="0.25">
      <c r="A4402">
        <v>210</v>
      </c>
      <c r="B4402" s="1">
        <v>40553</v>
      </c>
      <c r="C4402">
        <v>1</v>
      </c>
      <c r="D4402">
        <v>0</v>
      </c>
      <c r="E4402">
        <v>1</v>
      </c>
      <c r="F4402">
        <v>0</v>
      </c>
      <c r="G4402" t="b">
        <v>0</v>
      </c>
      <c r="H4402">
        <v>1</v>
      </c>
      <c r="I4402">
        <v>1</v>
      </c>
      <c r="J4402">
        <v>0.12</v>
      </c>
      <c r="K4402">
        <v>0.1212</v>
      </c>
      <c r="L4402">
        <v>0.5</v>
      </c>
      <c r="M4402">
        <v>0.28360000000000002</v>
      </c>
      <c r="N4402">
        <v>2</v>
      </c>
      <c r="O4402">
        <v>3</v>
      </c>
      <c r="P4402">
        <v>5</v>
      </c>
      <c r="Q4402">
        <v>209</v>
      </c>
      <c r="R4402">
        <v>210</v>
      </c>
    </row>
    <row r="4403" spans="1:18" x14ac:dyDescent="0.25">
      <c r="A4403">
        <v>211</v>
      </c>
      <c r="B4403" s="1">
        <v>40553</v>
      </c>
      <c r="C4403">
        <v>1</v>
      </c>
      <c r="D4403">
        <v>0</v>
      </c>
      <c r="E4403">
        <v>1</v>
      </c>
      <c r="F4403">
        <v>1</v>
      </c>
      <c r="G4403" t="b">
        <v>0</v>
      </c>
      <c r="H4403">
        <v>1</v>
      </c>
      <c r="I4403">
        <v>1</v>
      </c>
      <c r="J4403">
        <v>0.12</v>
      </c>
      <c r="K4403">
        <v>0.1212</v>
      </c>
      <c r="L4403">
        <v>0.5</v>
      </c>
      <c r="M4403">
        <v>0.28360000000000002</v>
      </c>
      <c r="N4403">
        <v>1</v>
      </c>
      <c r="O4403">
        <v>0</v>
      </c>
      <c r="P4403">
        <v>1</v>
      </c>
      <c r="Q4403">
        <v>210</v>
      </c>
      <c r="R4403">
        <v>211</v>
      </c>
    </row>
    <row r="4404" spans="1:18" x14ac:dyDescent="0.25">
      <c r="A4404">
        <v>212</v>
      </c>
      <c r="B4404" s="1">
        <v>40553</v>
      </c>
      <c r="C4404">
        <v>1</v>
      </c>
      <c r="D4404">
        <v>0</v>
      </c>
      <c r="E4404">
        <v>1</v>
      </c>
      <c r="F4404">
        <v>2</v>
      </c>
      <c r="G4404" t="b">
        <v>0</v>
      </c>
      <c r="H4404">
        <v>1</v>
      </c>
      <c r="I4404">
        <v>1</v>
      </c>
      <c r="J4404">
        <v>0.12</v>
      </c>
      <c r="K4404">
        <v>0.1212</v>
      </c>
      <c r="L4404">
        <v>0.5</v>
      </c>
      <c r="M4404">
        <v>0.22389999999999999</v>
      </c>
      <c r="N4404">
        <v>0</v>
      </c>
      <c r="O4404">
        <v>3</v>
      </c>
      <c r="P4404">
        <v>3</v>
      </c>
      <c r="Q4404">
        <v>211</v>
      </c>
      <c r="R4404">
        <v>212</v>
      </c>
    </row>
    <row r="4405" spans="1:18" x14ac:dyDescent="0.25">
      <c r="A4405">
        <v>213</v>
      </c>
      <c r="B4405" s="1">
        <v>40553</v>
      </c>
      <c r="C4405">
        <v>1</v>
      </c>
      <c r="D4405">
        <v>0</v>
      </c>
      <c r="E4405">
        <v>1</v>
      </c>
      <c r="F4405">
        <v>3</v>
      </c>
      <c r="G4405" t="b">
        <v>0</v>
      </c>
      <c r="H4405">
        <v>1</v>
      </c>
      <c r="I4405">
        <v>1</v>
      </c>
      <c r="J4405">
        <v>0.12</v>
      </c>
      <c r="K4405">
        <v>0.1212</v>
      </c>
      <c r="L4405">
        <v>0.5</v>
      </c>
      <c r="M4405">
        <v>0.22389999999999999</v>
      </c>
      <c r="N4405">
        <v>0</v>
      </c>
      <c r="O4405">
        <v>1</v>
      </c>
      <c r="P4405">
        <v>1</v>
      </c>
      <c r="Q4405">
        <v>212</v>
      </c>
      <c r="R4405">
        <v>213</v>
      </c>
    </row>
    <row r="4406" spans="1:18" x14ac:dyDescent="0.25">
      <c r="A4406">
        <v>214</v>
      </c>
      <c r="B4406" s="1">
        <v>40553</v>
      </c>
      <c r="C4406">
        <v>1</v>
      </c>
      <c r="D4406">
        <v>0</v>
      </c>
      <c r="E4406">
        <v>1</v>
      </c>
      <c r="F4406">
        <v>4</v>
      </c>
      <c r="G4406" t="b">
        <v>0</v>
      </c>
      <c r="H4406">
        <v>1</v>
      </c>
      <c r="I4406">
        <v>1</v>
      </c>
      <c r="J4406">
        <v>0.1</v>
      </c>
      <c r="K4406">
        <v>0.1212</v>
      </c>
      <c r="L4406">
        <v>0.54</v>
      </c>
      <c r="M4406">
        <v>0.1343</v>
      </c>
      <c r="N4406">
        <v>1</v>
      </c>
      <c r="O4406">
        <v>2</v>
      </c>
      <c r="P4406">
        <v>3</v>
      </c>
      <c r="Q4406">
        <v>213</v>
      </c>
      <c r="R4406">
        <v>214</v>
      </c>
    </row>
    <row r="4407" spans="1:18" x14ac:dyDescent="0.25">
      <c r="A4407">
        <v>215</v>
      </c>
      <c r="B4407" s="1">
        <v>40553</v>
      </c>
      <c r="C4407">
        <v>1</v>
      </c>
      <c r="D4407">
        <v>0</v>
      </c>
      <c r="E4407">
        <v>1</v>
      </c>
      <c r="F4407">
        <v>5</v>
      </c>
      <c r="G4407" t="b">
        <v>0</v>
      </c>
      <c r="H4407">
        <v>1</v>
      </c>
      <c r="I4407">
        <v>1</v>
      </c>
      <c r="J4407">
        <v>0.1</v>
      </c>
      <c r="K4407">
        <v>0.1061</v>
      </c>
      <c r="L4407">
        <v>0.54</v>
      </c>
      <c r="M4407">
        <v>0.25369999999999998</v>
      </c>
      <c r="N4407">
        <v>0</v>
      </c>
      <c r="O4407">
        <v>3</v>
      </c>
      <c r="P4407">
        <v>3</v>
      </c>
      <c r="Q4407">
        <v>214</v>
      </c>
      <c r="R4407">
        <v>215</v>
      </c>
    </row>
    <row r="4408" spans="1:18" x14ac:dyDescent="0.25">
      <c r="A4408">
        <v>216</v>
      </c>
      <c r="B4408" s="1">
        <v>40553</v>
      </c>
      <c r="C4408">
        <v>1</v>
      </c>
      <c r="D4408">
        <v>0</v>
      </c>
      <c r="E4408">
        <v>1</v>
      </c>
      <c r="F4408">
        <v>6</v>
      </c>
      <c r="G4408" t="b">
        <v>0</v>
      </c>
      <c r="H4408">
        <v>1</v>
      </c>
      <c r="I4408">
        <v>1</v>
      </c>
      <c r="J4408">
        <v>0.12</v>
      </c>
      <c r="K4408">
        <v>0.1212</v>
      </c>
      <c r="L4408">
        <v>0.5</v>
      </c>
      <c r="M4408">
        <v>0.28360000000000002</v>
      </c>
      <c r="N4408">
        <v>0</v>
      </c>
      <c r="O4408">
        <v>31</v>
      </c>
      <c r="P4408">
        <v>31</v>
      </c>
      <c r="Q4408">
        <v>215</v>
      </c>
      <c r="R4408">
        <v>216</v>
      </c>
    </row>
    <row r="4409" spans="1:18" x14ac:dyDescent="0.25">
      <c r="A4409">
        <v>217</v>
      </c>
      <c r="B4409" s="1">
        <v>40553</v>
      </c>
      <c r="C4409">
        <v>1</v>
      </c>
      <c r="D4409">
        <v>0</v>
      </c>
      <c r="E4409">
        <v>1</v>
      </c>
      <c r="F4409">
        <v>7</v>
      </c>
      <c r="G4409" t="b">
        <v>0</v>
      </c>
      <c r="H4409">
        <v>1</v>
      </c>
      <c r="I4409">
        <v>1</v>
      </c>
      <c r="J4409">
        <v>0.12</v>
      </c>
      <c r="K4409">
        <v>0.1212</v>
      </c>
      <c r="L4409">
        <v>0.5</v>
      </c>
      <c r="M4409">
        <v>0.22389999999999999</v>
      </c>
      <c r="N4409">
        <v>2</v>
      </c>
      <c r="O4409">
        <v>75</v>
      </c>
      <c r="P4409">
        <v>77</v>
      </c>
      <c r="Q4409">
        <v>216</v>
      </c>
      <c r="R4409">
        <v>217</v>
      </c>
    </row>
    <row r="4410" spans="1:18" x14ac:dyDescent="0.25">
      <c r="A4410">
        <v>218</v>
      </c>
      <c r="B4410" s="1">
        <v>40553</v>
      </c>
      <c r="C4410">
        <v>1</v>
      </c>
      <c r="D4410">
        <v>0</v>
      </c>
      <c r="E4410">
        <v>1</v>
      </c>
      <c r="F4410">
        <v>8</v>
      </c>
      <c r="G4410" t="b">
        <v>0</v>
      </c>
      <c r="H4410">
        <v>1</v>
      </c>
      <c r="I4410">
        <v>2</v>
      </c>
      <c r="J4410">
        <v>0.12</v>
      </c>
      <c r="K4410">
        <v>0.1212</v>
      </c>
      <c r="L4410">
        <v>0.5</v>
      </c>
      <c r="M4410">
        <v>0.28360000000000002</v>
      </c>
      <c r="N4410">
        <v>4</v>
      </c>
      <c r="O4410">
        <v>184</v>
      </c>
      <c r="P4410">
        <v>188</v>
      </c>
      <c r="Q4410">
        <v>217</v>
      </c>
      <c r="R4410">
        <v>218</v>
      </c>
    </row>
    <row r="4411" spans="1:18" x14ac:dyDescent="0.25">
      <c r="A4411">
        <v>219</v>
      </c>
      <c r="B4411" s="1">
        <v>40553</v>
      </c>
      <c r="C4411">
        <v>1</v>
      </c>
      <c r="D4411">
        <v>0</v>
      </c>
      <c r="E4411">
        <v>1</v>
      </c>
      <c r="F4411">
        <v>9</v>
      </c>
      <c r="G4411" t="b">
        <v>0</v>
      </c>
      <c r="H4411">
        <v>1</v>
      </c>
      <c r="I4411">
        <v>2</v>
      </c>
      <c r="J4411">
        <v>0.14000000000000001</v>
      </c>
      <c r="K4411">
        <v>0.1212</v>
      </c>
      <c r="L4411">
        <v>0.5</v>
      </c>
      <c r="M4411">
        <v>0.25369999999999998</v>
      </c>
      <c r="N4411">
        <v>2</v>
      </c>
      <c r="O4411">
        <v>92</v>
      </c>
      <c r="P4411">
        <v>94</v>
      </c>
      <c r="Q4411">
        <v>218</v>
      </c>
      <c r="R4411">
        <v>219</v>
      </c>
    </row>
    <row r="4412" spans="1:18" x14ac:dyDescent="0.25">
      <c r="A4412">
        <v>220</v>
      </c>
      <c r="B4412" s="1">
        <v>40553</v>
      </c>
      <c r="C4412">
        <v>1</v>
      </c>
      <c r="D4412">
        <v>0</v>
      </c>
      <c r="E4412">
        <v>1</v>
      </c>
      <c r="F4412">
        <v>10</v>
      </c>
      <c r="G4412" t="b">
        <v>0</v>
      </c>
      <c r="H4412">
        <v>1</v>
      </c>
      <c r="I4412">
        <v>2</v>
      </c>
      <c r="J4412">
        <v>0.14000000000000001</v>
      </c>
      <c r="K4412">
        <v>0.1212</v>
      </c>
      <c r="L4412">
        <v>0.5</v>
      </c>
      <c r="M4412">
        <v>0.29849999999999999</v>
      </c>
      <c r="N4412">
        <v>0</v>
      </c>
      <c r="O4412">
        <v>31</v>
      </c>
      <c r="P4412">
        <v>31</v>
      </c>
      <c r="Q4412">
        <v>219</v>
      </c>
      <c r="R4412">
        <v>220</v>
      </c>
    </row>
    <row r="4413" spans="1:18" x14ac:dyDescent="0.25">
      <c r="A4413">
        <v>221</v>
      </c>
      <c r="B4413" s="1">
        <v>40553</v>
      </c>
      <c r="C4413">
        <v>1</v>
      </c>
      <c r="D4413">
        <v>0</v>
      </c>
      <c r="E4413">
        <v>1</v>
      </c>
      <c r="F4413">
        <v>11</v>
      </c>
      <c r="G4413" t="b">
        <v>0</v>
      </c>
      <c r="H4413">
        <v>1</v>
      </c>
      <c r="I4413">
        <v>2</v>
      </c>
      <c r="J4413">
        <v>0.16</v>
      </c>
      <c r="K4413">
        <v>0.13639999999999999</v>
      </c>
      <c r="L4413">
        <v>0.47</v>
      </c>
      <c r="M4413">
        <v>0.28360000000000002</v>
      </c>
      <c r="N4413">
        <v>2</v>
      </c>
      <c r="O4413">
        <v>28</v>
      </c>
      <c r="P4413">
        <v>30</v>
      </c>
      <c r="Q4413">
        <v>220</v>
      </c>
      <c r="R4413">
        <v>221</v>
      </c>
    </row>
    <row r="4414" spans="1:18" x14ac:dyDescent="0.25">
      <c r="A4414">
        <v>222</v>
      </c>
      <c r="B4414" s="1">
        <v>40553</v>
      </c>
      <c r="C4414">
        <v>1</v>
      </c>
      <c r="D4414">
        <v>0</v>
      </c>
      <c r="E4414">
        <v>1</v>
      </c>
      <c r="F4414">
        <v>12</v>
      </c>
      <c r="G4414" t="b">
        <v>0</v>
      </c>
      <c r="H4414">
        <v>1</v>
      </c>
      <c r="I4414">
        <v>2</v>
      </c>
      <c r="J4414">
        <v>0.2</v>
      </c>
      <c r="K4414">
        <v>0.18179999999999999</v>
      </c>
      <c r="L4414">
        <v>0.4</v>
      </c>
      <c r="M4414">
        <v>0.28360000000000002</v>
      </c>
      <c r="N4414">
        <v>5</v>
      </c>
      <c r="O4414">
        <v>47</v>
      </c>
      <c r="P4414">
        <v>52</v>
      </c>
      <c r="Q4414">
        <v>221</v>
      </c>
      <c r="R4414">
        <v>222</v>
      </c>
    </row>
    <row r="4415" spans="1:18" x14ac:dyDescent="0.25">
      <c r="A4415">
        <v>223</v>
      </c>
      <c r="B4415" s="1">
        <v>40553</v>
      </c>
      <c r="C4415">
        <v>1</v>
      </c>
      <c r="D4415">
        <v>0</v>
      </c>
      <c r="E4415">
        <v>1</v>
      </c>
      <c r="F4415">
        <v>13</v>
      </c>
      <c r="G4415" t="b">
        <v>0</v>
      </c>
      <c r="H4415">
        <v>1</v>
      </c>
      <c r="I4415">
        <v>2</v>
      </c>
      <c r="J4415">
        <v>0.2</v>
      </c>
      <c r="K4415">
        <v>0.18179999999999999</v>
      </c>
      <c r="L4415">
        <v>0.4</v>
      </c>
      <c r="M4415">
        <v>0.28360000000000002</v>
      </c>
      <c r="N4415">
        <v>4</v>
      </c>
      <c r="O4415">
        <v>50</v>
      </c>
      <c r="P4415">
        <v>54</v>
      </c>
      <c r="Q4415">
        <v>222</v>
      </c>
      <c r="R4415">
        <v>223</v>
      </c>
    </row>
    <row r="4416" spans="1:18" x14ac:dyDescent="0.25">
      <c r="A4416">
        <v>224</v>
      </c>
      <c r="B4416" s="1">
        <v>40553</v>
      </c>
      <c r="C4416">
        <v>1</v>
      </c>
      <c r="D4416">
        <v>0</v>
      </c>
      <c r="E4416">
        <v>1</v>
      </c>
      <c r="F4416">
        <v>14</v>
      </c>
      <c r="G4416" t="b">
        <v>0</v>
      </c>
      <c r="H4416">
        <v>1</v>
      </c>
      <c r="I4416">
        <v>2</v>
      </c>
      <c r="J4416">
        <v>0.2</v>
      </c>
      <c r="K4416">
        <v>0.19700000000000001</v>
      </c>
      <c r="L4416">
        <v>0.4</v>
      </c>
      <c r="M4416">
        <v>0.22389999999999999</v>
      </c>
      <c r="N4416">
        <v>0</v>
      </c>
      <c r="O4416">
        <v>47</v>
      </c>
      <c r="P4416">
        <v>47</v>
      </c>
      <c r="Q4416">
        <v>223</v>
      </c>
      <c r="R4416">
        <v>224</v>
      </c>
    </row>
    <row r="4417" spans="1:18" x14ac:dyDescent="0.25">
      <c r="A4417">
        <v>225</v>
      </c>
      <c r="B4417" s="1">
        <v>40553</v>
      </c>
      <c r="C4417">
        <v>1</v>
      </c>
      <c r="D4417">
        <v>0</v>
      </c>
      <c r="E4417">
        <v>1</v>
      </c>
      <c r="F4417">
        <v>15</v>
      </c>
      <c r="G4417" t="b">
        <v>0</v>
      </c>
      <c r="H4417">
        <v>1</v>
      </c>
      <c r="I4417">
        <v>2</v>
      </c>
      <c r="J4417">
        <v>0.2</v>
      </c>
      <c r="K4417">
        <v>0.19700000000000001</v>
      </c>
      <c r="L4417">
        <v>0.4</v>
      </c>
      <c r="M4417">
        <v>0.22389999999999999</v>
      </c>
      <c r="N4417">
        <v>2</v>
      </c>
      <c r="O4417">
        <v>43</v>
      </c>
      <c r="P4417">
        <v>45</v>
      </c>
      <c r="Q4417">
        <v>224</v>
      </c>
      <c r="R4417">
        <v>225</v>
      </c>
    </row>
    <row r="4418" spans="1:18" x14ac:dyDescent="0.25">
      <c r="A4418">
        <v>226</v>
      </c>
      <c r="B4418" s="1">
        <v>40553</v>
      </c>
      <c r="C4418">
        <v>1</v>
      </c>
      <c r="D4418">
        <v>0</v>
      </c>
      <c r="E4418">
        <v>1</v>
      </c>
      <c r="F4418">
        <v>16</v>
      </c>
      <c r="G4418" t="b">
        <v>0</v>
      </c>
      <c r="H4418">
        <v>1</v>
      </c>
      <c r="I4418">
        <v>1</v>
      </c>
      <c r="J4418">
        <v>0.2</v>
      </c>
      <c r="K4418">
        <v>0.21210000000000001</v>
      </c>
      <c r="L4418">
        <v>0.4</v>
      </c>
      <c r="M4418">
        <v>0.1343</v>
      </c>
      <c r="N4418">
        <v>4</v>
      </c>
      <c r="O4418">
        <v>70</v>
      </c>
      <c r="P4418">
        <v>74</v>
      </c>
      <c r="Q4418">
        <v>225</v>
      </c>
      <c r="R4418">
        <v>226</v>
      </c>
    </row>
    <row r="4419" spans="1:18" x14ac:dyDescent="0.25">
      <c r="A4419">
        <v>227</v>
      </c>
      <c r="B4419" s="1">
        <v>40553</v>
      </c>
      <c r="C4419">
        <v>1</v>
      </c>
      <c r="D4419">
        <v>0</v>
      </c>
      <c r="E4419">
        <v>1</v>
      </c>
      <c r="F4419">
        <v>17</v>
      </c>
      <c r="G4419" t="b">
        <v>0</v>
      </c>
      <c r="H4419">
        <v>1</v>
      </c>
      <c r="I4419">
        <v>1</v>
      </c>
      <c r="J4419">
        <v>0.2</v>
      </c>
      <c r="K4419">
        <v>0.2273</v>
      </c>
      <c r="L4419">
        <v>0.4</v>
      </c>
      <c r="M4419">
        <v>0.1045</v>
      </c>
      <c r="N4419">
        <v>4</v>
      </c>
      <c r="O4419">
        <v>174</v>
      </c>
      <c r="P4419">
        <v>178</v>
      </c>
      <c r="Q4419">
        <v>226</v>
      </c>
      <c r="R4419">
        <v>227</v>
      </c>
    </row>
    <row r="4420" spans="1:18" x14ac:dyDescent="0.25">
      <c r="A4420">
        <v>228</v>
      </c>
      <c r="B4420" s="1">
        <v>40553</v>
      </c>
      <c r="C4420">
        <v>1</v>
      </c>
      <c r="D4420">
        <v>0</v>
      </c>
      <c r="E4420">
        <v>1</v>
      </c>
      <c r="F4420">
        <v>18</v>
      </c>
      <c r="G4420" t="b">
        <v>0</v>
      </c>
      <c r="H4420">
        <v>1</v>
      </c>
      <c r="I4420">
        <v>1</v>
      </c>
      <c r="J4420">
        <v>0.2</v>
      </c>
      <c r="K4420">
        <v>0.19700000000000001</v>
      </c>
      <c r="L4420">
        <v>0.4</v>
      </c>
      <c r="M4420">
        <v>0.22389999999999999</v>
      </c>
      <c r="N4420">
        <v>1</v>
      </c>
      <c r="O4420">
        <v>154</v>
      </c>
      <c r="P4420">
        <v>155</v>
      </c>
      <c r="Q4420">
        <v>227</v>
      </c>
      <c r="R4420">
        <v>228</v>
      </c>
    </row>
    <row r="4421" spans="1:18" x14ac:dyDescent="0.25">
      <c r="A4421">
        <v>229</v>
      </c>
      <c r="B4421" s="1">
        <v>40553</v>
      </c>
      <c r="C4421">
        <v>1</v>
      </c>
      <c r="D4421">
        <v>0</v>
      </c>
      <c r="E4421">
        <v>1</v>
      </c>
      <c r="F4421">
        <v>19</v>
      </c>
      <c r="G4421" t="b">
        <v>0</v>
      </c>
      <c r="H4421">
        <v>1</v>
      </c>
      <c r="I4421">
        <v>1</v>
      </c>
      <c r="J4421">
        <v>0.16</v>
      </c>
      <c r="K4421">
        <v>0.16669999999999999</v>
      </c>
      <c r="L4421">
        <v>0.47</v>
      </c>
      <c r="M4421">
        <v>0.16420000000000001</v>
      </c>
      <c r="N4421">
        <v>3</v>
      </c>
      <c r="O4421">
        <v>92</v>
      </c>
      <c r="P4421">
        <v>95</v>
      </c>
      <c r="Q4421">
        <v>228</v>
      </c>
      <c r="R4421">
        <v>229</v>
      </c>
    </row>
    <row r="4422" spans="1:18" x14ac:dyDescent="0.25">
      <c r="A4422">
        <v>230</v>
      </c>
      <c r="B4422" s="1">
        <v>40553</v>
      </c>
      <c r="C4422">
        <v>1</v>
      </c>
      <c r="D4422">
        <v>0</v>
      </c>
      <c r="E4422">
        <v>1</v>
      </c>
      <c r="F4422">
        <v>20</v>
      </c>
      <c r="G4422" t="b">
        <v>0</v>
      </c>
      <c r="H4422">
        <v>1</v>
      </c>
      <c r="I4422">
        <v>1</v>
      </c>
      <c r="J4422">
        <v>0.16</v>
      </c>
      <c r="K4422">
        <v>0.16669999999999999</v>
      </c>
      <c r="L4422">
        <v>0.5</v>
      </c>
      <c r="M4422">
        <v>0.16420000000000001</v>
      </c>
      <c r="N4422">
        <v>1</v>
      </c>
      <c r="O4422">
        <v>73</v>
      </c>
      <c r="P4422">
        <v>74</v>
      </c>
      <c r="Q4422">
        <v>229</v>
      </c>
      <c r="R4422">
        <v>230</v>
      </c>
    </row>
    <row r="4423" spans="1:18" x14ac:dyDescent="0.25">
      <c r="A4423">
        <v>231</v>
      </c>
      <c r="B4423" s="1">
        <v>40553</v>
      </c>
      <c r="C4423">
        <v>1</v>
      </c>
      <c r="D4423">
        <v>0</v>
      </c>
      <c r="E4423">
        <v>1</v>
      </c>
      <c r="F4423">
        <v>21</v>
      </c>
      <c r="G4423" t="b">
        <v>0</v>
      </c>
      <c r="H4423">
        <v>1</v>
      </c>
      <c r="I4423">
        <v>1</v>
      </c>
      <c r="J4423">
        <v>0.14000000000000001</v>
      </c>
      <c r="K4423">
        <v>0.13639999999999999</v>
      </c>
      <c r="L4423">
        <v>0.59</v>
      </c>
      <c r="M4423">
        <v>0.19400000000000001</v>
      </c>
      <c r="N4423">
        <v>1</v>
      </c>
      <c r="O4423">
        <v>37</v>
      </c>
      <c r="P4423">
        <v>38</v>
      </c>
      <c r="Q4423">
        <v>230</v>
      </c>
      <c r="R4423">
        <v>231</v>
      </c>
    </row>
    <row r="4424" spans="1:18" x14ac:dyDescent="0.25">
      <c r="A4424">
        <v>232</v>
      </c>
      <c r="B4424" s="1">
        <v>40553</v>
      </c>
      <c r="C4424">
        <v>1</v>
      </c>
      <c r="D4424">
        <v>0</v>
      </c>
      <c r="E4424">
        <v>1</v>
      </c>
      <c r="F4424">
        <v>22</v>
      </c>
      <c r="G4424" t="b">
        <v>0</v>
      </c>
      <c r="H4424">
        <v>1</v>
      </c>
      <c r="I4424">
        <v>1</v>
      </c>
      <c r="J4424">
        <v>0.14000000000000001</v>
      </c>
      <c r="K4424">
        <v>0.1515</v>
      </c>
      <c r="L4424">
        <v>0.59</v>
      </c>
      <c r="M4424">
        <v>0.16420000000000001</v>
      </c>
      <c r="N4424">
        <v>2</v>
      </c>
      <c r="O4424">
        <v>22</v>
      </c>
      <c r="P4424">
        <v>24</v>
      </c>
      <c r="Q4424">
        <v>231</v>
      </c>
      <c r="R4424">
        <v>232</v>
      </c>
    </row>
    <row r="4425" spans="1:18" x14ac:dyDescent="0.25">
      <c r="A4425">
        <v>233</v>
      </c>
      <c r="B4425" s="1">
        <v>40553</v>
      </c>
      <c r="C4425">
        <v>1</v>
      </c>
      <c r="D4425">
        <v>0</v>
      </c>
      <c r="E4425">
        <v>1</v>
      </c>
      <c r="F4425">
        <v>23</v>
      </c>
      <c r="G4425" t="b">
        <v>0</v>
      </c>
      <c r="H4425">
        <v>1</v>
      </c>
      <c r="I4425">
        <v>1</v>
      </c>
      <c r="J4425">
        <v>0.14000000000000001</v>
      </c>
      <c r="K4425">
        <v>0.1515</v>
      </c>
      <c r="L4425">
        <v>0.59</v>
      </c>
      <c r="M4425">
        <v>0.16420000000000001</v>
      </c>
      <c r="N4425">
        <v>0</v>
      </c>
      <c r="O4425">
        <v>18</v>
      </c>
      <c r="P4425">
        <v>18</v>
      </c>
      <c r="Q4425">
        <v>232</v>
      </c>
      <c r="R4425">
        <v>233</v>
      </c>
    </row>
    <row r="4426" spans="1:18" x14ac:dyDescent="0.25">
      <c r="A4426">
        <v>234</v>
      </c>
      <c r="B4426" s="1">
        <v>40554</v>
      </c>
      <c r="C4426">
        <v>1</v>
      </c>
      <c r="D4426">
        <v>0</v>
      </c>
      <c r="E4426">
        <v>1</v>
      </c>
      <c r="F4426">
        <v>0</v>
      </c>
      <c r="G4426" t="b">
        <v>0</v>
      </c>
      <c r="H4426">
        <v>2</v>
      </c>
      <c r="I4426">
        <v>1</v>
      </c>
      <c r="J4426">
        <v>0.14000000000000001</v>
      </c>
      <c r="K4426">
        <v>0.16669999999999999</v>
      </c>
      <c r="L4426">
        <v>0.59</v>
      </c>
      <c r="M4426">
        <v>0.1045</v>
      </c>
      <c r="N4426">
        <v>2</v>
      </c>
      <c r="O4426">
        <v>10</v>
      </c>
      <c r="P4426">
        <v>12</v>
      </c>
      <c r="Q4426">
        <v>233</v>
      </c>
      <c r="R4426">
        <v>234</v>
      </c>
    </row>
    <row r="4427" spans="1:18" x14ac:dyDescent="0.25">
      <c r="A4427">
        <v>235</v>
      </c>
      <c r="B4427" s="1">
        <v>40554</v>
      </c>
      <c r="C4427">
        <v>1</v>
      </c>
      <c r="D4427">
        <v>0</v>
      </c>
      <c r="E4427">
        <v>1</v>
      </c>
      <c r="F4427">
        <v>1</v>
      </c>
      <c r="G4427" t="b">
        <v>0</v>
      </c>
      <c r="H4427">
        <v>2</v>
      </c>
      <c r="I4427">
        <v>1</v>
      </c>
      <c r="J4427">
        <v>0.14000000000000001</v>
      </c>
      <c r="K4427">
        <v>0.1515</v>
      </c>
      <c r="L4427">
        <v>0.59</v>
      </c>
      <c r="M4427">
        <v>0.16420000000000001</v>
      </c>
      <c r="N4427">
        <v>0</v>
      </c>
      <c r="O4427">
        <v>3</v>
      </c>
      <c r="P4427">
        <v>3</v>
      </c>
      <c r="Q4427">
        <v>234</v>
      </c>
      <c r="R4427">
        <v>235</v>
      </c>
    </row>
    <row r="4428" spans="1:18" x14ac:dyDescent="0.25">
      <c r="A4428">
        <v>236</v>
      </c>
      <c r="B4428" s="1">
        <v>40554</v>
      </c>
      <c r="C4428">
        <v>1</v>
      </c>
      <c r="D4428">
        <v>0</v>
      </c>
      <c r="E4428">
        <v>1</v>
      </c>
      <c r="F4428">
        <v>2</v>
      </c>
      <c r="G4428" t="b">
        <v>0</v>
      </c>
      <c r="H4428">
        <v>2</v>
      </c>
      <c r="I4428">
        <v>2</v>
      </c>
      <c r="J4428">
        <v>0.16</v>
      </c>
      <c r="K4428">
        <v>0.1515</v>
      </c>
      <c r="L4428">
        <v>0.55000000000000004</v>
      </c>
      <c r="M4428">
        <v>0.19400000000000001</v>
      </c>
      <c r="N4428">
        <v>0</v>
      </c>
      <c r="O4428">
        <v>3</v>
      </c>
      <c r="P4428">
        <v>3</v>
      </c>
      <c r="Q4428">
        <v>235</v>
      </c>
      <c r="R4428">
        <v>236</v>
      </c>
    </row>
    <row r="4429" spans="1:18" x14ac:dyDescent="0.25">
      <c r="A4429">
        <v>237</v>
      </c>
      <c r="B4429" s="1">
        <v>40554</v>
      </c>
      <c r="C4429">
        <v>1</v>
      </c>
      <c r="D4429">
        <v>0</v>
      </c>
      <c r="E4429">
        <v>1</v>
      </c>
      <c r="F4429">
        <v>5</v>
      </c>
      <c r="G4429" t="b">
        <v>0</v>
      </c>
      <c r="H4429">
        <v>2</v>
      </c>
      <c r="I4429">
        <v>2</v>
      </c>
      <c r="J4429">
        <v>0.16</v>
      </c>
      <c r="K4429">
        <v>0.18179999999999999</v>
      </c>
      <c r="L4429">
        <v>0.55000000000000004</v>
      </c>
      <c r="M4429">
        <v>0.1343</v>
      </c>
      <c r="N4429">
        <v>0</v>
      </c>
      <c r="O4429">
        <v>6</v>
      </c>
      <c r="P4429">
        <v>6</v>
      </c>
      <c r="Q4429">
        <v>236</v>
      </c>
      <c r="R4429">
        <v>237</v>
      </c>
    </row>
    <row r="4430" spans="1:18" x14ac:dyDescent="0.25">
      <c r="A4430">
        <v>238</v>
      </c>
      <c r="B4430" s="1">
        <v>40554</v>
      </c>
      <c r="C4430">
        <v>1</v>
      </c>
      <c r="D4430">
        <v>0</v>
      </c>
      <c r="E4430">
        <v>1</v>
      </c>
      <c r="F4430">
        <v>6</v>
      </c>
      <c r="G4430" t="b">
        <v>0</v>
      </c>
      <c r="H4430">
        <v>2</v>
      </c>
      <c r="I4430">
        <v>2</v>
      </c>
      <c r="J4430">
        <v>0.16</v>
      </c>
      <c r="K4430">
        <v>0.18179999999999999</v>
      </c>
      <c r="L4430">
        <v>0.55000000000000004</v>
      </c>
      <c r="M4430">
        <v>0.1343</v>
      </c>
      <c r="N4430">
        <v>0</v>
      </c>
      <c r="O4430">
        <v>27</v>
      </c>
      <c r="P4430">
        <v>27</v>
      </c>
      <c r="Q4430">
        <v>237</v>
      </c>
      <c r="R4430">
        <v>238</v>
      </c>
    </row>
    <row r="4431" spans="1:18" x14ac:dyDescent="0.25">
      <c r="A4431">
        <v>239</v>
      </c>
      <c r="B4431" s="1">
        <v>40554</v>
      </c>
      <c r="C4431">
        <v>1</v>
      </c>
      <c r="D4431">
        <v>0</v>
      </c>
      <c r="E4431">
        <v>1</v>
      </c>
      <c r="F4431">
        <v>7</v>
      </c>
      <c r="G4431" t="b">
        <v>0</v>
      </c>
      <c r="H4431">
        <v>2</v>
      </c>
      <c r="I4431">
        <v>2</v>
      </c>
      <c r="J4431">
        <v>0.16</v>
      </c>
      <c r="K4431">
        <v>0.2273</v>
      </c>
      <c r="L4431">
        <v>0.55000000000000004</v>
      </c>
      <c r="M4431">
        <v>0</v>
      </c>
      <c r="N4431">
        <v>2</v>
      </c>
      <c r="O4431">
        <v>97</v>
      </c>
      <c r="P4431">
        <v>99</v>
      </c>
      <c r="Q4431">
        <v>238</v>
      </c>
      <c r="R4431">
        <v>239</v>
      </c>
    </row>
    <row r="4432" spans="1:18" x14ac:dyDescent="0.25">
      <c r="A4432">
        <v>240</v>
      </c>
      <c r="B4432" s="1">
        <v>40554</v>
      </c>
      <c r="C4432">
        <v>1</v>
      </c>
      <c r="D4432">
        <v>0</v>
      </c>
      <c r="E4432">
        <v>1</v>
      </c>
      <c r="F4432">
        <v>8</v>
      </c>
      <c r="G4432" t="b">
        <v>0</v>
      </c>
      <c r="H4432">
        <v>2</v>
      </c>
      <c r="I4432">
        <v>2</v>
      </c>
      <c r="J4432">
        <v>0.18</v>
      </c>
      <c r="K4432">
        <v>0.21210000000000001</v>
      </c>
      <c r="L4432">
        <v>0.51</v>
      </c>
      <c r="M4432">
        <v>8.9599999999999999E-2</v>
      </c>
      <c r="N4432">
        <v>3</v>
      </c>
      <c r="O4432">
        <v>214</v>
      </c>
      <c r="P4432">
        <v>217</v>
      </c>
      <c r="Q4432">
        <v>239</v>
      </c>
      <c r="R4432">
        <v>240</v>
      </c>
    </row>
    <row r="4433" spans="1:18" x14ac:dyDescent="0.25">
      <c r="A4433">
        <v>241</v>
      </c>
      <c r="B4433" s="1">
        <v>40554</v>
      </c>
      <c r="C4433">
        <v>1</v>
      </c>
      <c r="D4433">
        <v>0</v>
      </c>
      <c r="E4433">
        <v>1</v>
      </c>
      <c r="F4433">
        <v>9</v>
      </c>
      <c r="G4433" t="b">
        <v>0</v>
      </c>
      <c r="H4433">
        <v>2</v>
      </c>
      <c r="I4433">
        <v>2</v>
      </c>
      <c r="J4433">
        <v>0.18</v>
      </c>
      <c r="K4433">
        <v>0.19700000000000001</v>
      </c>
      <c r="L4433">
        <v>0.51</v>
      </c>
      <c r="M4433">
        <v>0.16420000000000001</v>
      </c>
      <c r="N4433">
        <v>3</v>
      </c>
      <c r="O4433">
        <v>127</v>
      </c>
      <c r="P4433">
        <v>130</v>
      </c>
      <c r="Q4433">
        <v>240</v>
      </c>
      <c r="R4433">
        <v>241</v>
      </c>
    </row>
    <row r="4434" spans="1:18" x14ac:dyDescent="0.25">
      <c r="A4434">
        <v>242</v>
      </c>
      <c r="B4434" s="1">
        <v>40554</v>
      </c>
      <c r="C4434">
        <v>1</v>
      </c>
      <c r="D4434">
        <v>0</v>
      </c>
      <c r="E4434">
        <v>1</v>
      </c>
      <c r="F4434">
        <v>10</v>
      </c>
      <c r="G4434" t="b">
        <v>0</v>
      </c>
      <c r="H4434">
        <v>2</v>
      </c>
      <c r="I4434">
        <v>2</v>
      </c>
      <c r="J4434">
        <v>0.2</v>
      </c>
      <c r="K4434">
        <v>0.21210000000000001</v>
      </c>
      <c r="L4434">
        <v>0.51</v>
      </c>
      <c r="M4434">
        <v>0.16420000000000001</v>
      </c>
      <c r="N4434">
        <v>3</v>
      </c>
      <c r="O4434">
        <v>51</v>
      </c>
      <c r="P4434">
        <v>54</v>
      </c>
      <c r="Q4434">
        <v>241</v>
      </c>
      <c r="R4434">
        <v>242</v>
      </c>
    </row>
    <row r="4435" spans="1:18" x14ac:dyDescent="0.25">
      <c r="A4435">
        <v>243</v>
      </c>
      <c r="B4435" s="1">
        <v>40554</v>
      </c>
      <c r="C4435">
        <v>1</v>
      </c>
      <c r="D4435">
        <v>0</v>
      </c>
      <c r="E4435">
        <v>1</v>
      </c>
      <c r="F4435">
        <v>11</v>
      </c>
      <c r="G4435" t="b">
        <v>0</v>
      </c>
      <c r="H4435">
        <v>2</v>
      </c>
      <c r="I4435">
        <v>2</v>
      </c>
      <c r="J4435">
        <v>0.2</v>
      </c>
      <c r="K4435">
        <v>0.21210000000000001</v>
      </c>
      <c r="L4435">
        <v>0.47</v>
      </c>
      <c r="M4435">
        <v>0.1343</v>
      </c>
      <c r="N4435">
        <v>4</v>
      </c>
      <c r="O4435">
        <v>31</v>
      </c>
      <c r="P4435">
        <v>35</v>
      </c>
      <c r="Q4435">
        <v>242</v>
      </c>
      <c r="R4435">
        <v>243</v>
      </c>
    </row>
    <row r="4436" spans="1:18" x14ac:dyDescent="0.25">
      <c r="A4436">
        <v>244</v>
      </c>
      <c r="B4436" s="1">
        <v>40554</v>
      </c>
      <c r="C4436">
        <v>1</v>
      </c>
      <c r="D4436">
        <v>0</v>
      </c>
      <c r="E4436">
        <v>1</v>
      </c>
      <c r="F4436">
        <v>12</v>
      </c>
      <c r="G4436" t="b">
        <v>0</v>
      </c>
      <c r="H4436">
        <v>2</v>
      </c>
      <c r="I4436">
        <v>2</v>
      </c>
      <c r="J4436">
        <v>0.2</v>
      </c>
      <c r="K4436">
        <v>0.2273</v>
      </c>
      <c r="L4436">
        <v>0.51</v>
      </c>
      <c r="M4436">
        <v>0.1045</v>
      </c>
      <c r="N4436">
        <v>2</v>
      </c>
      <c r="O4436">
        <v>55</v>
      </c>
      <c r="P4436">
        <v>57</v>
      </c>
      <c r="Q4436">
        <v>243</v>
      </c>
      <c r="R4436">
        <v>244</v>
      </c>
    </row>
    <row r="4437" spans="1:18" x14ac:dyDescent="0.25">
      <c r="A4437">
        <v>245</v>
      </c>
      <c r="B4437" s="1">
        <v>40554</v>
      </c>
      <c r="C4437">
        <v>1</v>
      </c>
      <c r="D4437">
        <v>0</v>
      </c>
      <c r="E4437">
        <v>1</v>
      </c>
      <c r="F4437">
        <v>13</v>
      </c>
      <c r="G4437" t="b">
        <v>0</v>
      </c>
      <c r="H4437">
        <v>2</v>
      </c>
      <c r="I4437">
        <v>2</v>
      </c>
      <c r="J4437">
        <v>0.2</v>
      </c>
      <c r="K4437">
        <v>0.2273</v>
      </c>
      <c r="L4437">
        <v>0.59</v>
      </c>
      <c r="M4437">
        <v>8.9599999999999999E-2</v>
      </c>
      <c r="N4437">
        <v>6</v>
      </c>
      <c r="O4437">
        <v>46</v>
      </c>
      <c r="P4437">
        <v>52</v>
      </c>
      <c r="Q4437">
        <v>244</v>
      </c>
      <c r="R4437">
        <v>245</v>
      </c>
    </row>
    <row r="4438" spans="1:18" x14ac:dyDescent="0.25">
      <c r="A4438">
        <v>246</v>
      </c>
      <c r="B4438" s="1">
        <v>40554</v>
      </c>
      <c r="C4438">
        <v>1</v>
      </c>
      <c r="D4438">
        <v>0</v>
      </c>
      <c r="E4438">
        <v>1</v>
      </c>
      <c r="F4438">
        <v>14</v>
      </c>
      <c r="G4438" t="b">
        <v>0</v>
      </c>
      <c r="H4438">
        <v>2</v>
      </c>
      <c r="I4438">
        <v>2</v>
      </c>
      <c r="J4438">
        <v>0.2</v>
      </c>
      <c r="K4438">
        <v>0.2273</v>
      </c>
      <c r="L4438">
        <v>0.59</v>
      </c>
      <c r="M4438">
        <v>8.9599999999999999E-2</v>
      </c>
      <c r="N4438">
        <v>3</v>
      </c>
      <c r="O4438">
        <v>60</v>
      </c>
      <c r="P4438">
        <v>63</v>
      </c>
      <c r="Q4438">
        <v>245</v>
      </c>
      <c r="R4438">
        <v>246</v>
      </c>
    </row>
    <row r="4439" spans="1:18" x14ac:dyDescent="0.25">
      <c r="A4439">
        <v>247</v>
      </c>
      <c r="B4439" s="1">
        <v>40554</v>
      </c>
      <c r="C4439">
        <v>1</v>
      </c>
      <c r="D4439">
        <v>0</v>
      </c>
      <c r="E4439">
        <v>1</v>
      </c>
      <c r="F4439">
        <v>15</v>
      </c>
      <c r="G4439" t="b">
        <v>0</v>
      </c>
      <c r="H4439">
        <v>2</v>
      </c>
      <c r="I4439">
        <v>2</v>
      </c>
      <c r="J4439">
        <v>0.16</v>
      </c>
      <c r="K4439">
        <v>0.19700000000000001</v>
      </c>
      <c r="L4439">
        <v>0.8</v>
      </c>
      <c r="M4439">
        <v>8.9599999999999999E-2</v>
      </c>
      <c r="N4439">
        <v>2</v>
      </c>
      <c r="O4439">
        <v>45</v>
      </c>
      <c r="P4439">
        <v>47</v>
      </c>
      <c r="Q4439">
        <v>246</v>
      </c>
      <c r="R4439">
        <v>247</v>
      </c>
    </row>
    <row r="4440" spans="1:18" x14ac:dyDescent="0.25">
      <c r="A4440">
        <v>248</v>
      </c>
      <c r="B4440" s="1">
        <v>40554</v>
      </c>
      <c r="C4440">
        <v>1</v>
      </c>
      <c r="D4440">
        <v>0</v>
      </c>
      <c r="E4440">
        <v>1</v>
      </c>
      <c r="F4440">
        <v>16</v>
      </c>
      <c r="G4440" t="b">
        <v>0</v>
      </c>
      <c r="H4440">
        <v>2</v>
      </c>
      <c r="I4440">
        <v>2</v>
      </c>
      <c r="J4440">
        <v>0.16</v>
      </c>
      <c r="K4440">
        <v>0.1515</v>
      </c>
      <c r="L4440">
        <v>0.86</v>
      </c>
      <c r="M4440">
        <v>0.22389999999999999</v>
      </c>
      <c r="N4440">
        <v>4</v>
      </c>
      <c r="O4440">
        <v>72</v>
      </c>
      <c r="P4440">
        <v>76</v>
      </c>
      <c r="Q4440">
        <v>247</v>
      </c>
      <c r="R4440">
        <v>248</v>
      </c>
    </row>
    <row r="4441" spans="1:18" x14ac:dyDescent="0.25">
      <c r="A4441">
        <v>249</v>
      </c>
      <c r="B4441" s="1">
        <v>40554</v>
      </c>
      <c r="C4441">
        <v>1</v>
      </c>
      <c r="D4441">
        <v>0</v>
      </c>
      <c r="E4441">
        <v>1</v>
      </c>
      <c r="F4441">
        <v>17</v>
      </c>
      <c r="G4441" t="b">
        <v>0</v>
      </c>
      <c r="H4441">
        <v>2</v>
      </c>
      <c r="I4441">
        <v>2</v>
      </c>
      <c r="J4441">
        <v>0.16</v>
      </c>
      <c r="K4441">
        <v>0.1515</v>
      </c>
      <c r="L4441">
        <v>0.86</v>
      </c>
      <c r="M4441">
        <v>0.22389999999999999</v>
      </c>
      <c r="N4441">
        <v>6</v>
      </c>
      <c r="O4441">
        <v>130</v>
      </c>
      <c r="P4441">
        <v>136</v>
      </c>
      <c r="Q4441">
        <v>248</v>
      </c>
      <c r="R4441">
        <v>249</v>
      </c>
    </row>
    <row r="4442" spans="1:18" x14ac:dyDescent="0.25">
      <c r="A4442">
        <v>250</v>
      </c>
      <c r="B4442" s="1">
        <v>40554</v>
      </c>
      <c r="C4442">
        <v>1</v>
      </c>
      <c r="D4442">
        <v>0</v>
      </c>
      <c r="E4442">
        <v>1</v>
      </c>
      <c r="F4442">
        <v>18</v>
      </c>
      <c r="G4442" t="b">
        <v>0</v>
      </c>
      <c r="H4442">
        <v>2</v>
      </c>
      <c r="I4442">
        <v>3</v>
      </c>
      <c r="J4442">
        <v>0.16</v>
      </c>
      <c r="K4442">
        <v>0.18179999999999999</v>
      </c>
      <c r="L4442">
        <v>0.93</v>
      </c>
      <c r="M4442">
        <v>0.1045</v>
      </c>
      <c r="N4442">
        <v>1</v>
      </c>
      <c r="O4442">
        <v>94</v>
      </c>
      <c r="P4442">
        <v>95</v>
      </c>
      <c r="Q4442">
        <v>249</v>
      </c>
      <c r="R4442">
        <v>250</v>
      </c>
    </row>
    <row r="4443" spans="1:18" x14ac:dyDescent="0.25">
      <c r="A4443">
        <v>251</v>
      </c>
      <c r="B4443" s="1">
        <v>40554</v>
      </c>
      <c r="C4443">
        <v>1</v>
      </c>
      <c r="D4443">
        <v>0</v>
      </c>
      <c r="E4443">
        <v>1</v>
      </c>
      <c r="F4443">
        <v>19</v>
      </c>
      <c r="G4443" t="b">
        <v>0</v>
      </c>
      <c r="H4443">
        <v>2</v>
      </c>
      <c r="I4443">
        <v>3</v>
      </c>
      <c r="J4443">
        <v>0.16</v>
      </c>
      <c r="K4443">
        <v>0.2273</v>
      </c>
      <c r="L4443">
        <v>0.93</v>
      </c>
      <c r="M4443">
        <v>0</v>
      </c>
      <c r="N4443">
        <v>0</v>
      </c>
      <c r="O4443">
        <v>51</v>
      </c>
      <c r="P4443">
        <v>51</v>
      </c>
      <c r="Q4443">
        <v>250</v>
      </c>
      <c r="R4443">
        <v>251</v>
      </c>
    </row>
    <row r="4444" spans="1:18" x14ac:dyDescent="0.25">
      <c r="A4444">
        <v>252</v>
      </c>
      <c r="B4444" s="1">
        <v>40554</v>
      </c>
      <c r="C4444">
        <v>1</v>
      </c>
      <c r="D4444">
        <v>0</v>
      </c>
      <c r="E4444">
        <v>1</v>
      </c>
      <c r="F4444">
        <v>20</v>
      </c>
      <c r="G4444" t="b">
        <v>0</v>
      </c>
      <c r="H4444">
        <v>2</v>
      </c>
      <c r="I4444">
        <v>3</v>
      </c>
      <c r="J4444">
        <v>0.16</v>
      </c>
      <c r="K4444">
        <v>0.1515</v>
      </c>
      <c r="L4444">
        <v>0.93</v>
      </c>
      <c r="M4444">
        <v>0.19400000000000001</v>
      </c>
      <c r="N4444">
        <v>0</v>
      </c>
      <c r="O4444">
        <v>32</v>
      </c>
      <c r="P4444">
        <v>32</v>
      </c>
      <c r="Q4444">
        <v>251</v>
      </c>
      <c r="R4444">
        <v>252</v>
      </c>
    </row>
    <row r="4445" spans="1:18" x14ac:dyDescent="0.25">
      <c r="A4445">
        <v>253</v>
      </c>
      <c r="B4445" s="1">
        <v>40554</v>
      </c>
      <c r="C4445">
        <v>1</v>
      </c>
      <c r="D4445">
        <v>0</v>
      </c>
      <c r="E4445">
        <v>1</v>
      </c>
      <c r="F4445">
        <v>21</v>
      </c>
      <c r="G4445" t="b">
        <v>0</v>
      </c>
      <c r="H4445">
        <v>2</v>
      </c>
      <c r="I4445">
        <v>3</v>
      </c>
      <c r="J4445">
        <v>0.16</v>
      </c>
      <c r="K4445">
        <v>0.19700000000000001</v>
      </c>
      <c r="L4445">
        <v>0.86</v>
      </c>
      <c r="M4445">
        <v>8.9599999999999999E-2</v>
      </c>
      <c r="N4445">
        <v>0</v>
      </c>
      <c r="O4445">
        <v>20</v>
      </c>
      <c r="P4445">
        <v>20</v>
      </c>
      <c r="Q4445">
        <v>252</v>
      </c>
      <c r="R4445">
        <v>253</v>
      </c>
    </row>
    <row r="4446" spans="1:18" x14ac:dyDescent="0.25">
      <c r="A4446">
        <v>254</v>
      </c>
      <c r="B4446" s="1">
        <v>40554</v>
      </c>
      <c r="C4446">
        <v>1</v>
      </c>
      <c r="D4446">
        <v>0</v>
      </c>
      <c r="E4446">
        <v>1</v>
      </c>
      <c r="F4446">
        <v>22</v>
      </c>
      <c r="G4446" t="b">
        <v>0</v>
      </c>
      <c r="H4446">
        <v>2</v>
      </c>
      <c r="I4446">
        <v>3</v>
      </c>
      <c r="J4446">
        <v>0.16</v>
      </c>
      <c r="K4446">
        <v>0.18179999999999999</v>
      </c>
      <c r="L4446">
        <v>0.93</v>
      </c>
      <c r="M4446">
        <v>0.1045</v>
      </c>
      <c r="N4446">
        <v>1</v>
      </c>
      <c r="O4446">
        <v>28</v>
      </c>
      <c r="P4446">
        <v>29</v>
      </c>
      <c r="Q4446">
        <v>253</v>
      </c>
      <c r="R4446">
        <v>254</v>
      </c>
    </row>
    <row r="4447" spans="1:18" x14ac:dyDescent="0.25">
      <c r="A4447">
        <v>255</v>
      </c>
      <c r="B4447" s="1">
        <v>40554</v>
      </c>
      <c r="C4447">
        <v>1</v>
      </c>
      <c r="D4447">
        <v>0</v>
      </c>
      <c r="E4447">
        <v>1</v>
      </c>
      <c r="F4447">
        <v>23</v>
      </c>
      <c r="G4447" t="b">
        <v>0</v>
      </c>
      <c r="H4447">
        <v>2</v>
      </c>
      <c r="I4447">
        <v>3</v>
      </c>
      <c r="J4447">
        <v>0.16</v>
      </c>
      <c r="K4447">
        <v>0.19700000000000001</v>
      </c>
      <c r="L4447">
        <v>0.93</v>
      </c>
      <c r="M4447">
        <v>8.9599999999999999E-2</v>
      </c>
      <c r="N4447">
        <v>1</v>
      </c>
      <c r="O4447">
        <v>18</v>
      </c>
      <c r="P4447">
        <v>19</v>
      </c>
      <c r="Q4447">
        <v>254</v>
      </c>
      <c r="R4447">
        <v>255</v>
      </c>
    </row>
    <row r="4448" spans="1:18" x14ac:dyDescent="0.25">
      <c r="A4448">
        <v>256</v>
      </c>
      <c r="B4448" s="1">
        <v>40555</v>
      </c>
      <c r="C4448">
        <v>1</v>
      </c>
      <c r="D4448">
        <v>0</v>
      </c>
      <c r="E4448">
        <v>1</v>
      </c>
      <c r="F4448">
        <v>0</v>
      </c>
      <c r="G4448" t="b">
        <v>0</v>
      </c>
      <c r="H4448">
        <v>3</v>
      </c>
      <c r="I4448">
        <v>2</v>
      </c>
      <c r="J4448">
        <v>0.16</v>
      </c>
      <c r="K4448">
        <v>0.19700000000000001</v>
      </c>
      <c r="L4448">
        <v>0.86</v>
      </c>
      <c r="M4448">
        <v>8.9599999999999999E-2</v>
      </c>
      <c r="N4448">
        <v>0</v>
      </c>
      <c r="O4448">
        <v>7</v>
      </c>
      <c r="P4448">
        <v>7</v>
      </c>
      <c r="Q4448">
        <v>255</v>
      </c>
      <c r="R4448">
        <v>256</v>
      </c>
    </row>
    <row r="4449" spans="1:18" x14ac:dyDescent="0.25">
      <c r="A4449">
        <v>257</v>
      </c>
      <c r="B4449" s="1">
        <v>40555</v>
      </c>
      <c r="C4449">
        <v>1</v>
      </c>
      <c r="D4449">
        <v>0</v>
      </c>
      <c r="E4449">
        <v>1</v>
      </c>
      <c r="F4449">
        <v>1</v>
      </c>
      <c r="G4449" t="b">
        <v>0</v>
      </c>
      <c r="H4449">
        <v>3</v>
      </c>
      <c r="I4449">
        <v>2</v>
      </c>
      <c r="J4449">
        <v>0.16</v>
      </c>
      <c r="K4449">
        <v>0.18179999999999999</v>
      </c>
      <c r="L4449">
        <v>0.86</v>
      </c>
      <c r="M4449">
        <v>0.1045</v>
      </c>
      <c r="N4449">
        <v>0</v>
      </c>
      <c r="O4449">
        <v>6</v>
      </c>
      <c r="P4449">
        <v>6</v>
      </c>
      <c r="Q4449">
        <v>256</v>
      </c>
      <c r="R4449">
        <v>257</v>
      </c>
    </row>
    <row r="4450" spans="1:18" x14ac:dyDescent="0.25">
      <c r="A4450">
        <v>258</v>
      </c>
      <c r="B4450" s="1">
        <v>40555</v>
      </c>
      <c r="C4450">
        <v>1</v>
      </c>
      <c r="D4450">
        <v>0</v>
      </c>
      <c r="E4450">
        <v>1</v>
      </c>
      <c r="F4450">
        <v>2</v>
      </c>
      <c r="G4450" t="b">
        <v>0</v>
      </c>
      <c r="H4450">
        <v>3</v>
      </c>
      <c r="I4450">
        <v>1</v>
      </c>
      <c r="J4450">
        <v>0.14000000000000001</v>
      </c>
      <c r="K4450">
        <v>0.1515</v>
      </c>
      <c r="L4450">
        <v>0.86</v>
      </c>
      <c r="M4450">
        <v>0.1343</v>
      </c>
      <c r="N4450">
        <v>0</v>
      </c>
      <c r="O4450">
        <v>1</v>
      </c>
      <c r="P4450">
        <v>1</v>
      </c>
      <c r="Q4450">
        <v>257</v>
      </c>
      <c r="R4450">
        <v>258</v>
      </c>
    </row>
    <row r="4451" spans="1:18" x14ac:dyDescent="0.25">
      <c r="A4451">
        <v>259</v>
      </c>
      <c r="B4451" s="1">
        <v>40555</v>
      </c>
      <c r="C4451">
        <v>1</v>
      </c>
      <c r="D4451">
        <v>0</v>
      </c>
      <c r="E4451">
        <v>1</v>
      </c>
      <c r="F4451">
        <v>5</v>
      </c>
      <c r="G4451" t="b">
        <v>0</v>
      </c>
      <c r="H4451">
        <v>3</v>
      </c>
      <c r="I4451">
        <v>1</v>
      </c>
      <c r="J4451">
        <v>0.14000000000000001</v>
      </c>
      <c r="K4451">
        <v>0.1515</v>
      </c>
      <c r="L4451">
        <v>0.86</v>
      </c>
      <c r="M4451">
        <v>0.16420000000000001</v>
      </c>
      <c r="N4451">
        <v>0</v>
      </c>
      <c r="O4451">
        <v>5</v>
      </c>
      <c r="P4451">
        <v>5</v>
      </c>
      <c r="Q4451">
        <v>258</v>
      </c>
      <c r="R4451">
        <v>259</v>
      </c>
    </row>
    <row r="4452" spans="1:18" x14ac:dyDescent="0.25">
      <c r="A4452">
        <v>260</v>
      </c>
      <c r="B4452" s="1">
        <v>40555</v>
      </c>
      <c r="C4452">
        <v>1</v>
      </c>
      <c r="D4452">
        <v>0</v>
      </c>
      <c r="E4452">
        <v>1</v>
      </c>
      <c r="F4452">
        <v>6</v>
      </c>
      <c r="G4452" t="b">
        <v>0</v>
      </c>
      <c r="H4452">
        <v>3</v>
      </c>
      <c r="I4452">
        <v>1</v>
      </c>
      <c r="J4452">
        <v>0.12</v>
      </c>
      <c r="K4452">
        <v>0.1515</v>
      </c>
      <c r="L4452">
        <v>0.93</v>
      </c>
      <c r="M4452">
        <v>0.1343</v>
      </c>
      <c r="N4452">
        <v>0</v>
      </c>
      <c r="O4452">
        <v>16</v>
      </c>
      <c r="P4452">
        <v>16</v>
      </c>
      <c r="Q4452">
        <v>259</v>
      </c>
      <c r="R4452">
        <v>260</v>
      </c>
    </row>
    <row r="4453" spans="1:18" x14ac:dyDescent="0.25">
      <c r="A4453">
        <v>261</v>
      </c>
      <c r="B4453" s="1">
        <v>40555</v>
      </c>
      <c r="C4453">
        <v>1</v>
      </c>
      <c r="D4453">
        <v>0</v>
      </c>
      <c r="E4453">
        <v>1</v>
      </c>
      <c r="F4453">
        <v>7</v>
      </c>
      <c r="G4453" t="b">
        <v>0</v>
      </c>
      <c r="H4453">
        <v>3</v>
      </c>
      <c r="I4453">
        <v>1</v>
      </c>
      <c r="J4453">
        <v>0.14000000000000001</v>
      </c>
      <c r="K4453">
        <v>0.1515</v>
      </c>
      <c r="L4453">
        <v>0.69</v>
      </c>
      <c r="M4453">
        <v>0.1343</v>
      </c>
      <c r="N4453">
        <v>0</v>
      </c>
      <c r="O4453">
        <v>54</v>
      </c>
      <c r="P4453">
        <v>54</v>
      </c>
      <c r="Q4453">
        <v>260</v>
      </c>
      <c r="R4453">
        <v>261</v>
      </c>
    </row>
    <row r="4454" spans="1:18" x14ac:dyDescent="0.25">
      <c r="A4454">
        <v>262</v>
      </c>
      <c r="B4454" s="1">
        <v>40555</v>
      </c>
      <c r="C4454">
        <v>1</v>
      </c>
      <c r="D4454">
        <v>0</v>
      </c>
      <c r="E4454">
        <v>1</v>
      </c>
      <c r="F4454">
        <v>8</v>
      </c>
      <c r="G4454" t="b">
        <v>0</v>
      </c>
      <c r="H4454">
        <v>3</v>
      </c>
      <c r="I4454">
        <v>1</v>
      </c>
      <c r="J4454">
        <v>0.16</v>
      </c>
      <c r="K4454">
        <v>0.16669999999999999</v>
      </c>
      <c r="L4454">
        <v>0.59</v>
      </c>
      <c r="M4454">
        <v>0.16420000000000001</v>
      </c>
      <c r="N4454">
        <v>3</v>
      </c>
      <c r="O4454">
        <v>125</v>
      </c>
      <c r="P4454">
        <v>128</v>
      </c>
      <c r="Q4454">
        <v>261</v>
      </c>
      <c r="R4454">
        <v>262</v>
      </c>
    </row>
    <row r="4455" spans="1:18" x14ac:dyDescent="0.25">
      <c r="A4455">
        <v>263</v>
      </c>
      <c r="B4455" s="1">
        <v>40555</v>
      </c>
      <c r="C4455">
        <v>1</v>
      </c>
      <c r="D4455">
        <v>0</v>
      </c>
      <c r="E4455">
        <v>1</v>
      </c>
      <c r="F4455">
        <v>9</v>
      </c>
      <c r="G4455" t="b">
        <v>0</v>
      </c>
      <c r="H4455">
        <v>3</v>
      </c>
      <c r="I4455">
        <v>1</v>
      </c>
      <c r="J4455">
        <v>0.16</v>
      </c>
      <c r="K4455">
        <v>0.13639999999999999</v>
      </c>
      <c r="L4455">
        <v>0.59</v>
      </c>
      <c r="M4455">
        <v>0.32840000000000003</v>
      </c>
      <c r="N4455">
        <v>3</v>
      </c>
      <c r="O4455">
        <v>78</v>
      </c>
      <c r="P4455">
        <v>81</v>
      </c>
      <c r="Q4455">
        <v>262</v>
      </c>
      <c r="R4455">
        <v>263</v>
      </c>
    </row>
    <row r="4456" spans="1:18" x14ac:dyDescent="0.25">
      <c r="A4456">
        <v>264</v>
      </c>
      <c r="B4456" s="1">
        <v>40555</v>
      </c>
      <c r="C4456">
        <v>1</v>
      </c>
      <c r="D4456">
        <v>0</v>
      </c>
      <c r="E4456">
        <v>1</v>
      </c>
      <c r="F4456">
        <v>10</v>
      </c>
      <c r="G4456" t="b">
        <v>0</v>
      </c>
      <c r="H4456">
        <v>3</v>
      </c>
      <c r="I4456">
        <v>1</v>
      </c>
      <c r="J4456">
        <v>0.18</v>
      </c>
      <c r="K4456">
        <v>0.18179999999999999</v>
      </c>
      <c r="L4456">
        <v>0.55000000000000004</v>
      </c>
      <c r="M4456">
        <v>0.22389999999999999</v>
      </c>
      <c r="N4456">
        <v>0</v>
      </c>
      <c r="O4456">
        <v>39</v>
      </c>
      <c r="P4456">
        <v>39</v>
      </c>
      <c r="Q4456">
        <v>263</v>
      </c>
      <c r="R4456">
        <v>264</v>
      </c>
    </row>
    <row r="4457" spans="1:18" x14ac:dyDescent="0.25">
      <c r="A4457">
        <v>265</v>
      </c>
      <c r="B4457" s="1">
        <v>40555</v>
      </c>
      <c r="C4457">
        <v>1</v>
      </c>
      <c r="D4457">
        <v>0</v>
      </c>
      <c r="E4457">
        <v>1</v>
      </c>
      <c r="F4457">
        <v>11</v>
      </c>
      <c r="G4457" t="b">
        <v>0</v>
      </c>
      <c r="H4457">
        <v>3</v>
      </c>
      <c r="I4457">
        <v>1</v>
      </c>
      <c r="J4457">
        <v>0.2</v>
      </c>
      <c r="K4457">
        <v>0.18179999999999999</v>
      </c>
      <c r="L4457">
        <v>0.51</v>
      </c>
      <c r="M4457">
        <v>0.3881</v>
      </c>
      <c r="N4457">
        <v>3</v>
      </c>
      <c r="O4457">
        <v>32</v>
      </c>
      <c r="P4457">
        <v>35</v>
      </c>
      <c r="Q4457">
        <v>264</v>
      </c>
      <c r="R4457">
        <v>265</v>
      </c>
    </row>
    <row r="4458" spans="1:18" x14ac:dyDescent="0.25">
      <c r="A4458">
        <v>266</v>
      </c>
      <c r="B4458" s="1">
        <v>40555</v>
      </c>
      <c r="C4458">
        <v>1</v>
      </c>
      <c r="D4458">
        <v>0</v>
      </c>
      <c r="E4458">
        <v>1</v>
      </c>
      <c r="F4458">
        <v>12</v>
      </c>
      <c r="G4458" t="b">
        <v>0</v>
      </c>
      <c r="H4458">
        <v>3</v>
      </c>
      <c r="I4458">
        <v>1</v>
      </c>
      <c r="J4458">
        <v>0.2</v>
      </c>
      <c r="K4458">
        <v>0.1515</v>
      </c>
      <c r="L4458">
        <v>0.47</v>
      </c>
      <c r="M4458">
        <v>0.58209999999999995</v>
      </c>
      <c r="N4458">
        <v>3</v>
      </c>
      <c r="O4458">
        <v>52</v>
      </c>
      <c r="P4458">
        <v>55</v>
      </c>
      <c r="Q4458">
        <v>265</v>
      </c>
      <c r="R4458">
        <v>266</v>
      </c>
    </row>
    <row r="4459" spans="1:18" x14ac:dyDescent="0.25">
      <c r="A4459">
        <v>267</v>
      </c>
      <c r="B4459" s="1">
        <v>40555</v>
      </c>
      <c r="C4459">
        <v>1</v>
      </c>
      <c r="D4459">
        <v>0</v>
      </c>
      <c r="E4459">
        <v>1</v>
      </c>
      <c r="F4459">
        <v>13</v>
      </c>
      <c r="G4459" t="b">
        <v>0</v>
      </c>
      <c r="H4459">
        <v>3</v>
      </c>
      <c r="I4459">
        <v>1</v>
      </c>
      <c r="J4459">
        <v>0.22</v>
      </c>
      <c r="K4459">
        <v>0.19700000000000001</v>
      </c>
      <c r="L4459">
        <v>0.44</v>
      </c>
      <c r="M4459">
        <v>0.35820000000000002</v>
      </c>
      <c r="N4459">
        <v>0</v>
      </c>
      <c r="O4459">
        <v>49</v>
      </c>
      <c r="P4459">
        <v>49</v>
      </c>
      <c r="Q4459">
        <v>266</v>
      </c>
      <c r="R4459">
        <v>267</v>
      </c>
    </row>
    <row r="4460" spans="1:18" x14ac:dyDescent="0.25">
      <c r="A4460">
        <v>268</v>
      </c>
      <c r="B4460" s="1">
        <v>40555</v>
      </c>
      <c r="C4460">
        <v>1</v>
      </c>
      <c r="D4460">
        <v>0</v>
      </c>
      <c r="E4460">
        <v>1</v>
      </c>
      <c r="F4460">
        <v>14</v>
      </c>
      <c r="G4460" t="b">
        <v>0</v>
      </c>
      <c r="H4460">
        <v>3</v>
      </c>
      <c r="I4460">
        <v>1</v>
      </c>
      <c r="J4460">
        <v>0.2</v>
      </c>
      <c r="K4460">
        <v>0.18179999999999999</v>
      </c>
      <c r="L4460">
        <v>0.47</v>
      </c>
      <c r="M4460">
        <v>0.32840000000000003</v>
      </c>
      <c r="N4460">
        <v>0</v>
      </c>
      <c r="O4460">
        <v>44</v>
      </c>
      <c r="P4460">
        <v>44</v>
      </c>
      <c r="Q4460">
        <v>267</v>
      </c>
      <c r="R4460">
        <v>268</v>
      </c>
    </row>
    <row r="4461" spans="1:18" x14ac:dyDescent="0.25">
      <c r="A4461">
        <v>269</v>
      </c>
      <c r="B4461" s="1">
        <v>40555</v>
      </c>
      <c r="C4461">
        <v>1</v>
      </c>
      <c r="D4461">
        <v>0</v>
      </c>
      <c r="E4461">
        <v>1</v>
      </c>
      <c r="F4461">
        <v>15</v>
      </c>
      <c r="G4461" t="b">
        <v>0</v>
      </c>
      <c r="H4461">
        <v>3</v>
      </c>
      <c r="I4461">
        <v>1</v>
      </c>
      <c r="J4461">
        <v>0.2</v>
      </c>
      <c r="K4461">
        <v>0.16669999999999999</v>
      </c>
      <c r="L4461">
        <v>0.47</v>
      </c>
      <c r="M4461">
        <v>0.41789999999999999</v>
      </c>
      <c r="N4461">
        <v>1</v>
      </c>
      <c r="O4461">
        <v>48</v>
      </c>
      <c r="P4461">
        <v>49</v>
      </c>
      <c r="Q4461">
        <v>268</v>
      </c>
      <c r="R4461">
        <v>269</v>
      </c>
    </row>
    <row r="4462" spans="1:18" x14ac:dyDescent="0.25">
      <c r="A4462">
        <v>270</v>
      </c>
      <c r="B4462" s="1">
        <v>40555</v>
      </c>
      <c r="C4462">
        <v>1</v>
      </c>
      <c r="D4462">
        <v>0</v>
      </c>
      <c r="E4462">
        <v>1</v>
      </c>
      <c r="F4462">
        <v>16</v>
      </c>
      <c r="G4462" t="b">
        <v>0</v>
      </c>
      <c r="H4462">
        <v>3</v>
      </c>
      <c r="I4462">
        <v>1</v>
      </c>
      <c r="J4462">
        <v>0.22</v>
      </c>
      <c r="K4462">
        <v>0.19700000000000001</v>
      </c>
      <c r="L4462">
        <v>0.44</v>
      </c>
      <c r="M4462">
        <v>0.32840000000000003</v>
      </c>
      <c r="N4462">
        <v>5</v>
      </c>
      <c r="O4462">
        <v>63</v>
      </c>
      <c r="P4462">
        <v>68</v>
      </c>
      <c r="Q4462">
        <v>269</v>
      </c>
      <c r="R4462">
        <v>270</v>
      </c>
    </row>
    <row r="4463" spans="1:18" x14ac:dyDescent="0.25">
      <c r="A4463">
        <v>271</v>
      </c>
      <c r="B4463" s="1">
        <v>40555</v>
      </c>
      <c r="C4463">
        <v>1</v>
      </c>
      <c r="D4463">
        <v>0</v>
      </c>
      <c r="E4463">
        <v>1</v>
      </c>
      <c r="F4463">
        <v>17</v>
      </c>
      <c r="G4463" t="b">
        <v>0</v>
      </c>
      <c r="H4463">
        <v>3</v>
      </c>
      <c r="I4463">
        <v>1</v>
      </c>
      <c r="J4463">
        <v>0.2</v>
      </c>
      <c r="K4463">
        <v>0.18179999999999999</v>
      </c>
      <c r="L4463">
        <v>0.47</v>
      </c>
      <c r="M4463">
        <v>0.35820000000000002</v>
      </c>
      <c r="N4463">
        <v>0</v>
      </c>
      <c r="O4463">
        <v>139</v>
      </c>
      <c r="P4463">
        <v>139</v>
      </c>
      <c r="Q4463">
        <v>270</v>
      </c>
      <c r="R4463">
        <v>271</v>
      </c>
    </row>
    <row r="4464" spans="1:18" x14ac:dyDescent="0.25">
      <c r="A4464">
        <v>272</v>
      </c>
      <c r="B4464" s="1">
        <v>40555</v>
      </c>
      <c r="C4464">
        <v>1</v>
      </c>
      <c r="D4464">
        <v>0</v>
      </c>
      <c r="E4464">
        <v>1</v>
      </c>
      <c r="F4464">
        <v>18</v>
      </c>
      <c r="G4464" t="b">
        <v>0</v>
      </c>
      <c r="H4464">
        <v>3</v>
      </c>
      <c r="I4464">
        <v>1</v>
      </c>
      <c r="J4464">
        <v>0.2</v>
      </c>
      <c r="K4464">
        <v>0.1515</v>
      </c>
      <c r="L4464">
        <v>0.47</v>
      </c>
      <c r="M4464">
        <v>0.52239999999999998</v>
      </c>
      <c r="N4464">
        <v>2</v>
      </c>
      <c r="O4464">
        <v>135</v>
      </c>
      <c r="P4464">
        <v>137</v>
      </c>
      <c r="Q4464">
        <v>271</v>
      </c>
      <c r="R4464">
        <v>272</v>
      </c>
    </row>
    <row r="4465" spans="1:18" x14ac:dyDescent="0.25">
      <c r="A4465">
        <v>273</v>
      </c>
      <c r="B4465" s="1">
        <v>40555</v>
      </c>
      <c r="C4465">
        <v>1</v>
      </c>
      <c r="D4465">
        <v>0</v>
      </c>
      <c r="E4465">
        <v>1</v>
      </c>
      <c r="F4465">
        <v>19</v>
      </c>
      <c r="G4465" t="b">
        <v>0</v>
      </c>
      <c r="H4465">
        <v>3</v>
      </c>
      <c r="I4465">
        <v>1</v>
      </c>
      <c r="J4465">
        <v>0.18</v>
      </c>
      <c r="K4465">
        <v>0.1515</v>
      </c>
      <c r="L4465">
        <v>0.47</v>
      </c>
      <c r="M4465">
        <v>0.41789999999999999</v>
      </c>
      <c r="N4465">
        <v>1</v>
      </c>
      <c r="O4465">
        <v>82</v>
      </c>
      <c r="P4465">
        <v>83</v>
      </c>
      <c r="Q4465">
        <v>272</v>
      </c>
      <c r="R4465">
        <v>273</v>
      </c>
    </row>
    <row r="4466" spans="1:18" x14ac:dyDescent="0.25">
      <c r="A4466">
        <v>274</v>
      </c>
      <c r="B4466" s="1">
        <v>40555</v>
      </c>
      <c r="C4466">
        <v>1</v>
      </c>
      <c r="D4466">
        <v>0</v>
      </c>
      <c r="E4466">
        <v>1</v>
      </c>
      <c r="F4466">
        <v>20</v>
      </c>
      <c r="G4466" t="b">
        <v>0</v>
      </c>
      <c r="H4466">
        <v>3</v>
      </c>
      <c r="I4466">
        <v>1</v>
      </c>
      <c r="J4466">
        <v>0.16</v>
      </c>
      <c r="K4466">
        <v>0.13639999999999999</v>
      </c>
      <c r="L4466">
        <v>0.5</v>
      </c>
      <c r="M4466">
        <v>0.32840000000000003</v>
      </c>
      <c r="N4466">
        <v>2</v>
      </c>
      <c r="O4466">
        <v>54</v>
      </c>
      <c r="P4466">
        <v>56</v>
      </c>
      <c r="Q4466">
        <v>273</v>
      </c>
      <c r="R4466">
        <v>274</v>
      </c>
    </row>
    <row r="4467" spans="1:18" x14ac:dyDescent="0.25">
      <c r="A4467">
        <v>275</v>
      </c>
      <c r="B4467" s="1">
        <v>40555</v>
      </c>
      <c r="C4467">
        <v>1</v>
      </c>
      <c r="D4467">
        <v>0</v>
      </c>
      <c r="E4467">
        <v>1</v>
      </c>
      <c r="F4467">
        <v>21</v>
      </c>
      <c r="G4467" t="b">
        <v>0</v>
      </c>
      <c r="H4467">
        <v>3</v>
      </c>
      <c r="I4467">
        <v>1</v>
      </c>
      <c r="J4467">
        <v>0.16</v>
      </c>
      <c r="K4467">
        <v>0.13639999999999999</v>
      </c>
      <c r="L4467">
        <v>0.55000000000000004</v>
      </c>
      <c r="M4467">
        <v>0.32840000000000003</v>
      </c>
      <c r="N4467">
        <v>0</v>
      </c>
      <c r="O4467">
        <v>57</v>
      </c>
      <c r="P4467">
        <v>57</v>
      </c>
      <c r="Q4467">
        <v>274</v>
      </c>
      <c r="R4467">
        <v>275</v>
      </c>
    </row>
    <row r="4468" spans="1:18" x14ac:dyDescent="0.25">
      <c r="A4468">
        <v>276</v>
      </c>
      <c r="B4468" s="1">
        <v>40555</v>
      </c>
      <c r="C4468">
        <v>1</v>
      </c>
      <c r="D4468">
        <v>0</v>
      </c>
      <c r="E4468">
        <v>1</v>
      </c>
      <c r="F4468">
        <v>22</v>
      </c>
      <c r="G4468" t="b">
        <v>0</v>
      </c>
      <c r="H4468">
        <v>3</v>
      </c>
      <c r="I4468">
        <v>1</v>
      </c>
      <c r="J4468">
        <v>0.16</v>
      </c>
      <c r="K4468">
        <v>0.1212</v>
      </c>
      <c r="L4468">
        <v>0.55000000000000004</v>
      </c>
      <c r="M4468">
        <v>0.44779999999999998</v>
      </c>
      <c r="N4468">
        <v>1</v>
      </c>
      <c r="O4468">
        <v>32</v>
      </c>
      <c r="P4468">
        <v>33</v>
      </c>
      <c r="Q4468">
        <v>275</v>
      </c>
      <c r="R4468">
        <v>276</v>
      </c>
    </row>
    <row r="4469" spans="1:18" x14ac:dyDescent="0.25">
      <c r="A4469">
        <v>277</v>
      </c>
      <c r="B4469" s="1">
        <v>40555</v>
      </c>
      <c r="C4469">
        <v>1</v>
      </c>
      <c r="D4469">
        <v>0</v>
      </c>
      <c r="E4469">
        <v>1</v>
      </c>
      <c r="F4469">
        <v>23</v>
      </c>
      <c r="G4469" t="b">
        <v>0</v>
      </c>
      <c r="H4469">
        <v>3</v>
      </c>
      <c r="I4469">
        <v>1</v>
      </c>
      <c r="J4469">
        <v>0.14000000000000001</v>
      </c>
      <c r="K4469">
        <v>0.1061</v>
      </c>
      <c r="L4469">
        <v>0.59</v>
      </c>
      <c r="M4469">
        <v>0.41789999999999999</v>
      </c>
      <c r="N4469">
        <v>1</v>
      </c>
      <c r="O4469">
        <v>19</v>
      </c>
      <c r="P4469">
        <v>20</v>
      </c>
      <c r="Q4469">
        <v>276</v>
      </c>
      <c r="R4469">
        <v>277</v>
      </c>
    </row>
    <row r="4470" spans="1:18" x14ac:dyDescent="0.25">
      <c r="A4470">
        <v>278</v>
      </c>
      <c r="B4470" s="1">
        <v>40556</v>
      </c>
      <c r="C4470">
        <v>1</v>
      </c>
      <c r="D4470">
        <v>0</v>
      </c>
      <c r="E4470">
        <v>1</v>
      </c>
      <c r="F4470">
        <v>0</v>
      </c>
      <c r="G4470" t="b">
        <v>0</v>
      </c>
      <c r="H4470">
        <v>4</v>
      </c>
      <c r="I4470">
        <v>1</v>
      </c>
      <c r="J4470">
        <v>0.14000000000000001</v>
      </c>
      <c r="K4470">
        <v>0.1212</v>
      </c>
      <c r="L4470">
        <v>0.59</v>
      </c>
      <c r="M4470">
        <v>0.28360000000000002</v>
      </c>
      <c r="N4470">
        <v>1</v>
      </c>
      <c r="O4470">
        <v>6</v>
      </c>
      <c r="P4470">
        <v>7</v>
      </c>
      <c r="Q4470">
        <v>277</v>
      </c>
      <c r="R4470">
        <v>278</v>
      </c>
    </row>
    <row r="4471" spans="1:18" x14ac:dyDescent="0.25">
      <c r="A4471">
        <v>279</v>
      </c>
      <c r="B4471" s="1">
        <v>40556</v>
      </c>
      <c r="C4471">
        <v>1</v>
      </c>
      <c r="D4471">
        <v>0</v>
      </c>
      <c r="E4471">
        <v>1</v>
      </c>
      <c r="F4471">
        <v>1</v>
      </c>
      <c r="G4471" t="b">
        <v>0</v>
      </c>
      <c r="H4471">
        <v>4</v>
      </c>
      <c r="I4471">
        <v>1</v>
      </c>
      <c r="J4471">
        <v>0.14000000000000001</v>
      </c>
      <c r="K4471">
        <v>0.1212</v>
      </c>
      <c r="L4471">
        <v>0.5</v>
      </c>
      <c r="M4471">
        <v>0.28360000000000002</v>
      </c>
      <c r="N4471">
        <v>0</v>
      </c>
      <c r="O4471">
        <v>2</v>
      </c>
      <c r="P4471">
        <v>2</v>
      </c>
      <c r="Q4471">
        <v>278</v>
      </c>
      <c r="R4471">
        <v>279</v>
      </c>
    </row>
    <row r="4472" spans="1:18" x14ac:dyDescent="0.25">
      <c r="A4472">
        <v>280</v>
      </c>
      <c r="B4472" s="1">
        <v>40556</v>
      </c>
      <c r="C4472">
        <v>1</v>
      </c>
      <c r="D4472">
        <v>0</v>
      </c>
      <c r="E4472">
        <v>1</v>
      </c>
      <c r="F4472">
        <v>2</v>
      </c>
      <c r="G4472" t="b">
        <v>0</v>
      </c>
      <c r="H4472">
        <v>4</v>
      </c>
      <c r="I4472">
        <v>1</v>
      </c>
      <c r="J4472">
        <v>0.14000000000000001</v>
      </c>
      <c r="K4472">
        <v>0.1212</v>
      </c>
      <c r="L4472">
        <v>0.5</v>
      </c>
      <c r="M4472">
        <v>0.35820000000000002</v>
      </c>
      <c r="N4472">
        <v>0</v>
      </c>
      <c r="O4472">
        <v>2</v>
      </c>
      <c r="P4472">
        <v>2</v>
      </c>
      <c r="Q4472">
        <v>279</v>
      </c>
      <c r="R4472">
        <v>280</v>
      </c>
    </row>
    <row r="4473" spans="1:18" x14ac:dyDescent="0.25">
      <c r="A4473">
        <v>281</v>
      </c>
      <c r="B4473" s="1">
        <v>40556</v>
      </c>
      <c r="C4473">
        <v>1</v>
      </c>
      <c r="D4473">
        <v>0</v>
      </c>
      <c r="E4473">
        <v>1</v>
      </c>
      <c r="F4473">
        <v>3</v>
      </c>
      <c r="G4473" t="b">
        <v>0</v>
      </c>
      <c r="H4473">
        <v>4</v>
      </c>
      <c r="I4473">
        <v>1</v>
      </c>
      <c r="J4473">
        <v>0.14000000000000001</v>
      </c>
      <c r="K4473">
        <v>0.1212</v>
      </c>
      <c r="L4473">
        <v>0.5</v>
      </c>
      <c r="M4473">
        <v>0.32840000000000003</v>
      </c>
      <c r="N4473">
        <v>0</v>
      </c>
      <c r="O4473">
        <v>3</v>
      </c>
      <c r="P4473">
        <v>3</v>
      </c>
      <c r="Q4473">
        <v>280</v>
      </c>
      <c r="R4473">
        <v>281</v>
      </c>
    </row>
    <row r="4474" spans="1:18" x14ac:dyDescent="0.25">
      <c r="A4474">
        <v>282</v>
      </c>
      <c r="B4474" s="1">
        <v>40556</v>
      </c>
      <c r="C4474">
        <v>1</v>
      </c>
      <c r="D4474">
        <v>0</v>
      </c>
      <c r="E4474">
        <v>1</v>
      </c>
      <c r="F4474">
        <v>4</v>
      </c>
      <c r="G4474" t="b">
        <v>0</v>
      </c>
      <c r="H4474">
        <v>4</v>
      </c>
      <c r="I4474">
        <v>1</v>
      </c>
      <c r="J4474">
        <v>0.14000000000000001</v>
      </c>
      <c r="K4474">
        <v>0.1212</v>
      </c>
      <c r="L4474">
        <v>0.5</v>
      </c>
      <c r="M4474">
        <v>0.25369999999999998</v>
      </c>
      <c r="N4474">
        <v>0</v>
      </c>
      <c r="O4474">
        <v>4</v>
      </c>
      <c r="P4474">
        <v>4</v>
      </c>
      <c r="Q4474">
        <v>281</v>
      </c>
      <c r="R4474">
        <v>282</v>
      </c>
    </row>
    <row r="4475" spans="1:18" x14ac:dyDescent="0.25">
      <c r="A4475">
        <v>283</v>
      </c>
      <c r="B4475" s="1">
        <v>40556</v>
      </c>
      <c r="C4475">
        <v>1</v>
      </c>
      <c r="D4475">
        <v>0</v>
      </c>
      <c r="E4475">
        <v>1</v>
      </c>
      <c r="F4475">
        <v>5</v>
      </c>
      <c r="G4475" t="b">
        <v>0</v>
      </c>
      <c r="H4475">
        <v>4</v>
      </c>
      <c r="I4475">
        <v>1</v>
      </c>
      <c r="J4475">
        <v>0.14000000000000001</v>
      </c>
      <c r="K4475">
        <v>0.1212</v>
      </c>
      <c r="L4475">
        <v>0.5</v>
      </c>
      <c r="M4475">
        <v>0.29849999999999999</v>
      </c>
      <c r="N4475">
        <v>0</v>
      </c>
      <c r="O4475">
        <v>3</v>
      </c>
      <c r="P4475">
        <v>3</v>
      </c>
      <c r="Q4475">
        <v>282</v>
      </c>
      <c r="R4475">
        <v>283</v>
      </c>
    </row>
    <row r="4476" spans="1:18" x14ac:dyDescent="0.25">
      <c r="A4476">
        <v>284</v>
      </c>
      <c r="B4476" s="1">
        <v>40556</v>
      </c>
      <c r="C4476">
        <v>1</v>
      </c>
      <c r="D4476">
        <v>0</v>
      </c>
      <c r="E4476">
        <v>1</v>
      </c>
      <c r="F4476">
        <v>6</v>
      </c>
      <c r="G4476" t="b">
        <v>0</v>
      </c>
      <c r="H4476">
        <v>4</v>
      </c>
      <c r="I4476">
        <v>1</v>
      </c>
      <c r="J4476">
        <v>0.12</v>
      </c>
      <c r="K4476">
        <v>0.1515</v>
      </c>
      <c r="L4476">
        <v>0.54</v>
      </c>
      <c r="M4476">
        <v>0.1343</v>
      </c>
      <c r="N4476">
        <v>0</v>
      </c>
      <c r="O4476">
        <v>28</v>
      </c>
      <c r="P4476">
        <v>28</v>
      </c>
      <c r="Q4476">
        <v>283</v>
      </c>
      <c r="R4476">
        <v>284</v>
      </c>
    </row>
    <row r="4477" spans="1:18" x14ac:dyDescent="0.25">
      <c r="A4477">
        <v>285</v>
      </c>
      <c r="B4477" s="1">
        <v>40556</v>
      </c>
      <c r="C4477">
        <v>1</v>
      </c>
      <c r="D4477">
        <v>0</v>
      </c>
      <c r="E4477">
        <v>1</v>
      </c>
      <c r="F4477">
        <v>7</v>
      </c>
      <c r="G4477" t="b">
        <v>0</v>
      </c>
      <c r="H4477">
        <v>4</v>
      </c>
      <c r="I4477">
        <v>1</v>
      </c>
      <c r="J4477">
        <v>0.12</v>
      </c>
      <c r="K4477">
        <v>0.1515</v>
      </c>
      <c r="L4477">
        <v>0.54</v>
      </c>
      <c r="M4477">
        <v>0.1343</v>
      </c>
      <c r="N4477">
        <v>0</v>
      </c>
      <c r="O4477">
        <v>72</v>
      </c>
      <c r="P4477">
        <v>72</v>
      </c>
      <c r="Q4477">
        <v>284</v>
      </c>
      <c r="R4477">
        <v>285</v>
      </c>
    </row>
    <row r="4478" spans="1:18" x14ac:dyDescent="0.25">
      <c r="A4478">
        <v>286</v>
      </c>
      <c r="B4478" s="1">
        <v>40556</v>
      </c>
      <c r="C4478">
        <v>1</v>
      </c>
      <c r="D4478">
        <v>0</v>
      </c>
      <c r="E4478">
        <v>1</v>
      </c>
      <c r="F4478">
        <v>8</v>
      </c>
      <c r="G4478" t="b">
        <v>0</v>
      </c>
      <c r="H4478">
        <v>4</v>
      </c>
      <c r="I4478">
        <v>1</v>
      </c>
      <c r="J4478">
        <v>0.14000000000000001</v>
      </c>
      <c r="K4478">
        <v>0.13639999999999999</v>
      </c>
      <c r="L4478">
        <v>0.5</v>
      </c>
      <c r="M4478">
        <v>0.19400000000000001</v>
      </c>
      <c r="N4478">
        <v>5</v>
      </c>
      <c r="O4478">
        <v>197</v>
      </c>
      <c r="P4478">
        <v>202</v>
      </c>
      <c r="Q4478">
        <v>285</v>
      </c>
      <c r="R4478">
        <v>286</v>
      </c>
    </row>
    <row r="4479" spans="1:18" x14ac:dyDescent="0.25">
      <c r="A4479">
        <v>287</v>
      </c>
      <c r="B4479" s="1">
        <v>40556</v>
      </c>
      <c r="C4479">
        <v>1</v>
      </c>
      <c r="D4479">
        <v>0</v>
      </c>
      <c r="E4479">
        <v>1</v>
      </c>
      <c r="F4479">
        <v>9</v>
      </c>
      <c r="G4479" t="b">
        <v>0</v>
      </c>
      <c r="H4479">
        <v>4</v>
      </c>
      <c r="I4479">
        <v>1</v>
      </c>
      <c r="J4479">
        <v>0.14000000000000001</v>
      </c>
      <c r="K4479">
        <v>0.1212</v>
      </c>
      <c r="L4479">
        <v>0.5</v>
      </c>
      <c r="M4479">
        <v>0.32840000000000003</v>
      </c>
      <c r="N4479">
        <v>2</v>
      </c>
      <c r="O4479">
        <v>137</v>
      </c>
      <c r="P4479">
        <v>139</v>
      </c>
      <c r="Q4479">
        <v>286</v>
      </c>
      <c r="R4479">
        <v>287</v>
      </c>
    </row>
    <row r="4480" spans="1:18" x14ac:dyDescent="0.25">
      <c r="A4480">
        <v>288</v>
      </c>
      <c r="B4480" s="1">
        <v>40556</v>
      </c>
      <c r="C4480">
        <v>1</v>
      </c>
      <c r="D4480">
        <v>0</v>
      </c>
      <c r="E4480">
        <v>1</v>
      </c>
      <c r="F4480">
        <v>10</v>
      </c>
      <c r="G4480" t="b">
        <v>0</v>
      </c>
      <c r="H4480">
        <v>4</v>
      </c>
      <c r="I4480">
        <v>2</v>
      </c>
      <c r="J4480">
        <v>0.16</v>
      </c>
      <c r="K4480">
        <v>0.13639999999999999</v>
      </c>
      <c r="L4480">
        <v>0.5</v>
      </c>
      <c r="M4480">
        <v>0.35820000000000002</v>
      </c>
      <c r="N4480">
        <v>2</v>
      </c>
      <c r="O4480">
        <v>36</v>
      </c>
      <c r="P4480">
        <v>38</v>
      </c>
      <c r="Q4480">
        <v>287</v>
      </c>
      <c r="R4480">
        <v>288</v>
      </c>
    </row>
    <row r="4481" spans="1:18" x14ac:dyDescent="0.25">
      <c r="A4481">
        <v>289</v>
      </c>
      <c r="B4481" s="1">
        <v>40556</v>
      </c>
      <c r="C4481">
        <v>1</v>
      </c>
      <c r="D4481">
        <v>0</v>
      </c>
      <c r="E4481">
        <v>1</v>
      </c>
      <c r="F4481">
        <v>11</v>
      </c>
      <c r="G4481" t="b">
        <v>0</v>
      </c>
      <c r="H4481">
        <v>4</v>
      </c>
      <c r="I4481">
        <v>2</v>
      </c>
      <c r="J4481">
        <v>0.2</v>
      </c>
      <c r="K4481">
        <v>0.16669999999999999</v>
      </c>
      <c r="L4481">
        <v>0.44</v>
      </c>
      <c r="M4481">
        <v>0.44779999999999998</v>
      </c>
      <c r="N4481">
        <v>4</v>
      </c>
      <c r="O4481">
        <v>33</v>
      </c>
      <c r="P4481">
        <v>37</v>
      </c>
      <c r="Q4481">
        <v>288</v>
      </c>
      <c r="R4481">
        <v>289</v>
      </c>
    </row>
    <row r="4482" spans="1:18" x14ac:dyDescent="0.25">
      <c r="A4482">
        <v>290</v>
      </c>
      <c r="B4482" s="1">
        <v>40556</v>
      </c>
      <c r="C4482">
        <v>1</v>
      </c>
      <c r="D4482">
        <v>0</v>
      </c>
      <c r="E4482">
        <v>1</v>
      </c>
      <c r="F4482">
        <v>12</v>
      </c>
      <c r="G4482" t="b">
        <v>0</v>
      </c>
      <c r="H4482">
        <v>4</v>
      </c>
      <c r="I4482">
        <v>1</v>
      </c>
      <c r="J4482">
        <v>0.2</v>
      </c>
      <c r="K4482">
        <v>0.16669999999999999</v>
      </c>
      <c r="L4482">
        <v>0.44</v>
      </c>
      <c r="M4482">
        <v>0.41789999999999999</v>
      </c>
      <c r="N4482">
        <v>3</v>
      </c>
      <c r="O4482">
        <v>49</v>
      </c>
      <c r="P4482">
        <v>52</v>
      </c>
      <c r="Q4482">
        <v>289</v>
      </c>
      <c r="R4482">
        <v>290</v>
      </c>
    </row>
    <row r="4483" spans="1:18" x14ac:dyDescent="0.25">
      <c r="A4483">
        <v>291</v>
      </c>
      <c r="B4483" s="1">
        <v>40556</v>
      </c>
      <c r="C4483">
        <v>1</v>
      </c>
      <c r="D4483">
        <v>0</v>
      </c>
      <c r="E4483">
        <v>1</v>
      </c>
      <c r="F4483">
        <v>13</v>
      </c>
      <c r="G4483" t="b">
        <v>0</v>
      </c>
      <c r="H4483">
        <v>4</v>
      </c>
      <c r="I4483">
        <v>1</v>
      </c>
      <c r="J4483">
        <v>0.22</v>
      </c>
      <c r="K4483">
        <v>0.19700000000000001</v>
      </c>
      <c r="L4483">
        <v>0.41</v>
      </c>
      <c r="M4483">
        <v>0.44779999999999998</v>
      </c>
      <c r="N4483">
        <v>2</v>
      </c>
      <c r="O4483">
        <v>81</v>
      </c>
      <c r="P4483">
        <v>83</v>
      </c>
      <c r="Q4483">
        <v>290</v>
      </c>
      <c r="R4483">
        <v>291</v>
      </c>
    </row>
    <row r="4484" spans="1:18" x14ac:dyDescent="0.25">
      <c r="A4484">
        <v>292</v>
      </c>
      <c r="B4484" s="1">
        <v>40556</v>
      </c>
      <c r="C4484">
        <v>1</v>
      </c>
      <c r="D4484">
        <v>0</v>
      </c>
      <c r="E4484">
        <v>1</v>
      </c>
      <c r="F4484">
        <v>14</v>
      </c>
      <c r="G4484" t="b">
        <v>0</v>
      </c>
      <c r="H4484">
        <v>4</v>
      </c>
      <c r="I4484">
        <v>1</v>
      </c>
      <c r="J4484">
        <v>0.22</v>
      </c>
      <c r="K4484">
        <v>0.19700000000000001</v>
      </c>
      <c r="L4484">
        <v>0.41</v>
      </c>
      <c r="M4484">
        <v>0.3881</v>
      </c>
      <c r="N4484">
        <v>3</v>
      </c>
      <c r="O4484">
        <v>39</v>
      </c>
      <c r="P4484">
        <v>42</v>
      </c>
      <c r="Q4484">
        <v>291</v>
      </c>
      <c r="R4484">
        <v>292</v>
      </c>
    </row>
    <row r="4485" spans="1:18" x14ac:dyDescent="0.25">
      <c r="A4485">
        <v>293</v>
      </c>
      <c r="B4485" s="1">
        <v>40556</v>
      </c>
      <c r="C4485">
        <v>1</v>
      </c>
      <c r="D4485">
        <v>0</v>
      </c>
      <c r="E4485">
        <v>1</v>
      </c>
      <c r="F4485">
        <v>15</v>
      </c>
      <c r="G4485" t="b">
        <v>0</v>
      </c>
      <c r="H4485">
        <v>4</v>
      </c>
      <c r="I4485">
        <v>1</v>
      </c>
      <c r="J4485">
        <v>0.24</v>
      </c>
      <c r="K4485">
        <v>0.21210000000000001</v>
      </c>
      <c r="L4485">
        <v>0.38</v>
      </c>
      <c r="M4485">
        <v>0.29849999999999999</v>
      </c>
      <c r="N4485">
        <v>5</v>
      </c>
      <c r="O4485">
        <v>55</v>
      </c>
      <c r="P4485">
        <v>60</v>
      </c>
      <c r="Q4485">
        <v>292</v>
      </c>
      <c r="R4485">
        <v>293</v>
      </c>
    </row>
    <row r="4486" spans="1:18" x14ac:dyDescent="0.25">
      <c r="A4486">
        <v>294</v>
      </c>
      <c r="B4486" s="1">
        <v>40556</v>
      </c>
      <c r="C4486">
        <v>1</v>
      </c>
      <c r="D4486">
        <v>0</v>
      </c>
      <c r="E4486">
        <v>1</v>
      </c>
      <c r="F4486">
        <v>16</v>
      </c>
      <c r="G4486" t="b">
        <v>0</v>
      </c>
      <c r="H4486">
        <v>4</v>
      </c>
      <c r="I4486">
        <v>1</v>
      </c>
      <c r="J4486">
        <v>0.24</v>
      </c>
      <c r="K4486">
        <v>0.21210000000000001</v>
      </c>
      <c r="L4486">
        <v>0.38</v>
      </c>
      <c r="M4486">
        <v>0.35820000000000002</v>
      </c>
      <c r="N4486">
        <v>2</v>
      </c>
      <c r="O4486">
        <v>76</v>
      </c>
      <c r="P4486">
        <v>78</v>
      </c>
      <c r="Q4486">
        <v>293</v>
      </c>
      <c r="R4486">
        <v>294</v>
      </c>
    </row>
    <row r="4487" spans="1:18" x14ac:dyDescent="0.25">
      <c r="A4487">
        <v>295</v>
      </c>
      <c r="B4487" s="1">
        <v>40556</v>
      </c>
      <c r="C4487">
        <v>1</v>
      </c>
      <c r="D4487">
        <v>0</v>
      </c>
      <c r="E4487">
        <v>1</v>
      </c>
      <c r="F4487">
        <v>17</v>
      </c>
      <c r="G4487" t="b">
        <v>0</v>
      </c>
      <c r="H4487">
        <v>4</v>
      </c>
      <c r="I4487">
        <v>1</v>
      </c>
      <c r="J4487">
        <v>0.2</v>
      </c>
      <c r="K4487">
        <v>0.18179999999999999</v>
      </c>
      <c r="L4487">
        <v>0.4</v>
      </c>
      <c r="M4487">
        <v>0.28360000000000002</v>
      </c>
      <c r="N4487">
        <v>4</v>
      </c>
      <c r="O4487">
        <v>158</v>
      </c>
      <c r="P4487">
        <v>162</v>
      </c>
      <c r="Q4487">
        <v>294</v>
      </c>
      <c r="R4487">
        <v>295</v>
      </c>
    </row>
    <row r="4488" spans="1:18" x14ac:dyDescent="0.25">
      <c r="A4488">
        <v>296</v>
      </c>
      <c r="B4488" s="1">
        <v>40556</v>
      </c>
      <c r="C4488">
        <v>1</v>
      </c>
      <c r="D4488">
        <v>0</v>
      </c>
      <c r="E4488">
        <v>1</v>
      </c>
      <c r="F4488">
        <v>18</v>
      </c>
      <c r="G4488" t="b">
        <v>0</v>
      </c>
      <c r="H4488">
        <v>4</v>
      </c>
      <c r="I4488">
        <v>1</v>
      </c>
      <c r="J4488">
        <v>0.2</v>
      </c>
      <c r="K4488">
        <v>0.18179999999999999</v>
      </c>
      <c r="L4488">
        <v>0.4</v>
      </c>
      <c r="M4488">
        <v>0.32840000000000003</v>
      </c>
      <c r="N4488">
        <v>3</v>
      </c>
      <c r="O4488">
        <v>141</v>
      </c>
      <c r="P4488">
        <v>144</v>
      </c>
      <c r="Q4488">
        <v>295</v>
      </c>
      <c r="R4488">
        <v>296</v>
      </c>
    </row>
    <row r="4489" spans="1:18" x14ac:dyDescent="0.25">
      <c r="A4489">
        <v>297</v>
      </c>
      <c r="B4489" s="1">
        <v>40556</v>
      </c>
      <c r="C4489">
        <v>1</v>
      </c>
      <c r="D4489">
        <v>0</v>
      </c>
      <c r="E4489">
        <v>1</v>
      </c>
      <c r="F4489">
        <v>19</v>
      </c>
      <c r="G4489" t="b">
        <v>0</v>
      </c>
      <c r="H4489">
        <v>4</v>
      </c>
      <c r="I4489">
        <v>1</v>
      </c>
      <c r="J4489">
        <v>0.16</v>
      </c>
      <c r="K4489">
        <v>0.1515</v>
      </c>
      <c r="L4489">
        <v>0.47</v>
      </c>
      <c r="M4489">
        <v>0.25369999999999998</v>
      </c>
      <c r="N4489">
        <v>1</v>
      </c>
      <c r="O4489">
        <v>98</v>
      </c>
      <c r="P4489">
        <v>99</v>
      </c>
      <c r="Q4489">
        <v>296</v>
      </c>
      <c r="R4489">
        <v>297</v>
      </c>
    </row>
    <row r="4490" spans="1:18" x14ac:dyDescent="0.25">
      <c r="A4490">
        <v>298</v>
      </c>
      <c r="B4490" s="1">
        <v>40556</v>
      </c>
      <c r="C4490">
        <v>1</v>
      </c>
      <c r="D4490">
        <v>0</v>
      </c>
      <c r="E4490">
        <v>1</v>
      </c>
      <c r="F4490">
        <v>20</v>
      </c>
      <c r="G4490" t="b">
        <v>0</v>
      </c>
      <c r="H4490">
        <v>4</v>
      </c>
      <c r="I4490">
        <v>1</v>
      </c>
      <c r="J4490">
        <v>0.16</v>
      </c>
      <c r="K4490">
        <v>0.1515</v>
      </c>
      <c r="L4490">
        <v>0.47</v>
      </c>
      <c r="M4490">
        <v>0.22389999999999999</v>
      </c>
      <c r="N4490">
        <v>0</v>
      </c>
      <c r="O4490">
        <v>64</v>
      </c>
      <c r="P4490">
        <v>64</v>
      </c>
      <c r="Q4490">
        <v>297</v>
      </c>
      <c r="R4490">
        <v>298</v>
      </c>
    </row>
    <row r="4491" spans="1:18" x14ac:dyDescent="0.25">
      <c r="A4491">
        <v>299</v>
      </c>
      <c r="B4491" s="1">
        <v>40556</v>
      </c>
      <c r="C4491">
        <v>1</v>
      </c>
      <c r="D4491">
        <v>0</v>
      </c>
      <c r="E4491">
        <v>1</v>
      </c>
      <c r="F4491">
        <v>21</v>
      </c>
      <c r="G4491" t="b">
        <v>0</v>
      </c>
      <c r="H4491">
        <v>4</v>
      </c>
      <c r="I4491">
        <v>1</v>
      </c>
      <c r="J4491">
        <v>0.14000000000000001</v>
      </c>
      <c r="K4491">
        <v>0.1212</v>
      </c>
      <c r="L4491">
        <v>0.46</v>
      </c>
      <c r="M4491">
        <v>0.29849999999999999</v>
      </c>
      <c r="N4491">
        <v>0</v>
      </c>
      <c r="O4491">
        <v>40</v>
      </c>
      <c r="P4491">
        <v>40</v>
      </c>
      <c r="Q4491">
        <v>298</v>
      </c>
      <c r="R4491">
        <v>299</v>
      </c>
    </row>
    <row r="4492" spans="1:18" x14ac:dyDescent="0.25">
      <c r="A4492">
        <v>300</v>
      </c>
      <c r="B4492" s="1">
        <v>40556</v>
      </c>
      <c r="C4492">
        <v>1</v>
      </c>
      <c r="D4492">
        <v>0</v>
      </c>
      <c r="E4492">
        <v>1</v>
      </c>
      <c r="F4492">
        <v>22</v>
      </c>
      <c r="G4492" t="b">
        <v>0</v>
      </c>
      <c r="H4492">
        <v>4</v>
      </c>
      <c r="I4492">
        <v>1</v>
      </c>
      <c r="J4492">
        <v>0.14000000000000001</v>
      </c>
      <c r="K4492">
        <v>0.1212</v>
      </c>
      <c r="L4492">
        <v>0.46</v>
      </c>
      <c r="M4492">
        <v>0.32840000000000003</v>
      </c>
      <c r="N4492">
        <v>0</v>
      </c>
      <c r="O4492">
        <v>30</v>
      </c>
      <c r="P4492">
        <v>30</v>
      </c>
      <c r="Q4492">
        <v>299</v>
      </c>
      <c r="R4492">
        <v>300</v>
      </c>
    </row>
    <row r="4493" spans="1:18" x14ac:dyDescent="0.25">
      <c r="A4493">
        <v>301</v>
      </c>
      <c r="B4493" s="1">
        <v>40556</v>
      </c>
      <c r="C4493">
        <v>1</v>
      </c>
      <c r="D4493">
        <v>0</v>
      </c>
      <c r="E4493">
        <v>1</v>
      </c>
      <c r="F4493">
        <v>23</v>
      </c>
      <c r="G4493" t="b">
        <v>0</v>
      </c>
      <c r="H4493">
        <v>4</v>
      </c>
      <c r="I4493">
        <v>1</v>
      </c>
      <c r="J4493">
        <v>0.12</v>
      </c>
      <c r="K4493">
        <v>0.13639999999999999</v>
      </c>
      <c r="L4493">
        <v>0.5</v>
      </c>
      <c r="M4493">
        <v>0.19400000000000001</v>
      </c>
      <c r="N4493">
        <v>1</v>
      </c>
      <c r="O4493">
        <v>14</v>
      </c>
      <c r="P4493">
        <v>15</v>
      </c>
      <c r="Q4493">
        <v>300</v>
      </c>
      <c r="R4493">
        <v>301</v>
      </c>
    </row>
    <row r="4494" spans="1:18" x14ac:dyDescent="0.25">
      <c r="A4494">
        <v>302</v>
      </c>
      <c r="B4494" s="1">
        <v>40557</v>
      </c>
      <c r="C4494">
        <v>1</v>
      </c>
      <c r="D4494">
        <v>0</v>
      </c>
      <c r="E4494">
        <v>1</v>
      </c>
      <c r="F4494">
        <v>0</v>
      </c>
      <c r="G4494" t="b">
        <v>0</v>
      </c>
      <c r="H4494">
        <v>5</v>
      </c>
      <c r="I4494">
        <v>1</v>
      </c>
      <c r="J4494">
        <v>0.12</v>
      </c>
      <c r="K4494">
        <v>0.13639999999999999</v>
      </c>
      <c r="L4494">
        <v>0.5</v>
      </c>
      <c r="M4494">
        <v>0.19400000000000001</v>
      </c>
      <c r="N4494">
        <v>0</v>
      </c>
      <c r="O4494">
        <v>14</v>
      </c>
      <c r="P4494">
        <v>14</v>
      </c>
      <c r="Q4494">
        <v>301</v>
      </c>
      <c r="R4494">
        <v>302</v>
      </c>
    </row>
    <row r="4495" spans="1:18" x14ac:dyDescent="0.25">
      <c r="A4495">
        <v>303</v>
      </c>
      <c r="B4495" s="1">
        <v>40557</v>
      </c>
      <c r="C4495">
        <v>1</v>
      </c>
      <c r="D4495">
        <v>0</v>
      </c>
      <c r="E4495">
        <v>1</v>
      </c>
      <c r="F4495">
        <v>1</v>
      </c>
      <c r="G4495" t="b">
        <v>0</v>
      </c>
      <c r="H4495">
        <v>5</v>
      </c>
      <c r="I4495">
        <v>1</v>
      </c>
      <c r="J4495">
        <v>0.1</v>
      </c>
      <c r="K4495">
        <v>0.1212</v>
      </c>
      <c r="L4495">
        <v>0.54</v>
      </c>
      <c r="M4495">
        <v>0.16420000000000001</v>
      </c>
      <c r="N4495">
        <v>0</v>
      </c>
      <c r="O4495">
        <v>5</v>
      </c>
      <c r="P4495">
        <v>5</v>
      </c>
      <c r="Q4495">
        <v>302</v>
      </c>
      <c r="R4495">
        <v>303</v>
      </c>
    </row>
    <row r="4496" spans="1:18" x14ac:dyDescent="0.25">
      <c r="A4496">
        <v>304</v>
      </c>
      <c r="B4496" s="1">
        <v>40557</v>
      </c>
      <c r="C4496">
        <v>1</v>
      </c>
      <c r="D4496">
        <v>0</v>
      </c>
      <c r="E4496">
        <v>1</v>
      </c>
      <c r="F4496">
        <v>2</v>
      </c>
      <c r="G4496" t="b">
        <v>0</v>
      </c>
      <c r="H4496">
        <v>5</v>
      </c>
      <c r="I4496">
        <v>1</v>
      </c>
      <c r="J4496">
        <v>0.1</v>
      </c>
      <c r="K4496">
        <v>0.1212</v>
      </c>
      <c r="L4496">
        <v>0.54</v>
      </c>
      <c r="M4496">
        <v>0.1343</v>
      </c>
      <c r="N4496">
        <v>0</v>
      </c>
      <c r="O4496">
        <v>1</v>
      </c>
      <c r="P4496">
        <v>1</v>
      </c>
      <c r="Q4496">
        <v>303</v>
      </c>
      <c r="R4496">
        <v>304</v>
      </c>
    </row>
    <row r="4497" spans="1:18" x14ac:dyDescent="0.25">
      <c r="A4497">
        <v>305</v>
      </c>
      <c r="B4497" s="1">
        <v>40557</v>
      </c>
      <c r="C4497">
        <v>1</v>
      </c>
      <c r="D4497">
        <v>0</v>
      </c>
      <c r="E4497">
        <v>1</v>
      </c>
      <c r="F4497">
        <v>3</v>
      </c>
      <c r="G4497" t="b">
        <v>0</v>
      </c>
      <c r="H4497">
        <v>5</v>
      </c>
      <c r="I4497">
        <v>1</v>
      </c>
      <c r="J4497">
        <v>0.1</v>
      </c>
      <c r="K4497">
        <v>0.13639999999999999</v>
      </c>
      <c r="L4497">
        <v>0.54</v>
      </c>
      <c r="M4497">
        <v>0.1045</v>
      </c>
      <c r="N4497">
        <v>0</v>
      </c>
      <c r="O4497">
        <v>1</v>
      </c>
      <c r="P4497">
        <v>1</v>
      </c>
      <c r="Q4497">
        <v>304</v>
      </c>
      <c r="R4497">
        <v>305</v>
      </c>
    </row>
    <row r="4498" spans="1:18" x14ac:dyDescent="0.25">
      <c r="A4498">
        <v>306</v>
      </c>
      <c r="B4498" s="1">
        <v>40557</v>
      </c>
      <c r="C4498">
        <v>1</v>
      </c>
      <c r="D4498">
        <v>0</v>
      </c>
      <c r="E4498">
        <v>1</v>
      </c>
      <c r="F4498">
        <v>5</v>
      </c>
      <c r="G4498" t="b">
        <v>0</v>
      </c>
      <c r="H4498">
        <v>5</v>
      </c>
      <c r="I4498">
        <v>1</v>
      </c>
      <c r="J4498">
        <v>0.1</v>
      </c>
      <c r="K4498">
        <v>0.13639999999999999</v>
      </c>
      <c r="L4498">
        <v>0.54</v>
      </c>
      <c r="M4498">
        <v>8.9599999999999999E-2</v>
      </c>
      <c r="N4498">
        <v>0</v>
      </c>
      <c r="O4498">
        <v>8</v>
      </c>
      <c r="P4498">
        <v>8</v>
      </c>
      <c r="Q4498">
        <v>305</v>
      </c>
      <c r="R4498">
        <v>306</v>
      </c>
    </row>
    <row r="4499" spans="1:18" x14ac:dyDescent="0.25">
      <c r="A4499">
        <v>307</v>
      </c>
      <c r="B4499" s="1">
        <v>40557</v>
      </c>
      <c r="C4499">
        <v>1</v>
      </c>
      <c r="D4499">
        <v>0</v>
      </c>
      <c r="E4499">
        <v>1</v>
      </c>
      <c r="F4499">
        <v>6</v>
      </c>
      <c r="G4499" t="b">
        <v>0</v>
      </c>
      <c r="H4499">
        <v>5</v>
      </c>
      <c r="I4499">
        <v>1</v>
      </c>
      <c r="J4499">
        <v>0.1</v>
      </c>
      <c r="K4499">
        <v>0.18179999999999999</v>
      </c>
      <c r="L4499">
        <v>0.54</v>
      </c>
      <c r="M4499">
        <v>0</v>
      </c>
      <c r="N4499">
        <v>0</v>
      </c>
      <c r="O4499">
        <v>17</v>
      </c>
      <c r="P4499">
        <v>17</v>
      </c>
      <c r="Q4499">
        <v>306</v>
      </c>
      <c r="R4499">
        <v>307</v>
      </c>
    </row>
    <row r="4500" spans="1:18" x14ac:dyDescent="0.25">
      <c r="A4500">
        <v>308</v>
      </c>
      <c r="B4500" s="1">
        <v>40557</v>
      </c>
      <c r="C4500">
        <v>1</v>
      </c>
      <c r="D4500">
        <v>0</v>
      </c>
      <c r="E4500">
        <v>1</v>
      </c>
      <c r="F4500">
        <v>7</v>
      </c>
      <c r="G4500" t="b">
        <v>0</v>
      </c>
      <c r="H4500">
        <v>5</v>
      </c>
      <c r="I4500">
        <v>1</v>
      </c>
      <c r="J4500">
        <v>0.1</v>
      </c>
      <c r="K4500">
        <v>0.1212</v>
      </c>
      <c r="L4500">
        <v>0.74</v>
      </c>
      <c r="M4500">
        <v>0.16420000000000001</v>
      </c>
      <c r="N4500">
        <v>0</v>
      </c>
      <c r="O4500">
        <v>70</v>
      </c>
      <c r="P4500">
        <v>70</v>
      </c>
      <c r="Q4500">
        <v>307</v>
      </c>
      <c r="R4500">
        <v>308</v>
      </c>
    </row>
    <row r="4501" spans="1:18" x14ac:dyDescent="0.25">
      <c r="A4501">
        <v>309</v>
      </c>
      <c r="B4501" s="1">
        <v>40557</v>
      </c>
      <c r="C4501">
        <v>1</v>
      </c>
      <c r="D4501">
        <v>0</v>
      </c>
      <c r="E4501">
        <v>1</v>
      </c>
      <c r="F4501">
        <v>8</v>
      </c>
      <c r="G4501" t="b">
        <v>0</v>
      </c>
      <c r="H4501">
        <v>5</v>
      </c>
      <c r="I4501">
        <v>1</v>
      </c>
      <c r="J4501">
        <v>0.12</v>
      </c>
      <c r="K4501">
        <v>0.16669999999999999</v>
      </c>
      <c r="L4501">
        <v>0.68</v>
      </c>
      <c r="M4501">
        <v>0</v>
      </c>
      <c r="N4501">
        <v>2</v>
      </c>
      <c r="O4501">
        <v>156</v>
      </c>
      <c r="P4501">
        <v>158</v>
      </c>
      <c r="Q4501">
        <v>308</v>
      </c>
      <c r="R4501">
        <v>309</v>
      </c>
    </row>
    <row r="4502" spans="1:18" x14ac:dyDescent="0.25">
      <c r="A4502">
        <v>310</v>
      </c>
      <c r="B4502" s="1">
        <v>40557</v>
      </c>
      <c r="C4502">
        <v>1</v>
      </c>
      <c r="D4502">
        <v>0</v>
      </c>
      <c r="E4502">
        <v>1</v>
      </c>
      <c r="F4502">
        <v>9</v>
      </c>
      <c r="G4502" t="b">
        <v>0</v>
      </c>
      <c r="H4502">
        <v>5</v>
      </c>
      <c r="I4502">
        <v>1</v>
      </c>
      <c r="J4502">
        <v>0.14000000000000001</v>
      </c>
      <c r="K4502">
        <v>0.1515</v>
      </c>
      <c r="L4502">
        <v>0.69</v>
      </c>
      <c r="M4502">
        <v>0.1343</v>
      </c>
      <c r="N4502">
        <v>0</v>
      </c>
      <c r="O4502">
        <v>117</v>
      </c>
      <c r="P4502">
        <v>117</v>
      </c>
      <c r="Q4502">
        <v>309</v>
      </c>
      <c r="R4502">
        <v>310</v>
      </c>
    </row>
    <row r="4503" spans="1:18" x14ac:dyDescent="0.25">
      <c r="A4503">
        <v>311</v>
      </c>
      <c r="B4503" s="1">
        <v>40557</v>
      </c>
      <c r="C4503">
        <v>1</v>
      </c>
      <c r="D4503">
        <v>0</v>
      </c>
      <c r="E4503">
        <v>1</v>
      </c>
      <c r="F4503">
        <v>10</v>
      </c>
      <c r="G4503" t="b">
        <v>0</v>
      </c>
      <c r="H4503">
        <v>5</v>
      </c>
      <c r="I4503">
        <v>1</v>
      </c>
      <c r="J4503">
        <v>0.18</v>
      </c>
      <c r="K4503">
        <v>0.18179999999999999</v>
      </c>
      <c r="L4503">
        <v>0.55000000000000004</v>
      </c>
      <c r="M4503">
        <v>0.19400000000000001</v>
      </c>
      <c r="N4503">
        <v>4</v>
      </c>
      <c r="O4503">
        <v>40</v>
      </c>
      <c r="P4503">
        <v>44</v>
      </c>
      <c r="Q4503">
        <v>310</v>
      </c>
      <c r="R4503">
        <v>311</v>
      </c>
    </row>
    <row r="4504" spans="1:18" x14ac:dyDescent="0.25">
      <c r="A4504">
        <v>312</v>
      </c>
      <c r="B4504" s="1">
        <v>40557</v>
      </c>
      <c r="C4504">
        <v>1</v>
      </c>
      <c r="D4504">
        <v>0</v>
      </c>
      <c r="E4504">
        <v>1</v>
      </c>
      <c r="F4504">
        <v>11</v>
      </c>
      <c r="G4504" t="b">
        <v>0</v>
      </c>
      <c r="H4504">
        <v>5</v>
      </c>
      <c r="I4504">
        <v>1</v>
      </c>
      <c r="J4504">
        <v>0.18</v>
      </c>
      <c r="K4504">
        <v>0.16669999999999999</v>
      </c>
      <c r="L4504">
        <v>0.51</v>
      </c>
      <c r="M4504">
        <v>0.28360000000000002</v>
      </c>
      <c r="N4504">
        <v>6</v>
      </c>
      <c r="O4504">
        <v>47</v>
      </c>
      <c r="P4504">
        <v>53</v>
      </c>
      <c r="Q4504">
        <v>311</v>
      </c>
      <c r="R4504">
        <v>312</v>
      </c>
    </row>
    <row r="4505" spans="1:18" x14ac:dyDescent="0.25">
      <c r="A4505">
        <v>313</v>
      </c>
      <c r="B4505" s="1">
        <v>40557</v>
      </c>
      <c r="C4505">
        <v>1</v>
      </c>
      <c r="D4505">
        <v>0</v>
      </c>
      <c r="E4505">
        <v>1</v>
      </c>
      <c r="F4505">
        <v>12</v>
      </c>
      <c r="G4505" t="b">
        <v>0</v>
      </c>
      <c r="H4505">
        <v>5</v>
      </c>
      <c r="I4505">
        <v>1</v>
      </c>
      <c r="J4505">
        <v>0.2</v>
      </c>
      <c r="K4505">
        <v>0.19700000000000001</v>
      </c>
      <c r="L4505">
        <v>0.44</v>
      </c>
      <c r="M4505">
        <v>0.25369999999999998</v>
      </c>
      <c r="N4505">
        <v>2</v>
      </c>
      <c r="O4505">
        <v>59</v>
      </c>
      <c r="P4505">
        <v>61</v>
      </c>
      <c r="Q4505">
        <v>312</v>
      </c>
      <c r="R4505">
        <v>313</v>
      </c>
    </row>
    <row r="4506" spans="1:18" x14ac:dyDescent="0.25">
      <c r="A4506">
        <v>314</v>
      </c>
      <c r="B4506" s="1">
        <v>40557</v>
      </c>
      <c r="C4506">
        <v>1</v>
      </c>
      <c r="D4506">
        <v>0</v>
      </c>
      <c r="E4506">
        <v>1</v>
      </c>
      <c r="F4506">
        <v>13</v>
      </c>
      <c r="G4506" t="b">
        <v>0</v>
      </c>
      <c r="H4506">
        <v>5</v>
      </c>
      <c r="I4506">
        <v>1</v>
      </c>
      <c r="J4506">
        <v>0.22</v>
      </c>
      <c r="K4506">
        <v>0.19700000000000001</v>
      </c>
      <c r="L4506">
        <v>0.37</v>
      </c>
      <c r="M4506">
        <v>0.3881</v>
      </c>
      <c r="N4506">
        <v>4</v>
      </c>
      <c r="O4506">
        <v>73</v>
      </c>
      <c r="P4506">
        <v>77</v>
      </c>
      <c r="Q4506">
        <v>313</v>
      </c>
      <c r="R4506">
        <v>314</v>
      </c>
    </row>
    <row r="4507" spans="1:18" x14ac:dyDescent="0.25">
      <c r="A4507">
        <v>315</v>
      </c>
      <c r="B4507" s="1">
        <v>40557</v>
      </c>
      <c r="C4507">
        <v>1</v>
      </c>
      <c r="D4507">
        <v>0</v>
      </c>
      <c r="E4507">
        <v>1</v>
      </c>
      <c r="F4507">
        <v>14</v>
      </c>
      <c r="G4507" t="b">
        <v>0</v>
      </c>
      <c r="H4507">
        <v>5</v>
      </c>
      <c r="I4507">
        <v>1</v>
      </c>
      <c r="J4507">
        <v>0.22</v>
      </c>
      <c r="K4507">
        <v>0.21210000000000001</v>
      </c>
      <c r="L4507">
        <v>0.41</v>
      </c>
      <c r="M4507">
        <v>0.28360000000000002</v>
      </c>
      <c r="N4507">
        <v>5</v>
      </c>
      <c r="O4507">
        <v>59</v>
      </c>
      <c r="P4507">
        <v>64</v>
      </c>
      <c r="Q4507">
        <v>314</v>
      </c>
      <c r="R4507">
        <v>315</v>
      </c>
    </row>
    <row r="4508" spans="1:18" x14ac:dyDescent="0.25">
      <c r="A4508">
        <v>316</v>
      </c>
      <c r="B4508" s="1">
        <v>40557</v>
      </c>
      <c r="C4508">
        <v>1</v>
      </c>
      <c r="D4508">
        <v>0</v>
      </c>
      <c r="E4508">
        <v>1</v>
      </c>
      <c r="F4508">
        <v>15</v>
      </c>
      <c r="G4508" t="b">
        <v>0</v>
      </c>
      <c r="H4508">
        <v>5</v>
      </c>
      <c r="I4508">
        <v>1</v>
      </c>
      <c r="J4508">
        <v>0.24</v>
      </c>
      <c r="K4508">
        <v>0.2424</v>
      </c>
      <c r="L4508">
        <v>0.38</v>
      </c>
      <c r="M4508">
        <v>0.16420000000000001</v>
      </c>
      <c r="N4508">
        <v>9</v>
      </c>
      <c r="O4508">
        <v>59</v>
      </c>
      <c r="P4508">
        <v>68</v>
      </c>
      <c r="Q4508">
        <v>315</v>
      </c>
      <c r="R4508">
        <v>316</v>
      </c>
    </row>
    <row r="4509" spans="1:18" x14ac:dyDescent="0.25">
      <c r="A4509">
        <v>317</v>
      </c>
      <c r="B4509" s="1">
        <v>40557</v>
      </c>
      <c r="C4509">
        <v>1</v>
      </c>
      <c r="D4509">
        <v>0</v>
      </c>
      <c r="E4509">
        <v>1</v>
      </c>
      <c r="F4509">
        <v>16</v>
      </c>
      <c r="G4509" t="b">
        <v>0</v>
      </c>
      <c r="H4509">
        <v>5</v>
      </c>
      <c r="I4509">
        <v>1</v>
      </c>
      <c r="J4509">
        <v>0.22</v>
      </c>
      <c r="K4509">
        <v>0.2424</v>
      </c>
      <c r="L4509">
        <v>0.41</v>
      </c>
      <c r="M4509">
        <v>0.1045</v>
      </c>
      <c r="N4509">
        <v>3</v>
      </c>
      <c r="O4509">
        <v>87</v>
      </c>
      <c r="P4509">
        <v>90</v>
      </c>
      <c r="Q4509">
        <v>316</v>
      </c>
      <c r="R4509">
        <v>317</v>
      </c>
    </row>
    <row r="4510" spans="1:18" x14ac:dyDescent="0.25">
      <c r="A4510">
        <v>318</v>
      </c>
      <c r="B4510" s="1">
        <v>40557</v>
      </c>
      <c r="C4510">
        <v>1</v>
      </c>
      <c r="D4510">
        <v>0</v>
      </c>
      <c r="E4510">
        <v>1</v>
      </c>
      <c r="F4510">
        <v>17</v>
      </c>
      <c r="G4510" t="b">
        <v>0</v>
      </c>
      <c r="H4510">
        <v>5</v>
      </c>
      <c r="I4510">
        <v>1</v>
      </c>
      <c r="J4510">
        <v>0.22</v>
      </c>
      <c r="K4510">
        <v>0.2273</v>
      </c>
      <c r="L4510">
        <v>0.41</v>
      </c>
      <c r="M4510">
        <v>0.16420000000000001</v>
      </c>
      <c r="N4510">
        <v>4</v>
      </c>
      <c r="O4510">
        <v>155</v>
      </c>
      <c r="P4510">
        <v>159</v>
      </c>
      <c r="Q4510">
        <v>317</v>
      </c>
      <c r="R4510">
        <v>318</v>
      </c>
    </row>
    <row r="4511" spans="1:18" x14ac:dyDescent="0.25">
      <c r="A4511">
        <v>319</v>
      </c>
      <c r="B4511" s="1">
        <v>40557</v>
      </c>
      <c r="C4511">
        <v>1</v>
      </c>
      <c r="D4511">
        <v>0</v>
      </c>
      <c r="E4511">
        <v>1</v>
      </c>
      <c r="F4511">
        <v>18</v>
      </c>
      <c r="G4511" t="b">
        <v>0</v>
      </c>
      <c r="H4511">
        <v>5</v>
      </c>
      <c r="I4511">
        <v>1</v>
      </c>
      <c r="J4511">
        <v>0.2</v>
      </c>
      <c r="K4511">
        <v>0.2576</v>
      </c>
      <c r="L4511">
        <v>0.47</v>
      </c>
      <c r="M4511">
        <v>0</v>
      </c>
      <c r="N4511">
        <v>5</v>
      </c>
      <c r="O4511">
        <v>134</v>
      </c>
      <c r="P4511">
        <v>139</v>
      </c>
      <c r="Q4511">
        <v>318</v>
      </c>
      <c r="R4511">
        <v>319</v>
      </c>
    </row>
    <row r="4512" spans="1:18" x14ac:dyDescent="0.25">
      <c r="A4512">
        <v>320</v>
      </c>
      <c r="B4512" s="1">
        <v>40557</v>
      </c>
      <c r="C4512">
        <v>1</v>
      </c>
      <c r="D4512">
        <v>0</v>
      </c>
      <c r="E4512">
        <v>1</v>
      </c>
      <c r="F4512">
        <v>19</v>
      </c>
      <c r="G4512" t="b">
        <v>0</v>
      </c>
      <c r="H4512">
        <v>5</v>
      </c>
      <c r="I4512">
        <v>1</v>
      </c>
      <c r="J4512">
        <v>0.16</v>
      </c>
      <c r="K4512">
        <v>0.19700000000000001</v>
      </c>
      <c r="L4512">
        <v>0.59</v>
      </c>
      <c r="M4512">
        <v>8.9599999999999999E-2</v>
      </c>
      <c r="N4512">
        <v>3</v>
      </c>
      <c r="O4512">
        <v>89</v>
      </c>
      <c r="P4512">
        <v>92</v>
      </c>
      <c r="Q4512">
        <v>319</v>
      </c>
      <c r="R4512">
        <v>320</v>
      </c>
    </row>
    <row r="4513" spans="1:18" x14ac:dyDescent="0.25">
      <c r="A4513">
        <v>321</v>
      </c>
      <c r="B4513" s="1">
        <v>40557</v>
      </c>
      <c r="C4513">
        <v>1</v>
      </c>
      <c r="D4513">
        <v>0</v>
      </c>
      <c r="E4513">
        <v>1</v>
      </c>
      <c r="F4513">
        <v>20</v>
      </c>
      <c r="G4513" t="b">
        <v>0</v>
      </c>
      <c r="H4513">
        <v>5</v>
      </c>
      <c r="I4513">
        <v>1</v>
      </c>
      <c r="J4513">
        <v>0.18</v>
      </c>
      <c r="K4513">
        <v>0.2424</v>
      </c>
      <c r="L4513">
        <v>0.59</v>
      </c>
      <c r="M4513">
        <v>0</v>
      </c>
      <c r="N4513">
        <v>0</v>
      </c>
      <c r="O4513">
        <v>68</v>
      </c>
      <c r="P4513">
        <v>68</v>
      </c>
      <c r="Q4513">
        <v>320</v>
      </c>
      <c r="R4513">
        <v>321</v>
      </c>
    </row>
    <row r="4514" spans="1:18" x14ac:dyDescent="0.25">
      <c r="A4514">
        <v>322</v>
      </c>
      <c r="B4514" s="1">
        <v>40557</v>
      </c>
      <c r="C4514">
        <v>1</v>
      </c>
      <c r="D4514">
        <v>0</v>
      </c>
      <c r="E4514">
        <v>1</v>
      </c>
      <c r="F4514">
        <v>21</v>
      </c>
      <c r="G4514" t="b">
        <v>0</v>
      </c>
      <c r="H4514">
        <v>5</v>
      </c>
      <c r="I4514">
        <v>1</v>
      </c>
      <c r="J4514">
        <v>0.16</v>
      </c>
      <c r="K4514">
        <v>0.2273</v>
      </c>
      <c r="L4514">
        <v>0.69</v>
      </c>
      <c r="M4514">
        <v>0</v>
      </c>
      <c r="N4514">
        <v>4</v>
      </c>
      <c r="O4514">
        <v>48</v>
      </c>
      <c r="P4514">
        <v>52</v>
      </c>
      <c r="Q4514">
        <v>321</v>
      </c>
      <c r="R4514">
        <v>322</v>
      </c>
    </row>
    <row r="4515" spans="1:18" x14ac:dyDescent="0.25">
      <c r="A4515">
        <v>323</v>
      </c>
      <c r="B4515" s="1">
        <v>40557</v>
      </c>
      <c r="C4515">
        <v>1</v>
      </c>
      <c r="D4515">
        <v>0</v>
      </c>
      <c r="E4515">
        <v>1</v>
      </c>
      <c r="F4515">
        <v>22</v>
      </c>
      <c r="G4515" t="b">
        <v>0</v>
      </c>
      <c r="H4515">
        <v>5</v>
      </c>
      <c r="I4515">
        <v>2</v>
      </c>
      <c r="J4515">
        <v>0.16</v>
      </c>
      <c r="K4515">
        <v>0.2273</v>
      </c>
      <c r="L4515">
        <v>0.69</v>
      </c>
      <c r="M4515">
        <v>0</v>
      </c>
      <c r="N4515">
        <v>2</v>
      </c>
      <c r="O4515">
        <v>34</v>
      </c>
      <c r="P4515">
        <v>36</v>
      </c>
      <c r="Q4515">
        <v>322</v>
      </c>
      <c r="R4515">
        <v>323</v>
      </c>
    </row>
    <row r="4516" spans="1:18" x14ac:dyDescent="0.25">
      <c r="A4516">
        <v>324</v>
      </c>
      <c r="B4516" s="1">
        <v>40557</v>
      </c>
      <c r="C4516">
        <v>1</v>
      </c>
      <c r="D4516">
        <v>0</v>
      </c>
      <c r="E4516">
        <v>1</v>
      </c>
      <c r="F4516">
        <v>23</v>
      </c>
      <c r="G4516" t="b">
        <v>0</v>
      </c>
      <c r="H4516">
        <v>5</v>
      </c>
      <c r="I4516">
        <v>2</v>
      </c>
      <c r="J4516">
        <v>0.18</v>
      </c>
      <c r="K4516">
        <v>0.2424</v>
      </c>
      <c r="L4516">
        <v>0.55000000000000004</v>
      </c>
      <c r="M4516">
        <v>0</v>
      </c>
      <c r="N4516">
        <v>1</v>
      </c>
      <c r="O4516">
        <v>26</v>
      </c>
      <c r="P4516">
        <v>27</v>
      </c>
      <c r="Q4516">
        <v>323</v>
      </c>
      <c r="R4516">
        <v>324</v>
      </c>
    </row>
    <row r="4517" spans="1:18" x14ac:dyDescent="0.25">
      <c r="A4517">
        <v>325</v>
      </c>
      <c r="B4517" s="1">
        <v>40558</v>
      </c>
      <c r="C4517">
        <v>1</v>
      </c>
      <c r="D4517">
        <v>0</v>
      </c>
      <c r="E4517">
        <v>1</v>
      </c>
      <c r="F4517">
        <v>0</v>
      </c>
      <c r="G4517" t="b">
        <v>0</v>
      </c>
      <c r="H4517">
        <v>6</v>
      </c>
      <c r="I4517">
        <v>1</v>
      </c>
      <c r="J4517">
        <v>0.18</v>
      </c>
      <c r="K4517">
        <v>0.2424</v>
      </c>
      <c r="L4517">
        <v>0.55000000000000004</v>
      </c>
      <c r="M4517">
        <v>0</v>
      </c>
      <c r="N4517">
        <v>3</v>
      </c>
      <c r="O4517">
        <v>25</v>
      </c>
      <c r="P4517">
        <v>28</v>
      </c>
      <c r="Q4517">
        <v>324</v>
      </c>
      <c r="R4517">
        <v>325</v>
      </c>
    </row>
    <row r="4518" spans="1:18" x14ac:dyDescent="0.25">
      <c r="A4518">
        <v>326</v>
      </c>
      <c r="B4518" s="1">
        <v>40558</v>
      </c>
      <c r="C4518">
        <v>1</v>
      </c>
      <c r="D4518">
        <v>0</v>
      </c>
      <c r="E4518">
        <v>1</v>
      </c>
      <c r="F4518">
        <v>1</v>
      </c>
      <c r="G4518" t="b">
        <v>0</v>
      </c>
      <c r="H4518">
        <v>6</v>
      </c>
      <c r="I4518">
        <v>2</v>
      </c>
      <c r="J4518">
        <v>0.16</v>
      </c>
      <c r="K4518">
        <v>0.19700000000000001</v>
      </c>
      <c r="L4518">
        <v>0.59</v>
      </c>
      <c r="M4518">
        <v>8.9599999999999999E-2</v>
      </c>
      <c r="N4518">
        <v>2</v>
      </c>
      <c r="O4518">
        <v>18</v>
      </c>
      <c r="P4518">
        <v>20</v>
      </c>
      <c r="Q4518">
        <v>325</v>
      </c>
      <c r="R4518">
        <v>326</v>
      </c>
    </row>
    <row r="4519" spans="1:18" x14ac:dyDescent="0.25">
      <c r="A4519">
        <v>327</v>
      </c>
      <c r="B4519" s="1">
        <v>40558</v>
      </c>
      <c r="C4519">
        <v>1</v>
      </c>
      <c r="D4519">
        <v>0</v>
      </c>
      <c r="E4519">
        <v>1</v>
      </c>
      <c r="F4519">
        <v>2</v>
      </c>
      <c r="G4519" t="b">
        <v>0</v>
      </c>
      <c r="H4519">
        <v>6</v>
      </c>
      <c r="I4519">
        <v>2</v>
      </c>
      <c r="J4519">
        <v>0.16</v>
      </c>
      <c r="K4519">
        <v>0.19700000000000001</v>
      </c>
      <c r="L4519">
        <v>0.59</v>
      </c>
      <c r="M4519">
        <v>8.9599999999999999E-2</v>
      </c>
      <c r="N4519">
        <v>0</v>
      </c>
      <c r="O4519">
        <v>12</v>
      </c>
      <c r="P4519">
        <v>12</v>
      </c>
      <c r="Q4519">
        <v>326</v>
      </c>
      <c r="R4519">
        <v>327</v>
      </c>
    </row>
    <row r="4520" spans="1:18" x14ac:dyDescent="0.25">
      <c r="A4520">
        <v>328</v>
      </c>
      <c r="B4520" s="1">
        <v>40558</v>
      </c>
      <c r="C4520">
        <v>1</v>
      </c>
      <c r="D4520">
        <v>0</v>
      </c>
      <c r="E4520">
        <v>1</v>
      </c>
      <c r="F4520">
        <v>3</v>
      </c>
      <c r="G4520" t="b">
        <v>0</v>
      </c>
      <c r="H4520">
        <v>6</v>
      </c>
      <c r="I4520">
        <v>2</v>
      </c>
      <c r="J4520">
        <v>0.16</v>
      </c>
      <c r="K4520">
        <v>0.2273</v>
      </c>
      <c r="L4520">
        <v>0.59</v>
      </c>
      <c r="M4520">
        <v>0</v>
      </c>
      <c r="N4520">
        <v>1</v>
      </c>
      <c r="O4520">
        <v>7</v>
      </c>
      <c r="P4520">
        <v>8</v>
      </c>
      <c r="Q4520">
        <v>327</v>
      </c>
      <c r="R4520">
        <v>328</v>
      </c>
    </row>
    <row r="4521" spans="1:18" x14ac:dyDescent="0.25">
      <c r="A4521">
        <v>329</v>
      </c>
      <c r="B4521" s="1">
        <v>40558</v>
      </c>
      <c r="C4521">
        <v>1</v>
      </c>
      <c r="D4521">
        <v>0</v>
      </c>
      <c r="E4521">
        <v>1</v>
      </c>
      <c r="F4521">
        <v>4</v>
      </c>
      <c r="G4521" t="b">
        <v>0</v>
      </c>
      <c r="H4521">
        <v>6</v>
      </c>
      <c r="I4521">
        <v>2</v>
      </c>
      <c r="J4521">
        <v>0.16</v>
      </c>
      <c r="K4521">
        <v>0.2273</v>
      </c>
      <c r="L4521">
        <v>0.59</v>
      </c>
      <c r="M4521">
        <v>0</v>
      </c>
      <c r="N4521">
        <v>0</v>
      </c>
      <c r="O4521">
        <v>5</v>
      </c>
      <c r="P4521">
        <v>5</v>
      </c>
      <c r="Q4521">
        <v>328</v>
      </c>
      <c r="R4521">
        <v>329</v>
      </c>
    </row>
    <row r="4522" spans="1:18" x14ac:dyDescent="0.25">
      <c r="A4522">
        <v>330</v>
      </c>
      <c r="B4522" s="1">
        <v>40558</v>
      </c>
      <c r="C4522">
        <v>1</v>
      </c>
      <c r="D4522">
        <v>0</v>
      </c>
      <c r="E4522">
        <v>1</v>
      </c>
      <c r="F4522">
        <v>5</v>
      </c>
      <c r="G4522" t="b">
        <v>0</v>
      </c>
      <c r="H4522">
        <v>6</v>
      </c>
      <c r="I4522">
        <v>1</v>
      </c>
      <c r="J4522">
        <v>0.16</v>
      </c>
      <c r="K4522">
        <v>0.2273</v>
      </c>
      <c r="L4522">
        <v>0.59</v>
      </c>
      <c r="M4522">
        <v>0</v>
      </c>
      <c r="N4522">
        <v>0</v>
      </c>
      <c r="O4522">
        <v>1</v>
      </c>
      <c r="P4522">
        <v>1</v>
      </c>
      <c r="Q4522">
        <v>329</v>
      </c>
      <c r="R4522">
        <v>330</v>
      </c>
    </row>
    <row r="4523" spans="1:18" x14ac:dyDescent="0.25">
      <c r="A4523">
        <v>331</v>
      </c>
      <c r="B4523" s="1">
        <v>40558</v>
      </c>
      <c r="C4523">
        <v>1</v>
      </c>
      <c r="D4523">
        <v>0</v>
      </c>
      <c r="E4523">
        <v>1</v>
      </c>
      <c r="F4523">
        <v>6</v>
      </c>
      <c r="G4523" t="b">
        <v>0</v>
      </c>
      <c r="H4523">
        <v>6</v>
      </c>
      <c r="I4523">
        <v>1</v>
      </c>
      <c r="J4523">
        <v>0.14000000000000001</v>
      </c>
      <c r="K4523">
        <v>0.16669999999999999</v>
      </c>
      <c r="L4523">
        <v>0.63</v>
      </c>
      <c r="M4523">
        <v>0.1045</v>
      </c>
      <c r="N4523">
        <v>1</v>
      </c>
      <c r="O4523">
        <v>2</v>
      </c>
      <c r="P4523">
        <v>3</v>
      </c>
      <c r="Q4523">
        <v>330</v>
      </c>
      <c r="R4523">
        <v>331</v>
      </c>
    </row>
    <row r="4524" spans="1:18" x14ac:dyDescent="0.25">
      <c r="A4524">
        <v>332</v>
      </c>
      <c r="B4524" s="1">
        <v>40558</v>
      </c>
      <c r="C4524">
        <v>1</v>
      </c>
      <c r="D4524">
        <v>0</v>
      </c>
      <c r="E4524">
        <v>1</v>
      </c>
      <c r="F4524">
        <v>7</v>
      </c>
      <c r="G4524" t="b">
        <v>0</v>
      </c>
      <c r="H4524">
        <v>6</v>
      </c>
      <c r="I4524">
        <v>1</v>
      </c>
      <c r="J4524">
        <v>0.14000000000000001</v>
      </c>
      <c r="K4524">
        <v>0.21210000000000001</v>
      </c>
      <c r="L4524">
        <v>0.63</v>
      </c>
      <c r="M4524">
        <v>0</v>
      </c>
      <c r="N4524">
        <v>1</v>
      </c>
      <c r="O4524">
        <v>9</v>
      </c>
      <c r="P4524">
        <v>10</v>
      </c>
      <c r="Q4524">
        <v>331</v>
      </c>
      <c r="R4524">
        <v>332</v>
      </c>
    </row>
    <row r="4525" spans="1:18" x14ac:dyDescent="0.25">
      <c r="A4525">
        <v>333</v>
      </c>
      <c r="B4525" s="1">
        <v>40558</v>
      </c>
      <c r="C4525">
        <v>1</v>
      </c>
      <c r="D4525">
        <v>0</v>
      </c>
      <c r="E4525">
        <v>1</v>
      </c>
      <c r="F4525">
        <v>8</v>
      </c>
      <c r="G4525" t="b">
        <v>0</v>
      </c>
      <c r="H4525">
        <v>6</v>
      </c>
      <c r="I4525">
        <v>1</v>
      </c>
      <c r="J4525">
        <v>0.14000000000000001</v>
      </c>
      <c r="K4525">
        <v>0.1515</v>
      </c>
      <c r="L4525">
        <v>0.63</v>
      </c>
      <c r="M4525">
        <v>0.1343</v>
      </c>
      <c r="N4525">
        <v>1</v>
      </c>
      <c r="O4525">
        <v>22</v>
      </c>
      <c r="P4525">
        <v>23</v>
      </c>
      <c r="Q4525">
        <v>332</v>
      </c>
      <c r="R4525">
        <v>333</v>
      </c>
    </row>
    <row r="4526" spans="1:18" x14ac:dyDescent="0.25">
      <c r="A4526">
        <v>334</v>
      </c>
      <c r="B4526" s="1">
        <v>40558</v>
      </c>
      <c r="C4526">
        <v>1</v>
      </c>
      <c r="D4526">
        <v>0</v>
      </c>
      <c r="E4526">
        <v>1</v>
      </c>
      <c r="F4526">
        <v>9</v>
      </c>
      <c r="G4526" t="b">
        <v>0</v>
      </c>
      <c r="H4526">
        <v>6</v>
      </c>
      <c r="I4526">
        <v>1</v>
      </c>
      <c r="J4526">
        <v>0.16</v>
      </c>
      <c r="K4526">
        <v>0.18179999999999999</v>
      </c>
      <c r="L4526">
        <v>0.64</v>
      </c>
      <c r="M4526">
        <v>0.1343</v>
      </c>
      <c r="N4526">
        <v>2</v>
      </c>
      <c r="O4526">
        <v>31</v>
      </c>
      <c r="P4526">
        <v>33</v>
      </c>
      <c r="Q4526">
        <v>333</v>
      </c>
      <c r="R4526">
        <v>334</v>
      </c>
    </row>
    <row r="4527" spans="1:18" x14ac:dyDescent="0.25">
      <c r="A4527">
        <v>335</v>
      </c>
      <c r="B4527" s="1">
        <v>40558</v>
      </c>
      <c r="C4527">
        <v>1</v>
      </c>
      <c r="D4527">
        <v>0</v>
      </c>
      <c r="E4527">
        <v>1</v>
      </c>
      <c r="F4527">
        <v>10</v>
      </c>
      <c r="G4527" t="b">
        <v>0</v>
      </c>
      <c r="H4527">
        <v>6</v>
      </c>
      <c r="I4527">
        <v>1</v>
      </c>
      <c r="J4527">
        <v>0.18</v>
      </c>
      <c r="K4527">
        <v>0.19700000000000001</v>
      </c>
      <c r="L4527">
        <v>0.59</v>
      </c>
      <c r="M4527">
        <v>0.16420000000000001</v>
      </c>
      <c r="N4527">
        <v>2</v>
      </c>
      <c r="O4527">
        <v>57</v>
      </c>
      <c r="P4527">
        <v>59</v>
      </c>
      <c r="Q4527">
        <v>334</v>
      </c>
      <c r="R4527">
        <v>335</v>
      </c>
    </row>
    <row r="4528" spans="1:18" x14ac:dyDescent="0.25">
      <c r="A4528">
        <v>336</v>
      </c>
      <c r="B4528" s="1">
        <v>40558</v>
      </c>
      <c r="C4528">
        <v>1</v>
      </c>
      <c r="D4528">
        <v>0</v>
      </c>
      <c r="E4528">
        <v>1</v>
      </c>
      <c r="F4528">
        <v>11</v>
      </c>
      <c r="G4528" t="b">
        <v>0</v>
      </c>
      <c r="H4528">
        <v>6</v>
      </c>
      <c r="I4528">
        <v>1</v>
      </c>
      <c r="J4528">
        <v>0.2</v>
      </c>
      <c r="K4528">
        <v>0.19700000000000001</v>
      </c>
      <c r="L4528">
        <v>0.55000000000000004</v>
      </c>
      <c r="M4528">
        <v>0.22389999999999999</v>
      </c>
      <c r="N4528">
        <v>18</v>
      </c>
      <c r="O4528">
        <v>54</v>
      </c>
      <c r="P4528">
        <v>72</v>
      </c>
      <c r="Q4528">
        <v>335</v>
      </c>
      <c r="R4528">
        <v>336</v>
      </c>
    </row>
    <row r="4529" spans="1:18" x14ac:dyDescent="0.25">
      <c r="A4529">
        <v>337</v>
      </c>
      <c r="B4529" s="1">
        <v>40558</v>
      </c>
      <c r="C4529">
        <v>1</v>
      </c>
      <c r="D4529">
        <v>0</v>
      </c>
      <c r="E4529">
        <v>1</v>
      </c>
      <c r="F4529">
        <v>12</v>
      </c>
      <c r="G4529" t="b">
        <v>0</v>
      </c>
      <c r="H4529">
        <v>6</v>
      </c>
      <c r="I4529">
        <v>1</v>
      </c>
      <c r="J4529">
        <v>0.24</v>
      </c>
      <c r="K4529">
        <v>0.2273</v>
      </c>
      <c r="L4529">
        <v>0.48</v>
      </c>
      <c r="M4529">
        <v>0.22389999999999999</v>
      </c>
      <c r="N4529">
        <v>15</v>
      </c>
      <c r="O4529">
        <v>74</v>
      </c>
      <c r="P4529">
        <v>89</v>
      </c>
      <c r="Q4529">
        <v>336</v>
      </c>
      <c r="R4529">
        <v>337</v>
      </c>
    </row>
    <row r="4530" spans="1:18" x14ac:dyDescent="0.25">
      <c r="A4530">
        <v>338</v>
      </c>
      <c r="B4530" s="1">
        <v>40558</v>
      </c>
      <c r="C4530">
        <v>1</v>
      </c>
      <c r="D4530">
        <v>0</v>
      </c>
      <c r="E4530">
        <v>1</v>
      </c>
      <c r="F4530">
        <v>13</v>
      </c>
      <c r="G4530" t="b">
        <v>0</v>
      </c>
      <c r="H4530">
        <v>6</v>
      </c>
      <c r="I4530">
        <v>1</v>
      </c>
      <c r="J4530">
        <v>0.28000000000000003</v>
      </c>
      <c r="K4530">
        <v>0.2576</v>
      </c>
      <c r="L4530">
        <v>0.38</v>
      </c>
      <c r="M4530">
        <v>0.29849999999999999</v>
      </c>
      <c r="N4530">
        <v>21</v>
      </c>
      <c r="O4530">
        <v>80</v>
      </c>
      <c r="P4530">
        <v>101</v>
      </c>
      <c r="Q4530">
        <v>337</v>
      </c>
      <c r="R4530">
        <v>338</v>
      </c>
    </row>
    <row r="4531" spans="1:18" x14ac:dyDescent="0.25">
      <c r="A4531">
        <v>339</v>
      </c>
      <c r="B4531" s="1">
        <v>40558</v>
      </c>
      <c r="C4531">
        <v>1</v>
      </c>
      <c r="D4531">
        <v>0</v>
      </c>
      <c r="E4531">
        <v>1</v>
      </c>
      <c r="F4531">
        <v>14</v>
      </c>
      <c r="G4531" t="b">
        <v>0</v>
      </c>
      <c r="H4531">
        <v>6</v>
      </c>
      <c r="I4531">
        <v>1</v>
      </c>
      <c r="J4531">
        <v>0.3</v>
      </c>
      <c r="K4531">
        <v>0.28789999999999999</v>
      </c>
      <c r="L4531">
        <v>0.39</v>
      </c>
      <c r="M4531">
        <v>0.28360000000000002</v>
      </c>
      <c r="N4531">
        <v>26</v>
      </c>
      <c r="O4531">
        <v>92</v>
      </c>
      <c r="P4531">
        <v>118</v>
      </c>
      <c r="Q4531">
        <v>338</v>
      </c>
      <c r="R4531">
        <v>339</v>
      </c>
    </row>
    <row r="4532" spans="1:18" x14ac:dyDescent="0.25">
      <c r="A4532">
        <v>340</v>
      </c>
      <c r="B4532" s="1">
        <v>40558</v>
      </c>
      <c r="C4532">
        <v>1</v>
      </c>
      <c r="D4532">
        <v>0</v>
      </c>
      <c r="E4532">
        <v>1</v>
      </c>
      <c r="F4532">
        <v>15</v>
      </c>
      <c r="G4532" t="b">
        <v>0</v>
      </c>
      <c r="H4532">
        <v>6</v>
      </c>
      <c r="I4532">
        <v>2</v>
      </c>
      <c r="J4532">
        <v>0.32</v>
      </c>
      <c r="K4532">
        <v>0.31819999999999998</v>
      </c>
      <c r="L4532">
        <v>0.36</v>
      </c>
      <c r="M4532">
        <v>0.19400000000000001</v>
      </c>
      <c r="N4532">
        <v>21</v>
      </c>
      <c r="O4532">
        <v>108</v>
      </c>
      <c r="P4532">
        <v>129</v>
      </c>
      <c r="Q4532">
        <v>339</v>
      </c>
      <c r="R4532">
        <v>340</v>
      </c>
    </row>
    <row r="4533" spans="1:18" x14ac:dyDescent="0.25">
      <c r="A4533">
        <v>341</v>
      </c>
      <c r="B4533" s="1">
        <v>40558</v>
      </c>
      <c r="C4533">
        <v>1</v>
      </c>
      <c r="D4533">
        <v>0</v>
      </c>
      <c r="E4533">
        <v>1</v>
      </c>
      <c r="F4533">
        <v>16</v>
      </c>
      <c r="G4533" t="b">
        <v>0</v>
      </c>
      <c r="H4533">
        <v>6</v>
      </c>
      <c r="I4533">
        <v>2</v>
      </c>
      <c r="J4533">
        <v>0.34</v>
      </c>
      <c r="K4533">
        <v>0.33329999999999999</v>
      </c>
      <c r="L4533">
        <v>0.34</v>
      </c>
      <c r="M4533">
        <v>0.19400000000000001</v>
      </c>
      <c r="N4533">
        <v>33</v>
      </c>
      <c r="O4533">
        <v>95</v>
      </c>
      <c r="P4533">
        <v>128</v>
      </c>
      <c r="Q4533">
        <v>340</v>
      </c>
      <c r="R4533">
        <v>341</v>
      </c>
    </row>
    <row r="4534" spans="1:18" x14ac:dyDescent="0.25">
      <c r="A4534">
        <v>342</v>
      </c>
      <c r="B4534" s="1">
        <v>40558</v>
      </c>
      <c r="C4534">
        <v>1</v>
      </c>
      <c r="D4534">
        <v>0</v>
      </c>
      <c r="E4534">
        <v>1</v>
      </c>
      <c r="F4534">
        <v>17</v>
      </c>
      <c r="G4534" t="b">
        <v>0</v>
      </c>
      <c r="H4534">
        <v>6</v>
      </c>
      <c r="I4534">
        <v>2</v>
      </c>
      <c r="J4534">
        <v>0.32</v>
      </c>
      <c r="K4534">
        <v>0.30299999999999999</v>
      </c>
      <c r="L4534">
        <v>0.36</v>
      </c>
      <c r="M4534">
        <v>0.28360000000000002</v>
      </c>
      <c r="N4534">
        <v>29</v>
      </c>
      <c r="O4534">
        <v>54</v>
      </c>
      <c r="P4534">
        <v>83</v>
      </c>
      <c r="Q4534">
        <v>341</v>
      </c>
      <c r="R4534">
        <v>342</v>
      </c>
    </row>
    <row r="4535" spans="1:18" x14ac:dyDescent="0.25">
      <c r="A4535">
        <v>343</v>
      </c>
      <c r="B4535" s="1">
        <v>40558</v>
      </c>
      <c r="C4535">
        <v>1</v>
      </c>
      <c r="D4535">
        <v>0</v>
      </c>
      <c r="E4535">
        <v>1</v>
      </c>
      <c r="F4535">
        <v>18</v>
      </c>
      <c r="G4535" t="b">
        <v>0</v>
      </c>
      <c r="H4535">
        <v>6</v>
      </c>
      <c r="I4535">
        <v>2</v>
      </c>
      <c r="J4535">
        <v>0.3</v>
      </c>
      <c r="K4535">
        <v>0.28789999999999999</v>
      </c>
      <c r="L4535">
        <v>0.45</v>
      </c>
      <c r="M4535">
        <v>0.25369999999999998</v>
      </c>
      <c r="N4535">
        <v>15</v>
      </c>
      <c r="O4535">
        <v>69</v>
      </c>
      <c r="P4535">
        <v>84</v>
      </c>
      <c r="Q4535">
        <v>342</v>
      </c>
      <c r="R4535">
        <v>343</v>
      </c>
    </row>
    <row r="4536" spans="1:18" x14ac:dyDescent="0.25">
      <c r="A4536">
        <v>344</v>
      </c>
      <c r="B4536" s="1">
        <v>40558</v>
      </c>
      <c r="C4536">
        <v>1</v>
      </c>
      <c r="D4536">
        <v>0</v>
      </c>
      <c r="E4536">
        <v>1</v>
      </c>
      <c r="F4536">
        <v>19</v>
      </c>
      <c r="G4536" t="b">
        <v>0</v>
      </c>
      <c r="H4536">
        <v>6</v>
      </c>
      <c r="I4536">
        <v>2</v>
      </c>
      <c r="J4536">
        <v>0.32</v>
      </c>
      <c r="K4536">
        <v>0.30299999999999999</v>
      </c>
      <c r="L4536">
        <v>0.39</v>
      </c>
      <c r="M4536">
        <v>0.25369999999999998</v>
      </c>
      <c r="N4536">
        <v>14</v>
      </c>
      <c r="O4536">
        <v>60</v>
      </c>
      <c r="P4536">
        <v>74</v>
      </c>
      <c r="Q4536">
        <v>343</v>
      </c>
      <c r="R4536">
        <v>344</v>
      </c>
    </row>
    <row r="4537" spans="1:18" x14ac:dyDescent="0.25">
      <c r="A4537">
        <v>345</v>
      </c>
      <c r="B4537" s="1">
        <v>40558</v>
      </c>
      <c r="C4537">
        <v>1</v>
      </c>
      <c r="D4537">
        <v>0</v>
      </c>
      <c r="E4537">
        <v>1</v>
      </c>
      <c r="F4537">
        <v>20</v>
      </c>
      <c r="G4537" t="b">
        <v>0</v>
      </c>
      <c r="H4537">
        <v>6</v>
      </c>
      <c r="I4537">
        <v>2</v>
      </c>
      <c r="J4537">
        <v>0.32</v>
      </c>
      <c r="K4537">
        <v>0.30299999999999999</v>
      </c>
      <c r="L4537">
        <v>0.39</v>
      </c>
      <c r="M4537">
        <v>0.25369999999999998</v>
      </c>
      <c r="N4537">
        <v>6</v>
      </c>
      <c r="O4537">
        <v>35</v>
      </c>
      <c r="P4537">
        <v>41</v>
      </c>
      <c r="Q4537">
        <v>344</v>
      </c>
      <c r="R4537">
        <v>345</v>
      </c>
    </row>
    <row r="4538" spans="1:18" x14ac:dyDescent="0.25">
      <c r="A4538">
        <v>346</v>
      </c>
      <c r="B4538" s="1">
        <v>40558</v>
      </c>
      <c r="C4538">
        <v>1</v>
      </c>
      <c r="D4538">
        <v>0</v>
      </c>
      <c r="E4538">
        <v>1</v>
      </c>
      <c r="F4538">
        <v>21</v>
      </c>
      <c r="G4538" t="b">
        <v>0</v>
      </c>
      <c r="H4538">
        <v>6</v>
      </c>
      <c r="I4538">
        <v>2</v>
      </c>
      <c r="J4538">
        <v>0.32</v>
      </c>
      <c r="K4538">
        <v>0.30299999999999999</v>
      </c>
      <c r="L4538">
        <v>0.39</v>
      </c>
      <c r="M4538">
        <v>0.22389999999999999</v>
      </c>
      <c r="N4538">
        <v>6</v>
      </c>
      <c r="O4538">
        <v>51</v>
      </c>
      <c r="P4538">
        <v>57</v>
      </c>
      <c r="Q4538">
        <v>345</v>
      </c>
      <c r="R4538">
        <v>346</v>
      </c>
    </row>
    <row r="4539" spans="1:18" x14ac:dyDescent="0.25">
      <c r="A4539">
        <v>347</v>
      </c>
      <c r="B4539" s="1">
        <v>40558</v>
      </c>
      <c r="C4539">
        <v>1</v>
      </c>
      <c r="D4539">
        <v>0</v>
      </c>
      <c r="E4539">
        <v>1</v>
      </c>
      <c r="F4539">
        <v>22</v>
      </c>
      <c r="G4539" t="b">
        <v>0</v>
      </c>
      <c r="H4539">
        <v>6</v>
      </c>
      <c r="I4539">
        <v>2</v>
      </c>
      <c r="J4539">
        <v>0.3</v>
      </c>
      <c r="K4539">
        <v>0.31819999999999998</v>
      </c>
      <c r="L4539">
        <v>0.42</v>
      </c>
      <c r="M4539">
        <v>0.1045</v>
      </c>
      <c r="N4539">
        <v>0</v>
      </c>
      <c r="O4539">
        <v>26</v>
      </c>
      <c r="P4539">
        <v>26</v>
      </c>
      <c r="Q4539">
        <v>346</v>
      </c>
      <c r="R4539">
        <v>347</v>
      </c>
    </row>
    <row r="4540" spans="1:18" x14ac:dyDescent="0.25">
      <c r="A4540">
        <v>348</v>
      </c>
      <c r="B4540" s="1">
        <v>40558</v>
      </c>
      <c r="C4540">
        <v>1</v>
      </c>
      <c r="D4540">
        <v>0</v>
      </c>
      <c r="E4540">
        <v>1</v>
      </c>
      <c r="F4540">
        <v>23</v>
      </c>
      <c r="G4540" t="b">
        <v>0</v>
      </c>
      <c r="H4540">
        <v>6</v>
      </c>
      <c r="I4540">
        <v>1</v>
      </c>
      <c r="J4540">
        <v>0.3</v>
      </c>
      <c r="K4540">
        <v>0.28789999999999999</v>
      </c>
      <c r="L4540">
        <v>0.45</v>
      </c>
      <c r="M4540">
        <v>0.28360000000000002</v>
      </c>
      <c r="N4540">
        <v>5</v>
      </c>
      <c r="O4540">
        <v>39</v>
      </c>
      <c r="P4540">
        <v>44</v>
      </c>
      <c r="Q4540">
        <v>347</v>
      </c>
      <c r="R4540">
        <v>348</v>
      </c>
    </row>
    <row r="4541" spans="1:18" x14ac:dyDescent="0.25">
      <c r="A4541">
        <v>349</v>
      </c>
      <c r="B4541" s="1">
        <v>40559</v>
      </c>
      <c r="C4541">
        <v>1</v>
      </c>
      <c r="D4541">
        <v>0</v>
      </c>
      <c r="E4541">
        <v>1</v>
      </c>
      <c r="F4541">
        <v>0</v>
      </c>
      <c r="G4541" t="b">
        <v>0</v>
      </c>
      <c r="H4541">
        <v>0</v>
      </c>
      <c r="I4541">
        <v>1</v>
      </c>
      <c r="J4541">
        <v>0.26</v>
      </c>
      <c r="K4541">
        <v>0.30299999999999999</v>
      </c>
      <c r="L4541">
        <v>0.56000000000000005</v>
      </c>
      <c r="M4541">
        <v>0</v>
      </c>
      <c r="N4541">
        <v>6</v>
      </c>
      <c r="O4541">
        <v>33</v>
      </c>
      <c r="P4541">
        <v>39</v>
      </c>
      <c r="Q4541">
        <v>348</v>
      </c>
      <c r="R4541">
        <v>349</v>
      </c>
    </row>
    <row r="4542" spans="1:18" x14ac:dyDescent="0.25">
      <c r="A4542">
        <v>350</v>
      </c>
      <c r="B4542" s="1">
        <v>40559</v>
      </c>
      <c r="C4542">
        <v>1</v>
      </c>
      <c r="D4542">
        <v>0</v>
      </c>
      <c r="E4542">
        <v>1</v>
      </c>
      <c r="F4542">
        <v>1</v>
      </c>
      <c r="G4542" t="b">
        <v>0</v>
      </c>
      <c r="H4542">
        <v>0</v>
      </c>
      <c r="I4542">
        <v>1</v>
      </c>
      <c r="J4542">
        <v>0.26</v>
      </c>
      <c r="K4542">
        <v>0.2727</v>
      </c>
      <c r="L4542">
        <v>0.56000000000000005</v>
      </c>
      <c r="M4542">
        <v>0.1343</v>
      </c>
      <c r="N4542">
        <v>4</v>
      </c>
      <c r="O4542">
        <v>19</v>
      </c>
      <c r="P4542">
        <v>23</v>
      </c>
      <c r="Q4542">
        <v>349</v>
      </c>
      <c r="R4542">
        <v>350</v>
      </c>
    </row>
    <row r="4543" spans="1:18" x14ac:dyDescent="0.25">
      <c r="A4543">
        <v>351</v>
      </c>
      <c r="B4543" s="1">
        <v>40559</v>
      </c>
      <c r="C4543">
        <v>1</v>
      </c>
      <c r="D4543">
        <v>0</v>
      </c>
      <c r="E4543">
        <v>1</v>
      </c>
      <c r="F4543">
        <v>2</v>
      </c>
      <c r="G4543" t="b">
        <v>0</v>
      </c>
      <c r="H4543">
        <v>0</v>
      </c>
      <c r="I4543">
        <v>1</v>
      </c>
      <c r="J4543">
        <v>0.26</v>
      </c>
      <c r="K4543">
        <v>0.28789999999999999</v>
      </c>
      <c r="L4543">
        <v>0.56000000000000005</v>
      </c>
      <c r="M4543">
        <v>8.9599999999999999E-2</v>
      </c>
      <c r="N4543">
        <v>3</v>
      </c>
      <c r="O4543">
        <v>13</v>
      </c>
      <c r="P4543">
        <v>16</v>
      </c>
      <c r="Q4543">
        <v>350</v>
      </c>
      <c r="R4543">
        <v>351</v>
      </c>
    </row>
    <row r="4544" spans="1:18" x14ac:dyDescent="0.25">
      <c r="A4544">
        <v>352</v>
      </c>
      <c r="B4544" s="1">
        <v>40559</v>
      </c>
      <c r="C4544">
        <v>1</v>
      </c>
      <c r="D4544">
        <v>0</v>
      </c>
      <c r="E4544">
        <v>1</v>
      </c>
      <c r="F4544">
        <v>3</v>
      </c>
      <c r="G4544" t="b">
        <v>0</v>
      </c>
      <c r="H4544">
        <v>0</v>
      </c>
      <c r="I4544">
        <v>1</v>
      </c>
      <c r="J4544">
        <v>0.22</v>
      </c>
      <c r="K4544">
        <v>0.2727</v>
      </c>
      <c r="L4544">
        <v>0.69</v>
      </c>
      <c r="M4544">
        <v>0</v>
      </c>
      <c r="N4544">
        <v>9</v>
      </c>
      <c r="O4544">
        <v>6</v>
      </c>
      <c r="P4544">
        <v>15</v>
      </c>
      <c r="Q4544">
        <v>351</v>
      </c>
      <c r="R4544">
        <v>352</v>
      </c>
    </row>
    <row r="4545" spans="1:18" x14ac:dyDescent="0.25">
      <c r="A4545">
        <v>353</v>
      </c>
      <c r="B4545" s="1">
        <v>40559</v>
      </c>
      <c r="C4545">
        <v>1</v>
      </c>
      <c r="D4545">
        <v>0</v>
      </c>
      <c r="E4545">
        <v>1</v>
      </c>
      <c r="F4545">
        <v>4</v>
      </c>
      <c r="G4545" t="b">
        <v>0</v>
      </c>
      <c r="H4545">
        <v>0</v>
      </c>
      <c r="I4545">
        <v>1</v>
      </c>
      <c r="J4545">
        <v>0.26</v>
      </c>
      <c r="K4545">
        <v>0.2576</v>
      </c>
      <c r="L4545">
        <v>0.56000000000000005</v>
      </c>
      <c r="M4545">
        <v>0.16420000000000001</v>
      </c>
      <c r="N4545">
        <v>0</v>
      </c>
      <c r="O4545">
        <v>1</v>
      </c>
      <c r="P4545">
        <v>1</v>
      </c>
      <c r="Q4545">
        <v>352</v>
      </c>
      <c r="R4545">
        <v>353</v>
      </c>
    </row>
    <row r="4546" spans="1:18" x14ac:dyDescent="0.25">
      <c r="A4546">
        <v>354</v>
      </c>
      <c r="B4546" s="1">
        <v>40559</v>
      </c>
      <c r="C4546">
        <v>1</v>
      </c>
      <c r="D4546">
        <v>0</v>
      </c>
      <c r="E4546">
        <v>1</v>
      </c>
      <c r="F4546">
        <v>5</v>
      </c>
      <c r="G4546" t="b">
        <v>0</v>
      </c>
      <c r="H4546">
        <v>0</v>
      </c>
      <c r="I4546">
        <v>2</v>
      </c>
      <c r="J4546">
        <v>0.26</v>
      </c>
      <c r="K4546">
        <v>0.2576</v>
      </c>
      <c r="L4546">
        <v>0.56000000000000005</v>
      </c>
      <c r="M4546">
        <v>0.16420000000000001</v>
      </c>
      <c r="N4546">
        <v>1</v>
      </c>
      <c r="O4546">
        <v>1</v>
      </c>
      <c r="P4546">
        <v>2</v>
      </c>
      <c r="Q4546">
        <v>353</v>
      </c>
      <c r="R4546">
        <v>354</v>
      </c>
    </row>
    <row r="4547" spans="1:18" x14ac:dyDescent="0.25">
      <c r="A4547">
        <v>355</v>
      </c>
      <c r="B4547" s="1">
        <v>40559</v>
      </c>
      <c r="C4547">
        <v>1</v>
      </c>
      <c r="D4547">
        <v>0</v>
      </c>
      <c r="E4547">
        <v>1</v>
      </c>
      <c r="F4547">
        <v>6</v>
      </c>
      <c r="G4547" t="b">
        <v>0</v>
      </c>
      <c r="H4547">
        <v>0</v>
      </c>
      <c r="I4547">
        <v>2</v>
      </c>
      <c r="J4547">
        <v>0.26</v>
      </c>
      <c r="K4547">
        <v>0.2576</v>
      </c>
      <c r="L4547">
        <v>0.56000000000000005</v>
      </c>
      <c r="M4547">
        <v>0.16420000000000001</v>
      </c>
      <c r="N4547">
        <v>0</v>
      </c>
      <c r="O4547">
        <v>1</v>
      </c>
      <c r="P4547">
        <v>1</v>
      </c>
      <c r="Q4547">
        <v>354</v>
      </c>
      <c r="R4547">
        <v>355</v>
      </c>
    </row>
    <row r="4548" spans="1:18" x14ac:dyDescent="0.25">
      <c r="A4548">
        <v>356</v>
      </c>
      <c r="B4548" s="1">
        <v>40559</v>
      </c>
      <c r="C4548">
        <v>1</v>
      </c>
      <c r="D4548">
        <v>0</v>
      </c>
      <c r="E4548">
        <v>1</v>
      </c>
      <c r="F4548">
        <v>7</v>
      </c>
      <c r="G4548" t="b">
        <v>0</v>
      </c>
      <c r="H4548">
        <v>0</v>
      </c>
      <c r="I4548">
        <v>2</v>
      </c>
      <c r="J4548">
        <v>0.24</v>
      </c>
      <c r="K4548">
        <v>0.21210000000000001</v>
      </c>
      <c r="L4548">
        <v>0.56000000000000005</v>
      </c>
      <c r="M4548">
        <v>0.29849999999999999</v>
      </c>
      <c r="N4548">
        <v>0</v>
      </c>
      <c r="O4548">
        <v>3</v>
      </c>
      <c r="P4548">
        <v>3</v>
      </c>
      <c r="Q4548">
        <v>355</v>
      </c>
      <c r="R4548">
        <v>356</v>
      </c>
    </row>
    <row r="4549" spans="1:18" x14ac:dyDescent="0.25">
      <c r="A4549">
        <v>357</v>
      </c>
      <c r="B4549" s="1">
        <v>40559</v>
      </c>
      <c r="C4549">
        <v>1</v>
      </c>
      <c r="D4549">
        <v>0</v>
      </c>
      <c r="E4549">
        <v>1</v>
      </c>
      <c r="F4549">
        <v>8</v>
      </c>
      <c r="G4549" t="b">
        <v>0</v>
      </c>
      <c r="H4549">
        <v>0</v>
      </c>
      <c r="I4549">
        <v>1</v>
      </c>
      <c r="J4549">
        <v>0.22</v>
      </c>
      <c r="K4549">
        <v>0.21210000000000001</v>
      </c>
      <c r="L4549">
        <v>0.55000000000000004</v>
      </c>
      <c r="M4549">
        <v>0.28360000000000002</v>
      </c>
      <c r="N4549">
        <v>0</v>
      </c>
      <c r="O4549">
        <v>18</v>
      </c>
      <c r="P4549">
        <v>18</v>
      </c>
      <c r="Q4549">
        <v>356</v>
      </c>
      <c r="R4549">
        <v>357</v>
      </c>
    </row>
    <row r="4550" spans="1:18" x14ac:dyDescent="0.25">
      <c r="A4550">
        <v>358</v>
      </c>
      <c r="B4550" s="1">
        <v>40559</v>
      </c>
      <c r="C4550">
        <v>1</v>
      </c>
      <c r="D4550">
        <v>0</v>
      </c>
      <c r="E4550">
        <v>1</v>
      </c>
      <c r="F4550">
        <v>9</v>
      </c>
      <c r="G4550" t="b">
        <v>0</v>
      </c>
      <c r="H4550">
        <v>0</v>
      </c>
      <c r="I4550">
        <v>1</v>
      </c>
      <c r="J4550">
        <v>0.22</v>
      </c>
      <c r="K4550">
        <v>0.21210000000000001</v>
      </c>
      <c r="L4550">
        <v>0.51</v>
      </c>
      <c r="M4550">
        <v>0.25369999999999998</v>
      </c>
      <c r="N4550">
        <v>3</v>
      </c>
      <c r="O4550">
        <v>29</v>
      </c>
      <c r="P4550">
        <v>32</v>
      </c>
      <c r="Q4550">
        <v>357</v>
      </c>
      <c r="R4550">
        <v>358</v>
      </c>
    </row>
    <row r="4551" spans="1:18" x14ac:dyDescent="0.25">
      <c r="A4551">
        <v>359</v>
      </c>
      <c r="B4551" s="1">
        <v>40559</v>
      </c>
      <c r="C4551">
        <v>1</v>
      </c>
      <c r="D4551">
        <v>0</v>
      </c>
      <c r="E4551">
        <v>1</v>
      </c>
      <c r="F4551">
        <v>10</v>
      </c>
      <c r="G4551" t="b">
        <v>0</v>
      </c>
      <c r="H4551">
        <v>0</v>
      </c>
      <c r="I4551">
        <v>1</v>
      </c>
      <c r="J4551">
        <v>0.22</v>
      </c>
      <c r="K4551">
        <v>0.21210000000000001</v>
      </c>
      <c r="L4551">
        <v>0.51</v>
      </c>
      <c r="M4551">
        <v>0.28360000000000002</v>
      </c>
      <c r="N4551">
        <v>8</v>
      </c>
      <c r="O4551">
        <v>71</v>
      </c>
      <c r="P4551">
        <v>79</v>
      </c>
      <c r="Q4551">
        <v>358</v>
      </c>
      <c r="R4551">
        <v>359</v>
      </c>
    </row>
    <row r="4552" spans="1:18" x14ac:dyDescent="0.25">
      <c r="A4552">
        <v>360</v>
      </c>
      <c r="B4552" s="1">
        <v>40559</v>
      </c>
      <c r="C4552">
        <v>1</v>
      </c>
      <c r="D4552">
        <v>0</v>
      </c>
      <c r="E4552">
        <v>1</v>
      </c>
      <c r="F4552">
        <v>11</v>
      </c>
      <c r="G4552" t="b">
        <v>0</v>
      </c>
      <c r="H4552">
        <v>0</v>
      </c>
      <c r="I4552">
        <v>1</v>
      </c>
      <c r="J4552">
        <v>0.24</v>
      </c>
      <c r="K4552">
        <v>0.2273</v>
      </c>
      <c r="L4552">
        <v>0.44</v>
      </c>
      <c r="M4552">
        <v>0.25369999999999998</v>
      </c>
      <c r="N4552">
        <v>23</v>
      </c>
      <c r="O4552">
        <v>70</v>
      </c>
      <c r="P4552">
        <v>93</v>
      </c>
      <c r="Q4552">
        <v>359</v>
      </c>
      <c r="R4552">
        <v>360</v>
      </c>
    </row>
    <row r="4553" spans="1:18" x14ac:dyDescent="0.25">
      <c r="A4553">
        <v>361</v>
      </c>
      <c r="B4553" s="1">
        <v>40559</v>
      </c>
      <c r="C4553">
        <v>1</v>
      </c>
      <c r="D4553">
        <v>0</v>
      </c>
      <c r="E4553">
        <v>1</v>
      </c>
      <c r="F4553">
        <v>12</v>
      </c>
      <c r="G4553" t="b">
        <v>0</v>
      </c>
      <c r="H4553">
        <v>0</v>
      </c>
      <c r="I4553">
        <v>1</v>
      </c>
      <c r="J4553">
        <v>0.24</v>
      </c>
      <c r="K4553">
        <v>0.21210000000000001</v>
      </c>
      <c r="L4553">
        <v>0.41</v>
      </c>
      <c r="M4553">
        <v>0.28360000000000002</v>
      </c>
      <c r="N4553">
        <v>29</v>
      </c>
      <c r="O4553">
        <v>75</v>
      </c>
      <c r="P4553">
        <v>104</v>
      </c>
      <c r="Q4553">
        <v>360</v>
      </c>
      <c r="R4553">
        <v>361</v>
      </c>
    </row>
    <row r="4554" spans="1:18" x14ac:dyDescent="0.25">
      <c r="A4554">
        <v>362</v>
      </c>
      <c r="B4554" s="1">
        <v>40559</v>
      </c>
      <c r="C4554">
        <v>1</v>
      </c>
      <c r="D4554">
        <v>0</v>
      </c>
      <c r="E4554">
        <v>1</v>
      </c>
      <c r="F4554">
        <v>13</v>
      </c>
      <c r="G4554" t="b">
        <v>0</v>
      </c>
      <c r="H4554">
        <v>0</v>
      </c>
      <c r="I4554">
        <v>1</v>
      </c>
      <c r="J4554">
        <v>0.26</v>
      </c>
      <c r="K4554">
        <v>0.2273</v>
      </c>
      <c r="L4554">
        <v>0.35</v>
      </c>
      <c r="M4554">
        <v>0.29849999999999999</v>
      </c>
      <c r="N4554">
        <v>23</v>
      </c>
      <c r="O4554">
        <v>95</v>
      </c>
      <c r="P4554">
        <v>118</v>
      </c>
      <c r="Q4554">
        <v>361</v>
      </c>
      <c r="R4554">
        <v>362</v>
      </c>
    </row>
    <row r="4555" spans="1:18" x14ac:dyDescent="0.25">
      <c r="A4555">
        <v>363</v>
      </c>
      <c r="B4555" s="1">
        <v>40559</v>
      </c>
      <c r="C4555">
        <v>1</v>
      </c>
      <c r="D4555">
        <v>0</v>
      </c>
      <c r="E4555">
        <v>1</v>
      </c>
      <c r="F4555">
        <v>14</v>
      </c>
      <c r="G4555" t="b">
        <v>0</v>
      </c>
      <c r="H4555">
        <v>0</v>
      </c>
      <c r="I4555">
        <v>1</v>
      </c>
      <c r="J4555">
        <v>0.28000000000000003</v>
      </c>
      <c r="K4555">
        <v>0.2727</v>
      </c>
      <c r="L4555">
        <v>0.36</v>
      </c>
      <c r="M4555">
        <v>0.25369999999999998</v>
      </c>
      <c r="N4555">
        <v>22</v>
      </c>
      <c r="O4555">
        <v>69</v>
      </c>
      <c r="P4555">
        <v>91</v>
      </c>
      <c r="Q4555">
        <v>362</v>
      </c>
      <c r="R4555">
        <v>363</v>
      </c>
    </row>
    <row r="4556" spans="1:18" x14ac:dyDescent="0.25">
      <c r="A4556">
        <v>364</v>
      </c>
      <c r="B4556" s="1">
        <v>40559</v>
      </c>
      <c r="C4556">
        <v>1</v>
      </c>
      <c r="D4556">
        <v>0</v>
      </c>
      <c r="E4556">
        <v>1</v>
      </c>
      <c r="F4556">
        <v>15</v>
      </c>
      <c r="G4556" t="b">
        <v>0</v>
      </c>
      <c r="H4556">
        <v>0</v>
      </c>
      <c r="I4556">
        <v>1</v>
      </c>
      <c r="J4556">
        <v>0.26</v>
      </c>
      <c r="K4556">
        <v>0.2424</v>
      </c>
      <c r="L4556">
        <v>0.38</v>
      </c>
      <c r="M4556">
        <v>0.25369999999999998</v>
      </c>
      <c r="N4556">
        <v>35</v>
      </c>
      <c r="O4556">
        <v>78</v>
      </c>
      <c r="P4556">
        <v>113</v>
      </c>
      <c r="Q4556">
        <v>363</v>
      </c>
      <c r="R4556">
        <v>364</v>
      </c>
    </row>
    <row r="4557" spans="1:18" x14ac:dyDescent="0.25">
      <c r="A4557">
        <v>365</v>
      </c>
      <c r="B4557" s="1">
        <v>40559</v>
      </c>
      <c r="C4557">
        <v>1</v>
      </c>
      <c r="D4557">
        <v>0</v>
      </c>
      <c r="E4557">
        <v>1</v>
      </c>
      <c r="F4557">
        <v>16</v>
      </c>
      <c r="G4557" t="b">
        <v>0</v>
      </c>
      <c r="H4557">
        <v>0</v>
      </c>
      <c r="I4557">
        <v>1</v>
      </c>
      <c r="J4557">
        <v>0.24</v>
      </c>
      <c r="K4557">
        <v>0.2273</v>
      </c>
      <c r="L4557">
        <v>0.38</v>
      </c>
      <c r="M4557">
        <v>0.22389999999999999</v>
      </c>
      <c r="N4557">
        <v>22</v>
      </c>
      <c r="O4557">
        <v>77</v>
      </c>
      <c r="P4557">
        <v>99</v>
      </c>
      <c r="Q4557">
        <v>364</v>
      </c>
      <c r="R4557">
        <v>365</v>
      </c>
    </row>
    <row r="4558" spans="1:18" x14ac:dyDescent="0.25">
      <c r="A4558">
        <v>366</v>
      </c>
      <c r="B4558" s="1">
        <v>40559</v>
      </c>
      <c r="C4558">
        <v>1</v>
      </c>
      <c r="D4558">
        <v>0</v>
      </c>
      <c r="E4558">
        <v>1</v>
      </c>
      <c r="F4558">
        <v>17</v>
      </c>
      <c r="G4558" t="b">
        <v>0</v>
      </c>
      <c r="H4558">
        <v>0</v>
      </c>
      <c r="I4558">
        <v>1</v>
      </c>
      <c r="J4558">
        <v>0.22</v>
      </c>
      <c r="K4558">
        <v>0.21210000000000001</v>
      </c>
      <c r="L4558">
        <v>0.37</v>
      </c>
      <c r="M4558">
        <v>0.25369999999999998</v>
      </c>
      <c r="N4558">
        <v>23</v>
      </c>
      <c r="O4558">
        <v>82</v>
      </c>
      <c r="P4558">
        <v>105</v>
      </c>
      <c r="Q4558">
        <v>365</v>
      </c>
      <c r="R4558">
        <v>366</v>
      </c>
    </row>
    <row r="4559" spans="1:18" x14ac:dyDescent="0.25">
      <c r="A4559">
        <v>367</v>
      </c>
      <c r="B4559" s="1">
        <v>40559</v>
      </c>
      <c r="C4559">
        <v>1</v>
      </c>
      <c r="D4559">
        <v>0</v>
      </c>
      <c r="E4559">
        <v>1</v>
      </c>
      <c r="F4559">
        <v>18</v>
      </c>
      <c r="G4559" t="b">
        <v>0</v>
      </c>
      <c r="H4559">
        <v>0</v>
      </c>
      <c r="I4559">
        <v>1</v>
      </c>
      <c r="J4559">
        <v>0.2</v>
      </c>
      <c r="K4559">
        <v>0.21210000000000001</v>
      </c>
      <c r="L4559">
        <v>0.4</v>
      </c>
      <c r="M4559">
        <v>0.16420000000000001</v>
      </c>
      <c r="N4559">
        <v>11</v>
      </c>
      <c r="O4559">
        <v>56</v>
      </c>
      <c r="P4559">
        <v>67</v>
      </c>
      <c r="Q4559">
        <v>366</v>
      </c>
      <c r="R4559">
        <v>367</v>
      </c>
    </row>
    <row r="4560" spans="1:18" x14ac:dyDescent="0.25">
      <c r="A4560">
        <v>368</v>
      </c>
      <c r="B4560" s="1">
        <v>40559</v>
      </c>
      <c r="C4560">
        <v>1</v>
      </c>
      <c r="D4560">
        <v>0</v>
      </c>
      <c r="E4560">
        <v>1</v>
      </c>
      <c r="F4560">
        <v>19</v>
      </c>
      <c r="G4560" t="b">
        <v>0</v>
      </c>
      <c r="H4560">
        <v>0</v>
      </c>
      <c r="I4560">
        <v>1</v>
      </c>
      <c r="J4560">
        <v>0.18</v>
      </c>
      <c r="K4560">
        <v>0.19700000000000001</v>
      </c>
      <c r="L4560">
        <v>0.47</v>
      </c>
      <c r="M4560">
        <v>0.1343</v>
      </c>
      <c r="N4560">
        <v>14</v>
      </c>
      <c r="O4560">
        <v>47</v>
      </c>
      <c r="P4560">
        <v>61</v>
      </c>
      <c r="Q4560">
        <v>367</v>
      </c>
      <c r="R4560">
        <v>368</v>
      </c>
    </row>
    <row r="4561" spans="1:18" x14ac:dyDescent="0.25">
      <c r="A4561">
        <v>369</v>
      </c>
      <c r="B4561" s="1">
        <v>40559</v>
      </c>
      <c r="C4561">
        <v>1</v>
      </c>
      <c r="D4561">
        <v>0</v>
      </c>
      <c r="E4561">
        <v>1</v>
      </c>
      <c r="F4561">
        <v>20</v>
      </c>
      <c r="G4561" t="b">
        <v>0</v>
      </c>
      <c r="H4561">
        <v>0</v>
      </c>
      <c r="I4561">
        <v>1</v>
      </c>
      <c r="J4561">
        <v>0.18</v>
      </c>
      <c r="K4561">
        <v>0.19700000000000001</v>
      </c>
      <c r="L4561">
        <v>0.47</v>
      </c>
      <c r="M4561">
        <v>0.16420000000000001</v>
      </c>
      <c r="N4561">
        <v>7</v>
      </c>
      <c r="O4561">
        <v>50</v>
      </c>
      <c r="P4561">
        <v>57</v>
      </c>
      <c r="Q4561">
        <v>368</v>
      </c>
      <c r="R4561">
        <v>369</v>
      </c>
    </row>
    <row r="4562" spans="1:18" x14ac:dyDescent="0.25">
      <c r="A4562">
        <v>370</v>
      </c>
      <c r="B4562" s="1">
        <v>40559</v>
      </c>
      <c r="C4562">
        <v>1</v>
      </c>
      <c r="D4562">
        <v>0</v>
      </c>
      <c r="E4562">
        <v>1</v>
      </c>
      <c r="F4562">
        <v>21</v>
      </c>
      <c r="G4562" t="b">
        <v>0</v>
      </c>
      <c r="H4562">
        <v>0</v>
      </c>
      <c r="I4562">
        <v>1</v>
      </c>
      <c r="J4562">
        <v>0.18</v>
      </c>
      <c r="K4562">
        <v>0.19700000000000001</v>
      </c>
      <c r="L4562">
        <v>0.51</v>
      </c>
      <c r="M4562">
        <v>0.16420000000000001</v>
      </c>
      <c r="N4562">
        <v>6</v>
      </c>
      <c r="O4562">
        <v>22</v>
      </c>
      <c r="P4562">
        <v>28</v>
      </c>
      <c r="Q4562">
        <v>369</v>
      </c>
      <c r="R4562">
        <v>370</v>
      </c>
    </row>
    <row r="4563" spans="1:18" x14ac:dyDescent="0.25">
      <c r="A4563">
        <v>371</v>
      </c>
      <c r="B4563" s="1">
        <v>40559</v>
      </c>
      <c r="C4563">
        <v>1</v>
      </c>
      <c r="D4563">
        <v>0</v>
      </c>
      <c r="E4563">
        <v>1</v>
      </c>
      <c r="F4563">
        <v>22</v>
      </c>
      <c r="G4563" t="b">
        <v>0</v>
      </c>
      <c r="H4563">
        <v>0</v>
      </c>
      <c r="I4563">
        <v>2</v>
      </c>
      <c r="J4563">
        <v>0.2</v>
      </c>
      <c r="K4563">
        <v>0.21210000000000001</v>
      </c>
      <c r="L4563">
        <v>0.49</v>
      </c>
      <c r="M4563">
        <v>0.1343</v>
      </c>
      <c r="N4563">
        <v>2</v>
      </c>
      <c r="O4563">
        <v>19</v>
      </c>
      <c r="P4563">
        <v>21</v>
      </c>
      <c r="Q4563">
        <v>370</v>
      </c>
      <c r="R4563">
        <v>371</v>
      </c>
    </row>
    <row r="4564" spans="1:18" x14ac:dyDescent="0.25">
      <c r="A4564">
        <v>372</v>
      </c>
      <c r="B4564" s="1">
        <v>40559</v>
      </c>
      <c r="C4564">
        <v>1</v>
      </c>
      <c r="D4564">
        <v>0</v>
      </c>
      <c r="E4564">
        <v>1</v>
      </c>
      <c r="F4564">
        <v>23</v>
      </c>
      <c r="G4564" t="b">
        <v>0</v>
      </c>
      <c r="H4564">
        <v>0</v>
      </c>
      <c r="I4564">
        <v>2</v>
      </c>
      <c r="J4564">
        <v>0.2</v>
      </c>
      <c r="K4564">
        <v>0.2273</v>
      </c>
      <c r="L4564">
        <v>0.4</v>
      </c>
      <c r="M4564">
        <v>0.1045</v>
      </c>
      <c r="N4564">
        <v>0</v>
      </c>
      <c r="O4564">
        <v>18</v>
      </c>
      <c r="P4564">
        <v>18</v>
      </c>
      <c r="Q4564">
        <v>371</v>
      </c>
      <c r="R4564">
        <v>372</v>
      </c>
    </row>
    <row r="4565" spans="1:18" x14ac:dyDescent="0.25">
      <c r="A4565">
        <v>373</v>
      </c>
      <c r="B4565" s="1">
        <v>40560</v>
      </c>
      <c r="C4565">
        <v>1</v>
      </c>
      <c r="D4565">
        <v>0</v>
      </c>
      <c r="E4565">
        <v>1</v>
      </c>
      <c r="F4565">
        <v>0</v>
      </c>
      <c r="G4565" t="b">
        <v>1</v>
      </c>
      <c r="H4565">
        <v>1</v>
      </c>
      <c r="I4565">
        <v>2</v>
      </c>
      <c r="J4565">
        <v>0.2</v>
      </c>
      <c r="K4565">
        <v>0.19700000000000001</v>
      </c>
      <c r="L4565">
        <v>0.47</v>
      </c>
      <c r="M4565">
        <v>0.22389999999999999</v>
      </c>
      <c r="N4565">
        <v>1</v>
      </c>
      <c r="O4565">
        <v>16</v>
      </c>
      <c r="P4565">
        <v>17</v>
      </c>
      <c r="Q4565">
        <v>372</v>
      </c>
      <c r="R4565">
        <v>373</v>
      </c>
    </row>
    <row r="4566" spans="1:18" x14ac:dyDescent="0.25">
      <c r="A4566">
        <v>374</v>
      </c>
      <c r="B4566" s="1">
        <v>40560</v>
      </c>
      <c r="C4566">
        <v>1</v>
      </c>
      <c r="D4566">
        <v>0</v>
      </c>
      <c r="E4566">
        <v>1</v>
      </c>
      <c r="F4566">
        <v>1</v>
      </c>
      <c r="G4566" t="b">
        <v>1</v>
      </c>
      <c r="H4566">
        <v>1</v>
      </c>
      <c r="I4566">
        <v>2</v>
      </c>
      <c r="J4566">
        <v>0.2</v>
      </c>
      <c r="K4566">
        <v>0.19700000000000001</v>
      </c>
      <c r="L4566">
        <v>0.44</v>
      </c>
      <c r="M4566">
        <v>0.19400000000000001</v>
      </c>
      <c r="N4566">
        <v>1</v>
      </c>
      <c r="O4566">
        <v>15</v>
      </c>
      <c r="P4566">
        <v>16</v>
      </c>
      <c r="Q4566">
        <v>373</v>
      </c>
      <c r="R4566">
        <v>374</v>
      </c>
    </row>
    <row r="4567" spans="1:18" x14ac:dyDescent="0.25">
      <c r="A4567">
        <v>375</v>
      </c>
      <c r="B4567" s="1">
        <v>40560</v>
      </c>
      <c r="C4567">
        <v>1</v>
      </c>
      <c r="D4567">
        <v>0</v>
      </c>
      <c r="E4567">
        <v>1</v>
      </c>
      <c r="F4567">
        <v>2</v>
      </c>
      <c r="G4567" t="b">
        <v>1</v>
      </c>
      <c r="H4567">
        <v>1</v>
      </c>
      <c r="I4567">
        <v>2</v>
      </c>
      <c r="J4567">
        <v>0.18</v>
      </c>
      <c r="K4567">
        <v>0.16669999999999999</v>
      </c>
      <c r="L4567">
        <v>0.43</v>
      </c>
      <c r="M4567">
        <v>0.25369999999999998</v>
      </c>
      <c r="N4567">
        <v>0</v>
      </c>
      <c r="O4567">
        <v>8</v>
      </c>
      <c r="P4567">
        <v>8</v>
      </c>
      <c r="Q4567">
        <v>374</v>
      </c>
      <c r="R4567">
        <v>375</v>
      </c>
    </row>
    <row r="4568" spans="1:18" x14ac:dyDescent="0.25">
      <c r="A4568">
        <v>376</v>
      </c>
      <c r="B4568" s="1">
        <v>40560</v>
      </c>
      <c r="C4568">
        <v>1</v>
      </c>
      <c r="D4568">
        <v>0</v>
      </c>
      <c r="E4568">
        <v>1</v>
      </c>
      <c r="F4568">
        <v>3</v>
      </c>
      <c r="G4568" t="b">
        <v>1</v>
      </c>
      <c r="H4568">
        <v>1</v>
      </c>
      <c r="I4568">
        <v>2</v>
      </c>
      <c r="J4568">
        <v>0.18</v>
      </c>
      <c r="K4568">
        <v>0.18179999999999999</v>
      </c>
      <c r="L4568">
        <v>0.43</v>
      </c>
      <c r="M4568">
        <v>0.19400000000000001</v>
      </c>
      <c r="N4568">
        <v>0</v>
      </c>
      <c r="O4568">
        <v>2</v>
      </c>
      <c r="P4568">
        <v>2</v>
      </c>
      <c r="Q4568">
        <v>375</v>
      </c>
      <c r="R4568">
        <v>376</v>
      </c>
    </row>
    <row r="4569" spans="1:18" x14ac:dyDescent="0.25">
      <c r="A4569">
        <v>377</v>
      </c>
      <c r="B4569" s="1">
        <v>40560</v>
      </c>
      <c r="C4569">
        <v>1</v>
      </c>
      <c r="D4569">
        <v>0</v>
      </c>
      <c r="E4569">
        <v>1</v>
      </c>
      <c r="F4569">
        <v>4</v>
      </c>
      <c r="G4569" t="b">
        <v>1</v>
      </c>
      <c r="H4569">
        <v>1</v>
      </c>
      <c r="I4569">
        <v>2</v>
      </c>
      <c r="J4569">
        <v>0.18</v>
      </c>
      <c r="K4569">
        <v>0.19700000000000001</v>
      </c>
      <c r="L4569">
        <v>0.43</v>
      </c>
      <c r="M4569">
        <v>0.1343</v>
      </c>
      <c r="N4569">
        <v>1</v>
      </c>
      <c r="O4569">
        <v>2</v>
      </c>
      <c r="P4569">
        <v>3</v>
      </c>
      <c r="Q4569">
        <v>376</v>
      </c>
      <c r="R4569">
        <v>377</v>
      </c>
    </row>
    <row r="4570" spans="1:18" x14ac:dyDescent="0.25">
      <c r="A4570">
        <v>378</v>
      </c>
      <c r="B4570" s="1">
        <v>40560</v>
      </c>
      <c r="C4570">
        <v>1</v>
      </c>
      <c r="D4570">
        <v>0</v>
      </c>
      <c r="E4570">
        <v>1</v>
      </c>
      <c r="F4570">
        <v>5</v>
      </c>
      <c r="G4570" t="b">
        <v>1</v>
      </c>
      <c r="H4570">
        <v>1</v>
      </c>
      <c r="I4570">
        <v>2</v>
      </c>
      <c r="J4570">
        <v>0.18</v>
      </c>
      <c r="K4570">
        <v>0.19700000000000001</v>
      </c>
      <c r="L4570">
        <v>0.43</v>
      </c>
      <c r="M4570">
        <v>0.16420000000000001</v>
      </c>
      <c r="N4570">
        <v>0</v>
      </c>
      <c r="O4570">
        <v>1</v>
      </c>
      <c r="P4570">
        <v>1</v>
      </c>
      <c r="Q4570">
        <v>377</v>
      </c>
      <c r="R4570">
        <v>378</v>
      </c>
    </row>
    <row r="4571" spans="1:18" x14ac:dyDescent="0.25">
      <c r="A4571">
        <v>379</v>
      </c>
      <c r="B4571" s="1">
        <v>40560</v>
      </c>
      <c r="C4571">
        <v>1</v>
      </c>
      <c r="D4571">
        <v>0</v>
      </c>
      <c r="E4571">
        <v>1</v>
      </c>
      <c r="F4571">
        <v>6</v>
      </c>
      <c r="G4571" t="b">
        <v>1</v>
      </c>
      <c r="H4571">
        <v>1</v>
      </c>
      <c r="I4571">
        <v>2</v>
      </c>
      <c r="J4571">
        <v>0.18</v>
      </c>
      <c r="K4571">
        <v>0.18179999999999999</v>
      </c>
      <c r="L4571">
        <v>0.43</v>
      </c>
      <c r="M4571">
        <v>0.19400000000000001</v>
      </c>
      <c r="N4571">
        <v>0</v>
      </c>
      <c r="O4571">
        <v>5</v>
      </c>
      <c r="P4571">
        <v>5</v>
      </c>
      <c r="Q4571">
        <v>378</v>
      </c>
      <c r="R4571">
        <v>379</v>
      </c>
    </row>
    <row r="4572" spans="1:18" x14ac:dyDescent="0.25">
      <c r="A4572">
        <v>380</v>
      </c>
      <c r="B4572" s="1">
        <v>40560</v>
      </c>
      <c r="C4572">
        <v>1</v>
      </c>
      <c r="D4572">
        <v>0</v>
      </c>
      <c r="E4572">
        <v>1</v>
      </c>
      <c r="F4572">
        <v>7</v>
      </c>
      <c r="G4572" t="b">
        <v>1</v>
      </c>
      <c r="H4572">
        <v>1</v>
      </c>
      <c r="I4572">
        <v>2</v>
      </c>
      <c r="J4572">
        <v>0.16</v>
      </c>
      <c r="K4572">
        <v>0.18179999999999999</v>
      </c>
      <c r="L4572">
        <v>0.5</v>
      </c>
      <c r="M4572">
        <v>0.1343</v>
      </c>
      <c r="N4572">
        <v>4</v>
      </c>
      <c r="O4572">
        <v>9</v>
      </c>
      <c r="P4572">
        <v>13</v>
      </c>
      <c r="Q4572">
        <v>379</v>
      </c>
      <c r="R4572">
        <v>380</v>
      </c>
    </row>
    <row r="4573" spans="1:18" x14ac:dyDescent="0.25">
      <c r="A4573">
        <v>381</v>
      </c>
      <c r="B4573" s="1">
        <v>40560</v>
      </c>
      <c r="C4573">
        <v>1</v>
      </c>
      <c r="D4573">
        <v>0</v>
      </c>
      <c r="E4573">
        <v>1</v>
      </c>
      <c r="F4573">
        <v>8</v>
      </c>
      <c r="G4573" t="b">
        <v>1</v>
      </c>
      <c r="H4573">
        <v>1</v>
      </c>
      <c r="I4573">
        <v>2</v>
      </c>
      <c r="J4573">
        <v>0.16</v>
      </c>
      <c r="K4573">
        <v>0.1515</v>
      </c>
      <c r="L4573">
        <v>0.47</v>
      </c>
      <c r="M4573">
        <v>0.22389999999999999</v>
      </c>
      <c r="N4573">
        <v>3</v>
      </c>
      <c r="O4573">
        <v>30</v>
      </c>
      <c r="P4573">
        <v>33</v>
      </c>
      <c r="Q4573">
        <v>380</v>
      </c>
      <c r="R4573">
        <v>381</v>
      </c>
    </row>
    <row r="4574" spans="1:18" x14ac:dyDescent="0.25">
      <c r="A4574">
        <v>382</v>
      </c>
      <c r="B4574" s="1">
        <v>40560</v>
      </c>
      <c r="C4574">
        <v>1</v>
      </c>
      <c r="D4574">
        <v>0</v>
      </c>
      <c r="E4574">
        <v>1</v>
      </c>
      <c r="F4574">
        <v>9</v>
      </c>
      <c r="G4574" t="b">
        <v>1</v>
      </c>
      <c r="H4574">
        <v>1</v>
      </c>
      <c r="I4574">
        <v>2</v>
      </c>
      <c r="J4574">
        <v>0.16</v>
      </c>
      <c r="K4574">
        <v>0.1515</v>
      </c>
      <c r="L4574">
        <v>0.47</v>
      </c>
      <c r="M4574">
        <v>0.22389999999999999</v>
      </c>
      <c r="N4574">
        <v>8</v>
      </c>
      <c r="O4574">
        <v>39</v>
      </c>
      <c r="P4574">
        <v>47</v>
      </c>
      <c r="Q4574">
        <v>381</v>
      </c>
      <c r="R4574">
        <v>382</v>
      </c>
    </row>
    <row r="4575" spans="1:18" x14ac:dyDescent="0.25">
      <c r="A4575">
        <v>383</v>
      </c>
      <c r="B4575" s="1">
        <v>40560</v>
      </c>
      <c r="C4575">
        <v>1</v>
      </c>
      <c r="D4575">
        <v>0</v>
      </c>
      <c r="E4575">
        <v>1</v>
      </c>
      <c r="F4575">
        <v>10</v>
      </c>
      <c r="G4575" t="b">
        <v>1</v>
      </c>
      <c r="H4575">
        <v>1</v>
      </c>
      <c r="I4575">
        <v>2</v>
      </c>
      <c r="J4575">
        <v>0.16</v>
      </c>
      <c r="K4575">
        <v>0.1515</v>
      </c>
      <c r="L4575">
        <v>0.5</v>
      </c>
      <c r="M4575">
        <v>0.25369999999999998</v>
      </c>
      <c r="N4575">
        <v>7</v>
      </c>
      <c r="O4575">
        <v>50</v>
      </c>
      <c r="P4575">
        <v>57</v>
      </c>
      <c r="Q4575">
        <v>382</v>
      </c>
      <c r="R4575">
        <v>383</v>
      </c>
    </row>
    <row r="4576" spans="1:18" x14ac:dyDescent="0.25">
      <c r="A4576">
        <v>384</v>
      </c>
      <c r="B4576" s="1">
        <v>40560</v>
      </c>
      <c r="C4576">
        <v>1</v>
      </c>
      <c r="D4576">
        <v>0</v>
      </c>
      <c r="E4576">
        <v>1</v>
      </c>
      <c r="F4576">
        <v>11</v>
      </c>
      <c r="G4576" t="b">
        <v>1</v>
      </c>
      <c r="H4576">
        <v>1</v>
      </c>
      <c r="I4576">
        <v>2</v>
      </c>
      <c r="J4576">
        <v>0.16</v>
      </c>
      <c r="K4576">
        <v>0.1515</v>
      </c>
      <c r="L4576">
        <v>0.55000000000000004</v>
      </c>
      <c r="M4576">
        <v>0.19400000000000001</v>
      </c>
      <c r="N4576">
        <v>9</v>
      </c>
      <c r="O4576">
        <v>55</v>
      </c>
      <c r="P4576">
        <v>64</v>
      </c>
      <c r="Q4576">
        <v>383</v>
      </c>
      <c r="R4576">
        <v>384</v>
      </c>
    </row>
    <row r="4577" spans="1:18" x14ac:dyDescent="0.25">
      <c r="A4577">
        <v>385</v>
      </c>
      <c r="B4577" s="1">
        <v>40560</v>
      </c>
      <c r="C4577">
        <v>1</v>
      </c>
      <c r="D4577">
        <v>0</v>
      </c>
      <c r="E4577">
        <v>1</v>
      </c>
      <c r="F4577">
        <v>12</v>
      </c>
      <c r="G4577" t="b">
        <v>1</v>
      </c>
      <c r="H4577">
        <v>1</v>
      </c>
      <c r="I4577">
        <v>2</v>
      </c>
      <c r="J4577">
        <v>0.18</v>
      </c>
      <c r="K4577">
        <v>0.19700000000000001</v>
      </c>
      <c r="L4577">
        <v>0.47</v>
      </c>
      <c r="M4577">
        <v>0.1343</v>
      </c>
      <c r="N4577">
        <v>10</v>
      </c>
      <c r="O4577">
        <v>70</v>
      </c>
      <c r="P4577">
        <v>80</v>
      </c>
      <c r="Q4577">
        <v>384</v>
      </c>
      <c r="R4577">
        <v>385</v>
      </c>
    </row>
    <row r="4578" spans="1:18" x14ac:dyDescent="0.25">
      <c r="A4578">
        <v>386</v>
      </c>
      <c r="B4578" s="1">
        <v>40560</v>
      </c>
      <c r="C4578">
        <v>1</v>
      </c>
      <c r="D4578">
        <v>0</v>
      </c>
      <c r="E4578">
        <v>1</v>
      </c>
      <c r="F4578">
        <v>13</v>
      </c>
      <c r="G4578" t="b">
        <v>1</v>
      </c>
      <c r="H4578">
        <v>1</v>
      </c>
      <c r="I4578">
        <v>2</v>
      </c>
      <c r="J4578">
        <v>0.18</v>
      </c>
      <c r="K4578">
        <v>0.19700000000000001</v>
      </c>
      <c r="L4578">
        <v>0.47</v>
      </c>
      <c r="M4578">
        <v>0.1343</v>
      </c>
      <c r="N4578">
        <v>13</v>
      </c>
      <c r="O4578">
        <v>80</v>
      </c>
      <c r="P4578">
        <v>93</v>
      </c>
      <c r="Q4578">
        <v>385</v>
      </c>
      <c r="R4578">
        <v>386</v>
      </c>
    </row>
    <row r="4579" spans="1:18" x14ac:dyDescent="0.25">
      <c r="A4579">
        <v>387</v>
      </c>
      <c r="B4579" s="1">
        <v>40560</v>
      </c>
      <c r="C4579">
        <v>1</v>
      </c>
      <c r="D4579">
        <v>0</v>
      </c>
      <c r="E4579">
        <v>1</v>
      </c>
      <c r="F4579">
        <v>14</v>
      </c>
      <c r="G4579" t="b">
        <v>1</v>
      </c>
      <c r="H4579">
        <v>1</v>
      </c>
      <c r="I4579">
        <v>2</v>
      </c>
      <c r="J4579">
        <v>0.18</v>
      </c>
      <c r="K4579">
        <v>0.21210000000000001</v>
      </c>
      <c r="L4579">
        <v>0.43</v>
      </c>
      <c r="M4579">
        <v>0.1045</v>
      </c>
      <c r="N4579">
        <v>12</v>
      </c>
      <c r="O4579">
        <v>74</v>
      </c>
      <c r="P4579">
        <v>86</v>
      </c>
      <c r="Q4579">
        <v>386</v>
      </c>
      <c r="R4579">
        <v>387</v>
      </c>
    </row>
    <row r="4580" spans="1:18" x14ac:dyDescent="0.25">
      <c r="A4580">
        <v>388</v>
      </c>
      <c r="B4580" s="1">
        <v>40560</v>
      </c>
      <c r="C4580">
        <v>1</v>
      </c>
      <c r="D4580">
        <v>0</v>
      </c>
      <c r="E4580">
        <v>1</v>
      </c>
      <c r="F4580">
        <v>15</v>
      </c>
      <c r="G4580" t="b">
        <v>1</v>
      </c>
      <c r="H4580">
        <v>1</v>
      </c>
      <c r="I4580">
        <v>2</v>
      </c>
      <c r="J4580">
        <v>0.2</v>
      </c>
      <c r="K4580">
        <v>0.21210000000000001</v>
      </c>
      <c r="L4580">
        <v>0.47</v>
      </c>
      <c r="M4580">
        <v>0.16420000000000001</v>
      </c>
      <c r="N4580">
        <v>21</v>
      </c>
      <c r="O4580">
        <v>72</v>
      </c>
      <c r="P4580">
        <v>93</v>
      </c>
      <c r="Q4580">
        <v>387</v>
      </c>
      <c r="R4580">
        <v>388</v>
      </c>
    </row>
    <row r="4581" spans="1:18" x14ac:dyDescent="0.25">
      <c r="A4581">
        <v>389</v>
      </c>
      <c r="B4581" s="1">
        <v>40560</v>
      </c>
      <c r="C4581">
        <v>1</v>
      </c>
      <c r="D4581">
        <v>0</v>
      </c>
      <c r="E4581">
        <v>1</v>
      </c>
      <c r="F4581">
        <v>16</v>
      </c>
      <c r="G4581" t="b">
        <v>1</v>
      </c>
      <c r="H4581">
        <v>1</v>
      </c>
      <c r="I4581">
        <v>2</v>
      </c>
      <c r="J4581">
        <v>0.2</v>
      </c>
      <c r="K4581">
        <v>0.21210000000000001</v>
      </c>
      <c r="L4581">
        <v>0.47</v>
      </c>
      <c r="M4581">
        <v>0.16420000000000001</v>
      </c>
      <c r="N4581">
        <v>6</v>
      </c>
      <c r="O4581">
        <v>76</v>
      </c>
      <c r="P4581">
        <v>82</v>
      </c>
      <c r="Q4581">
        <v>388</v>
      </c>
      <c r="R4581">
        <v>389</v>
      </c>
    </row>
    <row r="4582" spans="1:18" x14ac:dyDescent="0.25">
      <c r="A4582">
        <v>390</v>
      </c>
      <c r="B4582" s="1">
        <v>40560</v>
      </c>
      <c r="C4582">
        <v>1</v>
      </c>
      <c r="D4582">
        <v>0</v>
      </c>
      <c r="E4582">
        <v>1</v>
      </c>
      <c r="F4582">
        <v>17</v>
      </c>
      <c r="G4582" t="b">
        <v>1</v>
      </c>
      <c r="H4582">
        <v>1</v>
      </c>
      <c r="I4582">
        <v>1</v>
      </c>
      <c r="J4582">
        <v>0.2</v>
      </c>
      <c r="K4582">
        <v>0.19700000000000001</v>
      </c>
      <c r="L4582">
        <v>0.51</v>
      </c>
      <c r="M4582">
        <v>0.19400000000000001</v>
      </c>
      <c r="N4582">
        <v>4</v>
      </c>
      <c r="O4582">
        <v>67</v>
      </c>
      <c r="P4582">
        <v>71</v>
      </c>
      <c r="Q4582">
        <v>389</v>
      </c>
      <c r="R4582">
        <v>390</v>
      </c>
    </row>
    <row r="4583" spans="1:18" x14ac:dyDescent="0.25">
      <c r="A4583">
        <v>391</v>
      </c>
      <c r="B4583" s="1">
        <v>40560</v>
      </c>
      <c r="C4583">
        <v>1</v>
      </c>
      <c r="D4583">
        <v>0</v>
      </c>
      <c r="E4583">
        <v>1</v>
      </c>
      <c r="F4583">
        <v>18</v>
      </c>
      <c r="G4583" t="b">
        <v>1</v>
      </c>
      <c r="H4583">
        <v>1</v>
      </c>
      <c r="I4583">
        <v>2</v>
      </c>
      <c r="J4583">
        <v>0.18</v>
      </c>
      <c r="K4583">
        <v>0.16669999999999999</v>
      </c>
      <c r="L4583">
        <v>0.55000000000000004</v>
      </c>
      <c r="M4583">
        <v>0.25369999999999998</v>
      </c>
      <c r="N4583">
        <v>7</v>
      </c>
      <c r="O4583">
        <v>85</v>
      </c>
      <c r="P4583">
        <v>92</v>
      </c>
      <c r="Q4583">
        <v>390</v>
      </c>
      <c r="R4583">
        <v>391</v>
      </c>
    </row>
    <row r="4584" spans="1:18" x14ac:dyDescent="0.25">
      <c r="A4584">
        <v>392</v>
      </c>
      <c r="B4584" s="1">
        <v>40560</v>
      </c>
      <c r="C4584">
        <v>1</v>
      </c>
      <c r="D4584">
        <v>0</v>
      </c>
      <c r="E4584">
        <v>1</v>
      </c>
      <c r="F4584">
        <v>19</v>
      </c>
      <c r="G4584" t="b">
        <v>1</v>
      </c>
      <c r="H4584">
        <v>1</v>
      </c>
      <c r="I4584">
        <v>3</v>
      </c>
      <c r="J4584">
        <v>0.18</v>
      </c>
      <c r="K4584">
        <v>0.18179999999999999</v>
      </c>
      <c r="L4584">
        <v>0.59</v>
      </c>
      <c r="M4584">
        <v>0.19400000000000001</v>
      </c>
      <c r="N4584">
        <v>2</v>
      </c>
      <c r="O4584">
        <v>58</v>
      </c>
      <c r="P4584">
        <v>60</v>
      </c>
      <c r="Q4584">
        <v>391</v>
      </c>
      <c r="R4584">
        <v>392</v>
      </c>
    </row>
    <row r="4585" spans="1:18" x14ac:dyDescent="0.25">
      <c r="A4585">
        <v>393</v>
      </c>
      <c r="B4585" s="1">
        <v>40560</v>
      </c>
      <c r="C4585">
        <v>1</v>
      </c>
      <c r="D4585">
        <v>0</v>
      </c>
      <c r="E4585">
        <v>1</v>
      </c>
      <c r="F4585">
        <v>20</v>
      </c>
      <c r="G4585" t="b">
        <v>1</v>
      </c>
      <c r="H4585">
        <v>1</v>
      </c>
      <c r="I4585">
        <v>3</v>
      </c>
      <c r="J4585">
        <v>0.16</v>
      </c>
      <c r="K4585">
        <v>0.1515</v>
      </c>
      <c r="L4585">
        <v>0.8</v>
      </c>
      <c r="M4585">
        <v>0.19400000000000001</v>
      </c>
      <c r="N4585">
        <v>4</v>
      </c>
      <c r="O4585">
        <v>29</v>
      </c>
      <c r="P4585">
        <v>33</v>
      </c>
      <c r="Q4585">
        <v>392</v>
      </c>
      <c r="R4585">
        <v>393</v>
      </c>
    </row>
    <row r="4586" spans="1:18" x14ac:dyDescent="0.25">
      <c r="A4586">
        <v>394</v>
      </c>
      <c r="B4586" s="1">
        <v>40560</v>
      </c>
      <c r="C4586">
        <v>1</v>
      </c>
      <c r="D4586">
        <v>0</v>
      </c>
      <c r="E4586">
        <v>1</v>
      </c>
      <c r="F4586">
        <v>21</v>
      </c>
      <c r="G4586" t="b">
        <v>1</v>
      </c>
      <c r="H4586">
        <v>1</v>
      </c>
      <c r="I4586">
        <v>3</v>
      </c>
      <c r="J4586">
        <v>0.16</v>
      </c>
      <c r="K4586">
        <v>0.1515</v>
      </c>
      <c r="L4586">
        <v>0.8</v>
      </c>
      <c r="M4586">
        <v>0.19400000000000001</v>
      </c>
      <c r="N4586">
        <v>3</v>
      </c>
      <c r="O4586">
        <v>24</v>
      </c>
      <c r="P4586">
        <v>27</v>
      </c>
      <c r="Q4586">
        <v>393</v>
      </c>
      <c r="R4586">
        <v>394</v>
      </c>
    </row>
    <row r="4587" spans="1:18" x14ac:dyDescent="0.25">
      <c r="A4587">
        <v>395</v>
      </c>
      <c r="B4587" s="1">
        <v>40560</v>
      </c>
      <c r="C4587">
        <v>1</v>
      </c>
      <c r="D4587">
        <v>0</v>
      </c>
      <c r="E4587">
        <v>1</v>
      </c>
      <c r="F4587">
        <v>22</v>
      </c>
      <c r="G4587" t="b">
        <v>1</v>
      </c>
      <c r="H4587">
        <v>1</v>
      </c>
      <c r="I4587">
        <v>3</v>
      </c>
      <c r="J4587">
        <v>0.14000000000000001</v>
      </c>
      <c r="K4587">
        <v>0.1212</v>
      </c>
      <c r="L4587">
        <v>0.93</v>
      </c>
      <c r="M4587">
        <v>0.25369999999999998</v>
      </c>
      <c r="N4587">
        <v>0</v>
      </c>
      <c r="O4587">
        <v>13</v>
      </c>
      <c r="P4587">
        <v>13</v>
      </c>
      <c r="Q4587">
        <v>394</v>
      </c>
      <c r="R4587">
        <v>395</v>
      </c>
    </row>
    <row r="4588" spans="1:18" x14ac:dyDescent="0.25">
      <c r="A4588">
        <v>396</v>
      </c>
      <c r="B4588" s="1">
        <v>40560</v>
      </c>
      <c r="C4588">
        <v>1</v>
      </c>
      <c r="D4588">
        <v>0</v>
      </c>
      <c r="E4588">
        <v>1</v>
      </c>
      <c r="F4588">
        <v>23</v>
      </c>
      <c r="G4588" t="b">
        <v>1</v>
      </c>
      <c r="H4588">
        <v>1</v>
      </c>
      <c r="I4588">
        <v>3</v>
      </c>
      <c r="J4588">
        <v>0.16</v>
      </c>
      <c r="K4588">
        <v>0.13639999999999999</v>
      </c>
      <c r="L4588">
        <v>0.86</v>
      </c>
      <c r="M4588">
        <v>0.28360000000000002</v>
      </c>
      <c r="N4588">
        <v>1</v>
      </c>
      <c r="O4588">
        <v>3</v>
      </c>
      <c r="P4588">
        <v>4</v>
      </c>
      <c r="Q4588">
        <v>395</v>
      </c>
      <c r="R4588">
        <v>396</v>
      </c>
    </row>
    <row r="4589" spans="1:18" x14ac:dyDescent="0.25">
      <c r="A4589">
        <v>397</v>
      </c>
      <c r="B4589" s="1">
        <v>40561</v>
      </c>
      <c r="C4589">
        <v>1</v>
      </c>
      <c r="D4589">
        <v>0</v>
      </c>
      <c r="E4589">
        <v>1</v>
      </c>
      <c r="F4589">
        <v>12</v>
      </c>
      <c r="G4589" t="b">
        <v>0</v>
      </c>
      <c r="H4589">
        <v>2</v>
      </c>
      <c r="I4589">
        <v>2</v>
      </c>
      <c r="J4589">
        <v>0.2</v>
      </c>
      <c r="K4589">
        <v>0.18179999999999999</v>
      </c>
      <c r="L4589">
        <v>0.86</v>
      </c>
      <c r="M4589">
        <v>0.32840000000000003</v>
      </c>
      <c r="N4589">
        <v>0</v>
      </c>
      <c r="O4589">
        <v>3</v>
      </c>
      <c r="P4589">
        <v>3</v>
      </c>
      <c r="Q4589">
        <v>396</v>
      </c>
      <c r="R4589">
        <v>397</v>
      </c>
    </row>
    <row r="4590" spans="1:18" x14ac:dyDescent="0.25">
      <c r="A4590">
        <v>398</v>
      </c>
      <c r="B4590" s="1">
        <v>40561</v>
      </c>
      <c r="C4590">
        <v>1</v>
      </c>
      <c r="D4590">
        <v>0</v>
      </c>
      <c r="E4590">
        <v>1</v>
      </c>
      <c r="F4590">
        <v>13</v>
      </c>
      <c r="G4590" t="b">
        <v>0</v>
      </c>
      <c r="H4590">
        <v>2</v>
      </c>
      <c r="I4590">
        <v>2</v>
      </c>
      <c r="J4590">
        <v>0.2</v>
      </c>
      <c r="K4590">
        <v>0.19700000000000001</v>
      </c>
      <c r="L4590">
        <v>0.86</v>
      </c>
      <c r="M4590">
        <v>0.22389999999999999</v>
      </c>
      <c r="N4590">
        <v>0</v>
      </c>
      <c r="O4590">
        <v>22</v>
      </c>
      <c r="P4590">
        <v>22</v>
      </c>
      <c r="Q4590">
        <v>397</v>
      </c>
      <c r="R4590">
        <v>398</v>
      </c>
    </row>
    <row r="4591" spans="1:18" x14ac:dyDescent="0.25">
      <c r="A4591">
        <v>399</v>
      </c>
      <c r="B4591" s="1">
        <v>40561</v>
      </c>
      <c r="C4591">
        <v>1</v>
      </c>
      <c r="D4591">
        <v>0</v>
      </c>
      <c r="E4591">
        <v>1</v>
      </c>
      <c r="F4591">
        <v>14</v>
      </c>
      <c r="G4591" t="b">
        <v>0</v>
      </c>
      <c r="H4591">
        <v>2</v>
      </c>
      <c r="I4591">
        <v>2</v>
      </c>
      <c r="J4591">
        <v>0.22</v>
      </c>
      <c r="K4591">
        <v>0.2273</v>
      </c>
      <c r="L4591">
        <v>0.8</v>
      </c>
      <c r="M4591">
        <v>0.16420000000000001</v>
      </c>
      <c r="N4591">
        <v>2</v>
      </c>
      <c r="O4591">
        <v>26</v>
      </c>
      <c r="P4591">
        <v>28</v>
      </c>
      <c r="Q4591">
        <v>398</v>
      </c>
      <c r="R4591">
        <v>399</v>
      </c>
    </row>
    <row r="4592" spans="1:18" x14ac:dyDescent="0.25">
      <c r="A4592">
        <v>400</v>
      </c>
      <c r="B4592" s="1">
        <v>40561</v>
      </c>
      <c r="C4592">
        <v>1</v>
      </c>
      <c r="D4592">
        <v>0</v>
      </c>
      <c r="E4592">
        <v>1</v>
      </c>
      <c r="F4592">
        <v>15</v>
      </c>
      <c r="G4592" t="b">
        <v>0</v>
      </c>
      <c r="H4592">
        <v>2</v>
      </c>
      <c r="I4592">
        <v>2</v>
      </c>
      <c r="J4592">
        <v>0.22</v>
      </c>
      <c r="K4592">
        <v>0.2273</v>
      </c>
      <c r="L4592">
        <v>0.87</v>
      </c>
      <c r="M4592">
        <v>0.16420000000000001</v>
      </c>
      <c r="N4592">
        <v>3</v>
      </c>
      <c r="O4592">
        <v>32</v>
      </c>
      <c r="P4592">
        <v>35</v>
      </c>
      <c r="Q4592">
        <v>399</v>
      </c>
      <c r="R4592">
        <v>400</v>
      </c>
    </row>
    <row r="4593" spans="1:18" x14ac:dyDescent="0.25">
      <c r="A4593">
        <v>401</v>
      </c>
      <c r="B4593" s="1">
        <v>40561</v>
      </c>
      <c r="C4593">
        <v>1</v>
      </c>
      <c r="D4593">
        <v>0</v>
      </c>
      <c r="E4593">
        <v>1</v>
      </c>
      <c r="F4593">
        <v>16</v>
      </c>
      <c r="G4593" t="b">
        <v>0</v>
      </c>
      <c r="H4593">
        <v>2</v>
      </c>
      <c r="I4593">
        <v>2</v>
      </c>
      <c r="J4593">
        <v>0.22</v>
      </c>
      <c r="K4593">
        <v>0.2273</v>
      </c>
      <c r="L4593">
        <v>0.87</v>
      </c>
      <c r="M4593">
        <v>0.19400000000000001</v>
      </c>
      <c r="N4593">
        <v>0</v>
      </c>
      <c r="O4593">
        <v>61</v>
      </c>
      <c r="P4593">
        <v>61</v>
      </c>
      <c r="Q4593">
        <v>400</v>
      </c>
      <c r="R4593">
        <v>401</v>
      </c>
    </row>
    <row r="4594" spans="1:18" x14ac:dyDescent="0.25">
      <c r="A4594">
        <v>402</v>
      </c>
      <c r="B4594" s="1">
        <v>40561</v>
      </c>
      <c r="C4594">
        <v>1</v>
      </c>
      <c r="D4594">
        <v>0</v>
      </c>
      <c r="E4594">
        <v>1</v>
      </c>
      <c r="F4594">
        <v>17</v>
      </c>
      <c r="G4594" t="b">
        <v>0</v>
      </c>
      <c r="H4594">
        <v>2</v>
      </c>
      <c r="I4594">
        <v>2</v>
      </c>
      <c r="J4594">
        <v>0.22</v>
      </c>
      <c r="K4594">
        <v>0.2273</v>
      </c>
      <c r="L4594">
        <v>0.82</v>
      </c>
      <c r="M4594">
        <v>0.19400000000000001</v>
      </c>
      <c r="N4594">
        <v>1</v>
      </c>
      <c r="O4594">
        <v>124</v>
      </c>
      <c r="P4594">
        <v>125</v>
      </c>
      <c r="Q4594">
        <v>401</v>
      </c>
      <c r="R4594">
        <v>402</v>
      </c>
    </row>
    <row r="4595" spans="1:18" x14ac:dyDescent="0.25">
      <c r="A4595">
        <v>403</v>
      </c>
      <c r="B4595" s="1">
        <v>40561</v>
      </c>
      <c r="C4595">
        <v>1</v>
      </c>
      <c r="D4595">
        <v>0</v>
      </c>
      <c r="E4595">
        <v>1</v>
      </c>
      <c r="F4595">
        <v>18</v>
      </c>
      <c r="G4595" t="b">
        <v>0</v>
      </c>
      <c r="H4595">
        <v>2</v>
      </c>
      <c r="I4595">
        <v>2</v>
      </c>
      <c r="J4595">
        <v>0.22</v>
      </c>
      <c r="K4595">
        <v>0.2273</v>
      </c>
      <c r="L4595">
        <v>0.8</v>
      </c>
      <c r="M4595">
        <v>0.16420000000000001</v>
      </c>
      <c r="N4595">
        <v>1</v>
      </c>
      <c r="O4595">
        <v>132</v>
      </c>
      <c r="P4595">
        <v>133</v>
      </c>
      <c r="Q4595">
        <v>402</v>
      </c>
      <c r="R4595">
        <v>403</v>
      </c>
    </row>
    <row r="4596" spans="1:18" x14ac:dyDescent="0.25">
      <c r="A4596">
        <v>404</v>
      </c>
      <c r="B4596" s="1">
        <v>40561</v>
      </c>
      <c r="C4596">
        <v>1</v>
      </c>
      <c r="D4596">
        <v>0</v>
      </c>
      <c r="E4596">
        <v>1</v>
      </c>
      <c r="F4596">
        <v>19</v>
      </c>
      <c r="G4596" t="b">
        <v>0</v>
      </c>
      <c r="H4596">
        <v>2</v>
      </c>
      <c r="I4596">
        <v>2</v>
      </c>
      <c r="J4596">
        <v>0.22</v>
      </c>
      <c r="K4596">
        <v>0.2273</v>
      </c>
      <c r="L4596">
        <v>0.8</v>
      </c>
      <c r="M4596">
        <v>0.1343</v>
      </c>
      <c r="N4596">
        <v>1</v>
      </c>
      <c r="O4596">
        <v>98</v>
      </c>
      <c r="P4596">
        <v>99</v>
      </c>
      <c r="Q4596">
        <v>403</v>
      </c>
      <c r="R4596">
        <v>404</v>
      </c>
    </row>
    <row r="4597" spans="1:18" x14ac:dyDescent="0.25">
      <c r="A4597">
        <v>405</v>
      </c>
      <c r="B4597" s="1">
        <v>40561</v>
      </c>
      <c r="C4597">
        <v>1</v>
      </c>
      <c r="D4597">
        <v>0</v>
      </c>
      <c r="E4597">
        <v>1</v>
      </c>
      <c r="F4597">
        <v>20</v>
      </c>
      <c r="G4597" t="b">
        <v>0</v>
      </c>
      <c r="H4597">
        <v>2</v>
      </c>
      <c r="I4597">
        <v>2</v>
      </c>
      <c r="J4597">
        <v>0.22</v>
      </c>
      <c r="K4597">
        <v>0.2727</v>
      </c>
      <c r="L4597">
        <v>0.87</v>
      </c>
      <c r="M4597">
        <v>0</v>
      </c>
      <c r="N4597">
        <v>0</v>
      </c>
      <c r="O4597">
        <v>83</v>
      </c>
      <c r="P4597">
        <v>83</v>
      </c>
      <c r="Q4597">
        <v>404</v>
      </c>
      <c r="R4597">
        <v>405</v>
      </c>
    </row>
    <row r="4598" spans="1:18" x14ac:dyDescent="0.25">
      <c r="A4598">
        <v>406</v>
      </c>
      <c r="B4598" s="1">
        <v>40561</v>
      </c>
      <c r="C4598">
        <v>1</v>
      </c>
      <c r="D4598">
        <v>0</v>
      </c>
      <c r="E4598">
        <v>1</v>
      </c>
      <c r="F4598">
        <v>21</v>
      </c>
      <c r="G4598" t="b">
        <v>0</v>
      </c>
      <c r="H4598">
        <v>2</v>
      </c>
      <c r="I4598">
        <v>2</v>
      </c>
      <c r="J4598">
        <v>0.22</v>
      </c>
      <c r="K4598">
        <v>0.2424</v>
      </c>
      <c r="L4598">
        <v>0.93</v>
      </c>
      <c r="M4598">
        <v>0.1045</v>
      </c>
      <c r="N4598">
        <v>0</v>
      </c>
      <c r="O4598">
        <v>41</v>
      </c>
      <c r="P4598">
        <v>41</v>
      </c>
      <c r="Q4598">
        <v>405</v>
      </c>
      <c r="R4598">
        <v>406</v>
      </c>
    </row>
    <row r="4599" spans="1:18" x14ac:dyDescent="0.25">
      <c r="A4599">
        <v>407</v>
      </c>
      <c r="B4599" s="1">
        <v>40561</v>
      </c>
      <c r="C4599">
        <v>1</v>
      </c>
      <c r="D4599">
        <v>0</v>
      </c>
      <c r="E4599">
        <v>1</v>
      </c>
      <c r="F4599">
        <v>22</v>
      </c>
      <c r="G4599" t="b">
        <v>0</v>
      </c>
      <c r="H4599">
        <v>2</v>
      </c>
      <c r="I4599">
        <v>2</v>
      </c>
      <c r="J4599">
        <v>0.22</v>
      </c>
      <c r="K4599">
        <v>0.2576</v>
      </c>
      <c r="L4599">
        <v>0.93</v>
      </c>
      <c r="M4599">
        <v>8.9599999999999999E-2</v>
      </c>
      <c r="N4599">
        <v>0</v>
      </c>
      <c r="O4599">
        <v>33</v>
      </c>
      <c r="P4599">
        <v>33</v>
      </c>
      <c r="Q4599">
        <v>406</v>
      </c>
      <c r="R4599">
        <v>407</v>
      </c>
    </row>
    <row r="4600" spans="1:18" x14ac:dyDescent="0.25">
      <c r="A4600">
        <v>408</v>
      </c>
      <c r="B4600" s="1">
        <v>40561</v>
      </c>
      <c r="C4600">
        <v>1</v>
      </c>
      <c r="D4600">
        <v>0</v>
      </c>
      <c r="E4600">
        <v>1</v>
      </c>
      <c r="F4600">
        <v>23</v>
      </c>
      <c r="G4600" t="b">
        <v>0</v>
      </c>
      <c r="H4600">
        <v>2</v>
      </c>
      <c r="I4600">
        <v>2</v>
      </c>
      <c r="J4600">
        <v>0.22</v>
      </c>
      <c r="K4600">
        <v>0.2727</v>
      </c>
      <c r="L4600">
        <v>0.93</v>
      </c>
      <c r="M4600">
        <v>0</v>
      </c>
      <c r="N4600">
        <v>1</v>
      </c>
      <c r="O4600">
        <v>19</v>
      </c>
      <c r="P4600">
        <v>20</v>
      </c>
      <c r="Q4600">
        <v>407</v>
      </c>
      <c r="R4600">
        <v>408</v>
      </c>
    </row>
    <row r="4601" spans="1:18" x14ac:dyDescent="0.25">
      <c r="A4601">
        <v>409</v>
      </c>
      <c r="B4601" s="1">
        <v>40562</v>
      </c>
      <c r="C4601">
        <v>1</v>
      </c>
      <c r="D4601">
        <v>0</v>
      </c>
      <c r="E4601">
        <v>1</v>
      </c>
      <c r="F4601">
        <v>0</v>
      </c>
      <c r="G4601" t="b">
        <v>0</v>
      </c>
      <c r="H4601">
        <v>3</v>
      </c>
      <c r="I4601">
        <v>2</v>
      </c>
      <c r="J4601">
        <v>0.22</v>
      </c>
      <c r="K4601">
        <v>0.2727</v>
      </c>
      <c r="L4601">
        <v>0.93</v>
      </c>
      <c r="M4601">
        <v>0</v>
      </c>
      <c r="N4601">
        <v>0</v>
      </c>
      <c r="O4601">
        <v>3</v>
      </c>
      <c r="P4601">
        <v>3</v>
      </c>
      <c r="Q4601">
        <v>408</v>
      </c>
      <c r="R4601">
        <v>409</v>
      </c>
    </row>
    <row r="4602" spans="1:18" x14ac:dyDescent="0.25">
      <c r="A4602">
        <v>410</v>
      </c>
      <c r="B4602" s="1">
        <v>40562</v>
      </c>
      <c r="C4602">
        <v>1</v>
      </c>
      <c r="D4602">
        <v>0</v>
      </c>
      <c r="E4602">
        <v>1</v>
      </c>
      <c r="F4602">
        <v>1</v>
      </c>
      <c r="G4602" t="b">
        <v>0</v>
      </c>
      <c r="H4602">
        <v>3</v>
      </c>
      <c r="I4602">
        <v>3</v>
      </c>
      <c r="J4602">
        <v>0.22</v>
      </c>
      <c r="K4602">
        <v>0.2273</v>
      </c>
      <c r="L4602">
        <v>0.93</v>
      </c>
      <c r="M4602">
        <v>0.1343</v>
      </c>
      <c r="N4602">
        <v>1</v>
      </c>
      <c r="O4602">
        <v>6</v>
      </c>
      <c r="P4602">
        <v>7</v>
      </c>
      <c r="Q4602">
        <v>409</v>
      </c>
      <c r="R4602">
        <v>410</v>
      </c>
    </row>
    <row r="4603" spans="1:18" x14ac:dyDescent="0.25">
      <c r="A4603">
        <v>411</v>
      </c>
      <c r="B4603" s="1">
        <v>40562</v>
      </c>
      <c r="C4603">
        <v>1</v>
      </c>
      <c r="D4603">
        <v>0</v>
      </c>
      <c r="E4603">
        <v>1</v>
      </c>
      <c r="F4603">
        <v>2</v>
      </c>
      <c r="G4603" t="b">
        <v>0</v>
      </c>
      <c r="H4603">
        <v>3</v>
      </c>
      <c r="I4603">
        <v>3</v>
      </c>
      <c r="J4603">
        <v>0.22</v>
      </c>
      <c r="K4603">
        <v>0.2273</v>
      </c>
      <c r="L4603">
        <v>0.93</v>
      </c>
      <c r="M4603">
        <v>0.1343</v>
      </c>
      <c r="N4603">
        <v>0</v>
      </c>
      <c r="O4603">
        <v>3</v>
      </c>
      <c r="P4603">
        <v>3</v>
      </c>
      <c r="Q4603">
        <v>410</v>
      </c>
      <c r="R4603">
        <v>411</v>
      </c>
    </row>
    <row r="4604" spans="1:18" x14ac:dyDescent="0.25">
      <c r="A4604">
        <v>412</v>
      </c>
      <c r="B4604" s="1">
        <v>40562</v>
      </c>
      <c r="C4604">
        <v>1</v>
      </c>
      <c r="D4604">
        <v>0</v>
      </c>
      <c r="E4604">
        <v>1</v>
      </c>
      <c r="F4604">
        <v>4</v>
      </c>
      <c r="G4604" t="b">
        <v>0</v>
      </c>
      <c r="H4604">
        <v>3</v>
      </c>
      <c r="I4604">
        <v>3</v>
      </c>
      <c r="J4604">
        <v>0.22</v>
      </c>
      <c r="K4604">
        <v>0.2273</v>
      </c>
      <c r="L4604">
        <v>0.93</v>
      </c>
      <c r="M4604">
        <v>0.1343</v>
      </c>
      <c r="N4604">
        <v>1</v>
      </c>
      <c r="O4604">
        <v>1</v>
      </c>
      <c r="P4604">
        <v>2</v>
      </c>
      <c r="Q4604">
        <v>411</v>
      </c>
      <c r="R4604">
        <v>412</v>
      </c>
    </row>
    <row r="4605" spans="1:18" x14ac:dyDescent="0.25">
      <c r="A4605">
        <v>413</v>
      </c>
      <c r="B4605" s="1">
        <v>40562</v>
      </c>
      <c r="C4605">
        <v>1</v>
      </c>
      <c r="D4605">
        <v>0</v>
      </c>
      <c r="E4605">
        <v>1</v>
      </c>
      <c r="F4605">
        <v>5</v>
      </c>
      <c r="G4605" t="b">
        <v>0</v>
      </c>
      <c r="H4605">
        <v>3</v>
      </c>
      <c r="I4605">
        <v>2</v>
      </c>
      <c r="J4605">
        <v>0.22</v>
      </c>
      <c r="K4605">
        <v>0.2576</v>
      </c>
      <c r="L4605">
        <v>0.93</v>
      </c>
      <c r="M4605">
        <v>8.9599999999999999E-2</v>
      </c>
      <c r="N4605">
        <v>0</v>
      </c>
      <c r="O4605">
        <v>7</v>
      </c>
      <c r="P4605">
        <v>7</v>
      </c>
      <c r="Q4605">
        <v>412</v>
      </c>
      <c r="R4605">
        <v>413</v>
      </c>
    </row>
    <row r="4606" spans="1:18" x14ac:dyDescent="0.25">
      <c r="A4606">
        <v>414</v>
      </c>
      <c r="B4606" s="1">
        <v>40562</v>
      </c>
      <c r="C4606">
        <v>1</v>
      </c>
      <c r="D4606">
        <v>0</v>
      </c>
      <c r="E4606">
        <v>1</v>
      </c>
      <c r="F4606">
        <v>6</v>
      </c>
      <c r="G4606" t="b">
        <v>0</v>
      </c>
      <c r="H4606">
        <v>3</v>
      </c>
      <c r="I4606">
        <v>2</v>
      </c>
      <c r="J4606">
        <v>0.22</v>
      </c>
      <c r="K4606">
        <v>0.2576</v>
      </c>
      <c r="L4606">
        <v>0.93</v>
      </c>
      <c r="M4606">
        <v>8.9599999999999999E-2</v>
      </c>
      <c r="N4606">
        <v>0</v>
      </c>
      <c r="O4606">
        <v>32</v>
      </c>
      <c r="P4606">
        <v>32</v>
      </c>
      <c r="Q4606">
        <v>413</v>
      </c>
      <c r="R4606">
        <v>414</v>
      </c>
    </row>
    <row r="4607" spans="1:18" x14ac:dyDescent="0.25">
      <c r="A4607">
        <v>415</v>
      </c>
      <c r="B4607" s="1">
        <v>40562</v>
      </c>
      <c r="C4607">
        <v>1</v>
      </c>
      <c r="D4607">
        <v>0</v>
      </c>
      <c r="E4607">
        <v>1</v>
      </c>
      <c r="F4607">
        <v>7</v>
      </c>
      <c r="G4607" t="b">
        <v>0</v>
      </c>
      <c r="H4607">
        <v>3</v>
      </c>
      <c r="I4607">
        <v>2</v>
      </c>
      <c r="J4607">
        <v>0.24</v>
      </c>
      <c r="K4607">
        <v>0.2576</v>
      </c>
      <c r="L4607">
        <v>0.92</v>
      </c>
      <c r="M4607">
        <v>0.1045</v>
      </c>
      <c r="N4607">
        <v>1</v>
      </c>
      <c r="O4607">
        <v>89</v>
      </c>
      <c r="P4607">
        <v>90</v>
      </c>
      <c r="Q4607">
        <v>414</v>
      </c>
      <c r="R4607">
        <v>415</v>
      </c>
    </row>
    <row r="4608" spans="1:18" x14ac:dyDescent="0.25">
      <c r="A4608">
        <v>416</v>
      </c>
      <c r="B4608" s="1">
        <v>40562</v>
      </c>
      <c r="C4608">
        <v>1</v>
      </c>
      <c r="D4608">
        <v>0</v>
      </c>
      <c r="E4608">
        <v>1</v>
      </c>
      <c r="F4608">
        <v>8</v>
      </c>
      <c r="G4608" t="b">
        <v>0</v>
      </c>
      <c r="H4608">
        <v>3</v>
      </c>
      <c r="I4608">
        <v>2</v>
      </c>
      <c r="J4608">
        <v>0.24</v>
      </c>
      <c r="K4608">
        <v>0.2576</v>
      </c>
      <c r="L4608">
        <v>0.93</v>
      </c>
      <c r="M4608">
        <v>0.1045</v>
      </c>
      <c r="N4608">
        <v>1</v>
      </c>
      <c r="O4608">
        <v>196</v>
      </c>
      <c r="P4608">
        <v>197</v>
      </c>
      <c r="Q4608">
        <v>415</v>
      </c>
      <c r="R4608">
        <v>416</v>
      </c>
    </row>
    <row r="4609" spans="1:18" x14ac:dyDescent="0.25">
      <c r="A4609">
        <v>417</v>
      </c>
      <c r="B4609" s="1">
        <v>40562</v>
      </c>
      <c r="C4609">
        <v>1</v>
      </c>
      <c r="D4609">
        <v>0</v>
      </c>
      <c r="E4609">
        <v>1</v>
      </c>
      <c r="F4609">
        <v>9</v>
      </c>
      <c r="G4609" t="b">
        <v>0</v>
      </c>
      <c r="H4609">
        <v>3</v>
      </c>
      <c r="I4609">
        <v>2</v>
      </c>
      <c r="J4609">
        <v>0.24</v>
      </c>
      <c r="K4609">
        <v>0.2576</v>
      </c>
      <c r="L4609">
        <v>0.93</v>
      </c>
      <c r="M4609">
        <v>0.1045</v>
      </c>
      <c r="N4609">
        <v>2</v>
      </c>
      <c r="O4609">
        <v>107</v>
      </c>
      <c r="P4609">
        <v>109</v>
      </c>
      <c r="Q4609">
        <v>416</v>
      </c>
      <c r="R4609">
        <v>417</v>
      </c>
    </row>
    <row r="4610" spans="1:18" x14ac:dyDescent="0.25">
      <c r="A4610">
        <v>418</v>
      </c>
      <c r="B4610" s="1">
        <v>40562</v>
      </c>
      <c r="C4610">
        <v>1</v>
      </c>
      <c r="D4610">
        <v>0</v>
      </c>
      <c r="E4610">
        <v>1</v>
      </c>
      <c r="F4610">
        <v>10</v>
      </c>
      <c r="G4610" t="b">
        <v>0</v>
      </c>
      <c r="H4610">
        <v>3</v>
      </c>
      <c r="I4610">
        <v>2</v>
      </c>
      <c r="J4610">
        <v>0.26</v>
      </c>
      <c r="K4610">
        <v>0.2727</v>
      </c>
      <c r="L4610">
        <v>0.93</v>
      </c>
      <c r="M4610">
        <v>0.1343</v>
      </c>
      <c r="N4610">
        <v>1</v>
      </c>
      <c r="O4610">
        <v>46</v>
      </c>
      <c r="P4610">
        <v>47</v>
      </c>
      <c r="Q4610">
        <v>417</v>
      </c>
      <c r="R4610">
        <v>418</v>
      </c>
    </row>
    <row r="4611" spans="1:18" x14ac:dyDescent="0.25">
      <c r="A4611">
        <v>419</v>
      </c>
      <c r="B4611" s="1">
        <v>40562</v>
      </c>
      <c r="C4611">
        <v>1</v>
      </c>
      <c r="D4611">
        <v>0</v>
      </c>
      <c r="E4611">
        <v>1</v>
      </c>
      <c r="F4611">
        <v>11</v>
      </c>
      <c r="G4611" t="b">
        <v>0</v>
      </c>
      <c r="H4611">
        <v>3</v>
      </c>
      <c r="I4611">
        <v>2</v>
      </c>
      <c r="J4611">
        <v>0.28000000000000003</v>
      </c>
      <c r="K4611">
        <v>0.30299999999999999</v>
      </c>
      <c r="L4611">
        <v>0.87</v>
      </c>
      <c r="M4611">
        <v>8.9599999999999999E-2</v>
      </c>
      <c r="N4611">
        <v>5</v>
      </c>
      <c r="O4611">
        <v>47</v>
      </c>
      <c r="P4611">
        <v>52</v>
      </c>
      <c r="Q4611">
        <v>418</v>
      </c>
      <c r="R4611">
        <v>419</v>
      </c>
    </row>
    <row r="4612" spans="1:18" x14ac:dyDescent="0.25">
      <c r="A4612">
        <v>420</v>
      </c>
      <c r="B4612" s="1">
        <v>40562</v>
      </c>
      <c r="C4612">
        <v>1</v>
      </c>
      <c r="D4612">
        <v>0</v>
      </c>
      <c r="E4612">
        <v>1</v>
      </c>
      <c r="F4612">
        <v>12</v>
      </c>
      <c r="G4612" t="b">
        <v>0</v>
      </c>
      <c r="H4612">
        <v>3</v>
      </c>
      <c r="I4612">
        <v>2</v>
      </c>
      <c r="J4612">
        <v>0.3</v>
      </c>
      <c r="K4612">
        <v>0.31819999999999998</v>
      </c>
      <c r="L4612">
        <v>0.81</v>
      </c>
      <c r="M4612">
        <v>8.9599999999999999E-2</v>
      </c>
      <c r="N4612">
        <v>5</v>
      </c>
      <c r="O4612">
        <v>65</v>
      </c>
      <c r="P4612">
        <v>70</v>
      </c>
      <c r="Q4612">
        <v>419</v>
      </c>
      <c r="R4612">
        <v>420</v>
      </c>
    </row>
    <row r="4613" spans="1:18" x14ac:dyDescent="0.25">
      <c r="A4613">
        <v>421</v>
      </c>
      <c r="B4613" s="1">
        <v>40562</v>
      </c>
      <c r="C4613">
        <v>1</v>
      </c>
      <c r="D4613">
        <v>0</v>
      </c>
      <c r="E4613">
        <v>1</v>
      </c>
      <c r="F4613">
        <v>13</v>
      </c>
      <c r="G4613" t="b">
        <v>0</v>
      </c>
      <c r="H4613">
        <v>3</v>
      </c>
      <c r="I4613">
        <v>1</v>
      </c>
      <c r="J4613">
        <v>0.4</v>
      </c>
      <c r="K4613">
        <v>0.40910000000000002</v>
      </c>
      <c r="L4613">
        <v>0.62</v>
      </c>
      <c r="M4613">
        <v>0.28360000000000002</v>
      </c>
      <c r="N4613">
        <v>11</v>
      </c>
      <c r="O4613">
        <v>67</v>
      </c>
      <c r="P4613">
        <v>78</v>
      </c>
      <c r="Q4613">
        <v>420</v>
      </c>
      <c r="R4613">
        <v>421</v>
      </c>
    </row>
    <row r="4614" spans="1:18" x14ac:dyDescent="0.25">
      <c r="A4614">
        <v>422</v>
      </c>
      <c r="B4614" s="1">
        <v>40562</v>
      </c>
      <c r="C4614">
        <v>1</v>
      </c>
      <c r="D4614">
        <v>0</v>
      </c>
      <c r="E4614">
        <v>1</v>
      </c>
      <c r="F4614">
        <v>14</v>
      </c>
      <c r="G4614" t="b">
        <v>0</v>
      </c>
      <c r="H4614">
        <v>3</v>
      </c>
      <c r="I4614">
        <v>1</v>
      </c>
      <c r="J4614">
        <v>0.4</v>
      </c>
      <c r="K4614">
        <v>0.40910000000000002</v>
      </c>
      <c r="L4614">
        <v>0.57999999999999996</v>
      </c>
      <c r="M4614">
        <v>0.25369999999999998</v>
      </c>
      <c r="N4614">
        <v>7</v>
      </c>
      <c r="O4614">
        <v>68</v>
      </c>
      <c r="P4614">
        <v>75</v>
      </c>
      <c r="Q4614">
        <v>421</v>
      </c>
      <c r="R4614">
        <v>422</v>
      </c>
    </row>
    <row r="4615" spans="1:18" x14ac:dyDescent="0.25">
      <c r="A4615">
        <v>423</v>
      </c>
      <c r="B4615" s="1">
        <v>40562</v>
      </c>
      <c r="C4615">
        <v>1</v>
      </c>
      <c r="D4615">
        <v>0</v>
      </c>
      <c r="E4615">
        <v>1</v>
      </c>
      <c r="F4615">
        <v>15</v>
      </c>
      <c r="G4615" t="b">
        <v>0</v>
      </c>
      <c r="H4615">
        <v>3</v>
      </c>
      <c r="I4615">
        <v>1</v>
      </c>
      <c r="J4615">
        <v>0.4</v>
      </c>
      <c r="K4615">
        <v>0.40910000000000002</v>
      </c>
      <c r="L4615">
        <v>0.54</v>
      </c>
      <c r="M4615">
        <v>0.28360000000000002</v>
      </c>
      <c r="N4615">
        <v>4</v>
      </c>
      <c r="O4615">
        <v>78</v>
      </c>
      <c r="P4615">
        <v>82</v>
      </c>
      <c r="Q4615">
        <v>422</v>
      </c>
      <c r="R4615">
        <v>423</v>
      </c>
    </row>
    <row r="4616" spans="1:18" x14ac:dyDescent="0.25">
      <c r="A4616">
        <v>424</v>
      </c>
      <c r="B4616" s="1">
        <v>40562</v>
      </c>
      <c r="C4616">
        <v>1</v>
      </c>
      <c r="D4616">
        <v>0</v>
      </c>
      <c r="E4616">
        <v>1</v>
      </c>
      <c r="F4616">
        <v>16</v>
      </c>
      <c r="G4616" t="b">
        <v>0</v>
      </c>
      <c r="H4616">
        <v>3</v>
      </c>
      <c r="I4616">
        <v>1</v>
      </c>
      <c r="J4616">
        <v>0.38</v>
      </c>
      <c r="K4616">
        <v>0.39389999999999997</v>
      </c>
      <c r="L4616">
        <v>0.57999999999999996</v>
      </c>
      <c r="M4616">
        <v>0.3881</v>
      </c>
      <c r="N4616">
        <v>10</v>
      </c>
      <c r="O4616">
        <v>94</v>
      </c>
      <c r="P4616">
        <v>104</v>
      </c>
      <c r="Q4616">
        <v>423</v>
      </c>
      <c r="R4616">
        <v>424</v>
      </c>
    </row>
    <row r="4617" spans="1:18" x14ac:dyDescent="0.25">
      <c r="A4617">
        <v>425</v>
      </c>
      <c r="B4617" s="1">
        <v>40562</v>
      </c>
      <c r="C4617">
        <v>1</v>
      </c>
      <c r="D4617">
        <v>0</v>
      </c>
      <c r="E4617">
        <v>1</v>
      </c>
      <c r="F4617">
        <v>17</v>
      </c>
      <c r="G4617" t="b">
        <v>0</v>
      </c>
      <c r="H4617">
        <v>3</v>
      </c>
      <c r="I4617">
        <v>1</v>
      </c>
      <c r="J4617">
        <v>0.36</v>
      </c>
      <c r="K4617">
        <v>0.33329999999999999</v>
      </c>
      <c r="L4617">
        <v>0.56999999999999995</v>
      </c>
      <c r="M4617">
        <v>0.32840000000000003</v>
      </c>
      <c r="N4617">
        <v>7</v>
      </c>
      <c r="O4617">
        <v>190</v>
      </c>
      <c r="P4617">
        <v>197</v>
      </c>
      <c r="Q4617">
        <v>424</v>
      </c>
      <c r="R4617">
        <v>425</v>
      </c>
    </row>
    <row r="4618" spans="1:18" x14ac:dyDescent="0.25">
      <c r="A4618">
        <v>426</v>
      </c>
      <c r="B4618" s="1">
        <v>40562</v>
      </c>
      <c r="C4618">
        <v>1</v>
      </c>
      <c r="D4618">
        <v>0</v>
      </c>
      <c r="E4618">
        <v>1</v>
      </c>
      <c r="F4618">
        <v>18</v>
      </c>
      <c r="G4618" t="b">
        <v>0</v>
      </c>
      <c r="H4618">
        <v>3</v>
      </c>
      <c r="I4618">
        <v>1</v>
      </c>
      <c r="J4618">
        <v>0.34</v>
      </c>
      <c r="K4618">
        <v>0.31819999999999998</v>
      </c>
      <c r="L4618">
        <v>0.61</v>
      </c>
      <c r="M4618">
        <v>0.28360000000000002</v>
      </c>
      <c r="N4618">
        <v>5</v>
      </c>
      <c r="O4618">
        <v>156</v>
      </c>
      <c r="P4618">
        <v>161</v>
      </c>
      <c r="Q4618">
        <v>425</v>
      </c>
      <c r="R4618">
        <v>426</v>
      </c>
    </row>
    <row r="4619" spans="1:18" x14ac:dyDescent="0.25">
      <c r="A4619">
        <v>427</v>
      </c>
      <c r="B4619" s="1">
        <v>40562</v>
      </c>
      <c r="C4619">
        <v>1</v>
      </c>
      <c r="D4619">
        <v>0</v>
      </c>
      <c r="E4619">
        <v>1</v>
      </c>
      <c r="F4619">
        <v>19</v>
      </c>
      <c r="G4619" t="b">
        <v>0</v>
      </c>
      <c r="H4619">
        <v>3</v>
      </c>
      <c r="I4619">
        <v>1</v>
      </c>
      <c r="J4619">
        <v>0.32</v>
      </c>
      <c r="K4619">
        <v>0.28789999999999999</v>
      </c>
      <c r="L4619">
        <v>0.56999999999999995</v>
      </c>
      <c r="M4619">
        <v>0.41789999999999999</v>
      </c>
      <c r="N4619">
        <v>4</v>
      </c>
      <c r="O4619">
        <v>108</v>
      </c>
      <c r="P4619">
        <v>112</v>
      </c>
      <c r="Q4619">
        <v>426</v>
      </c>
      <c r="R4619">
        <v>427</v>
      </c>
    </row>
    <row r="4620" spans="1:18" x14ac:dyDescent="0.25">
      <c r="A4620">
        <v>428</v>
      </c>
      <c r="B4620" s="1">
        <v>40562</v>
      </c>
      <c r="C4620">
        <v>1</v>
      </c>
      <c r="D4620">
        <v>0</v>
      </c>
      <c r="E4620">
        <v>1</v>
      </c>
      <c r="F4620">
        <v>20</v>
      </c>
      <c r="G4620" t="b">
        <v>0</v>
      </c>
      <c r="H4620">
        <v>3</v>
      </c>
      <c r="I4620">
        <v>1</v>
      </c>
      <c r="J4620">
        <v>0.32</v>
      </c>
      <c r="K4620">
        <v>0.30299999999999999</v>
      </c>
      <c r="L4620">
        <v>0.49</v>
      </c>
      <c r="M4620">
        <v>0.29849999999999999</v>
      </c>
      <c r="N4620">
        <v>2</v>
      </c>
      <c r="O4620">
        <v>74</v>
      </c>
      <c r="P4620">
        <v>76</v>
      </c>
      <c r="Q4620">
        <v>427</v>
      </c>
      <c r="R4620">
        <v>428</v>
      </c>
    </row>
    <row r="4621" spans="1:18" x14ac:dyDescent="0.25">
      <c r="A4621">
        <v>429</v>
      </c>
      <c r="B4621" s="1">
        <v>40562</v>
      </c>
      <c r="C4621">
        <v>1</v>
      </c>
      <c r="D4621">
        <v>0</v>
      </c>
      <c r="E4621">
        <v>1</v>
      </c>
      <c r="F4621">
        <v>21</v>
      </c>
      <c r="G4621" t="b">
        <v>0</v>
      </c>
      <c r="H4621">
        <v>3</v>
      </c>
      <c r="I4621">
        <v>1</v>
      </c>
      <c r="J4621">
        <v>0.32</v>
      </c>
      <c r="K4621">
        <v>0.28789999999999999</v>
      </c>
      <c r="L4621">
        <v>0.49</v>
      </c>
      <c r="M4621">
        <v>0.41789999999999999</v>
      </c>
      <c r="N4621">
        <v>4</v>
      </c>
      <c r="O4621">
        <v>55</v>
      </c>
      <c r="P4621">
        <v>59</v>
      </c>
      <c r="Q4621">
        <v>428</v>
      </c>
      <c r="R4621">
        <v>429</v>
      </c>
    </row>
    <row r="4622" spans="1:18" x14ac:dyDescent="0.25">
      <c r="A4622">
        <v>430</v>
      </c>
      <c r="B4622" s="1">
        <v>40562</v>
      </c>
      <c r="C4622">
        <v>1</v>
      </c>
      <c r="D4622">
        <v>0</v>
      </c>
      <c r="E4622">
        <v>1</v>
      </c>
      <c r="F4622">
        <v>22</v>
      </c>
      <c r="G4622" t="b">
        <v>0</v>
      </c>
      <c r="H4622">
        <v>3</v>
      </c>
      <c r="I4622">
        <v>1</v>
      </c>
      <c r="J4622">
        <v>0.3</v>
      </c>
      <c r="K4622">
        <v>0.30299999999999999</v>
      </c>
      <c r="L4622">
        <v>0.52</v>
      </c>
      <c r="M4622">
        <v>0.16420000000000001</v>
      </c>
      <c r="N4622">
        <v>6</v>
      </c>
      <c r="O4622">
        <v>53</v>
      </c>
      <c r="P4622">
        <v>59</v>
      </c>
      <c r="Q4622">
        <v>429</v>
      </c>
      <c r="R4622">
        <v>430</v>
      </c>
    </row>
    <row r="4623" spans="1:18" x14ac:dyDescent="0.25">
      <c r="A4623">
        <v>431</v>
      </c>
      <c r="B4623" s="1">
        <v>40562</v>
      </c>
      <c r="C4623">
        <v>1</v>
      </c>
      <c r="D4623">
        <v>0</v>
      </c>
      <c r="E4623">
        <v>1</v>
      </c>
      <c r="F4623">
        <v>23</v>
      </c>
      <c r="G4623" t="b">
        <v>0</v>
      </c>
      <c r="H4623">
        <v>3</v>
      </c>
      <c r="I4623">
        <v>1</v>
      </c>
      <c r="J4623">
        <v>0.3</v>
      </c>
      <c r="K4623">
        <v>0.2727</v>
      </c>
      <c r="L4623">
        <v>0.52</v>
      </c>
      <c r="M4623">
        <v>0.4627</v>
      </c>
      <c r="N4623">
        <v>1</v>
      </c>
      <c r="O4623">
        <v>27</v>
      </c>
      <c r="P4623">
        <v>28</v>
      </c>
      <c r="Q4623">
        <v>430</v>
      </c>
      <c r="R4623">
        <v>431</v>
      </c>
    </row>
    <row r="4624" spans="1:18" x14ac:dyDescent="0.25">
      <c r="A4624">
        <v>432</v>
      </c>
      <c r="B4624" s="1">
        <v>40563</v>
      </c>
      <c r="C4624">
        <v>1</v>
      </c>
      <c r="D4624">
        <v>0</v>
      </c>
      <c r="E4624">
        <v>1</v>
      </c>
      <c r="F4624">
        <v>0</v>
      </c>
      <c r="G4624" t="b">
        <v>0</v>
      </c>
      <c r="H4624">
        <v>4</v>
      </c>
      <c r="I4624">
        <v>1</v>
      </c>
      <c r="J4624">
        <v>0.26</v>
      </c>
      <c r="K4624">
        <v>0.2273</v>
      </c>
      <c r="L4624">
        <v>0.56000000000000005</v>
      </c>
      <c r="M4624">
        <v>0.3881</v>
      </c>
      <c r="N4624">
        <v>5</v>
      </c>
      <c r="O4624">
        <v>8</v>
      </c>
      <c r="P4624">
        <v>13</v>
      </c>
      <c r="Q4624">
        <v>431</v>
      </c>
      <c r="R4624">
        <v>432</v>
      </c>
    </row>
    <row r="4625" spans="1:18" x14ac:dyDescent="0.25">
      <c r="A4625">
        <v>433</v>
      </c>
      <c r="B4625" s="1">
        <v>40563</v>
      </c>
      <c r="C4625">
        <v>1</v>
      </c>
      <c r="D4625">
        <v>0</v>
      </c>
      <c r="E4625">
        <v>1</v>
      </c>
      <c r="F4625">
        <v>1</v>
      </c>
      <c r="G4625" t="b">
        <v>0</v>
      </c>
      <c r="H4625">
        <v>4</v>
      </c>
      <c r="I4625">
        <v>1</v>
      </c>
      <c r="J4625">
        <v>0.26</v>
      </c>
      <c r="K4625">
        <v>0.2727</v>
      </c>
      <c r="L4625">
        <v>0.56000000000000005</v>
      </c>
      <c r="M4625">
        <v>0</v>
      </c>
      <c r="N4625">
        <v>2</v>
      </c>
      <c r="O4625">
        <v>3</v>
      </c>
      <c r="P4625">
        <v>5</v>
      </c>
      <c r="Q4625">
        <v>432</v>
      </c>
      <c r="R4625">
        <v>433</v>
      </c>
    </row>
    <row r="4626" spans="1:18" x14ac:dyDescent="0.25">
      <c r="A4626">
        <v>434</v>
      </c>
      <c r="B4626" s="1">
        <v>40563</v>
      </c>
      <c r="C4626">
        <v>1</v>
      </c>
      <c r="D4626">
        <v>0</v>
      </c>
      <c r="E4626">
        <v>1</v>
      </c>
      <c r="F4626">
        <v>2</v>
      </c>
      <c r="G4626" t="b">
        <v>0</v>
      </c>
      <c r="H4626">
        <v>4</v>
      </c>
      <c r="I4626">
        <v>1</v>
      </c>
      <c r="J4626">
        <v>0.26</v>
      </c>
      <c r="K4626">
        <v>0.2727</v>
      </c>
      <c r="L4626">
        <v>0.56000000000000005</v>
      </c>
      <c r="M4626">
        <v>0</v>
      </c>
      <c r="N4626">
        <v>0</v>
      </c>
      <c r="O4626">
        <v>2</v>
      </c>
      <c r="P4626">
        <v>2</v>
      </c>
      <c r="Q4626">
        <v>433</v>
      </c>
      <c r="R4626">
        <v>434</v>
      </c>
    </row>
    <row r="4627" spans="1:18" x14ac:dyDescent="0.25">
      <c r="A4627">
        <v>435</v>
      </c>
      <c r="B4627" s="1">
        <v>40563</v>
      </c>
      <c r="C4627">
        <v>1</v>
      </c>
      <c r="D4627">
        <v>0</v>
      </c>
      <c r="E4627">
        <v>1</v>
      </c>
      <c r="F4627">
        <v>3</v>
      </c>
      <c r="G4627" t="b">
        <v>0</v>
      </c>
      <c r="H4627">
        <v>4</v>
      </c>
      <c r="I4627">
        <v>1</v>
      </c>
      <c r="J4627">
        <v>0.26</v>
      </c>
      <c r="K4627">
        <v>0.2576</v>
      </c>
      <c r="L4627">
        <v>0.56000000000000005</v>
      </c>
      <c r="M4627">
        <v>0.16420000000000001</v>
      </c>
      <c r="N4627">
        <v>0</v>
      </c>
      <c r="O4627">
        <v>1</v>
      </c>
      <c r="P4627">
        <v>1</v>
      </c>
      <c r="Q4627">
        <v>434</v>
      </c>
      <c r="R4627">
        <v>435</v>
      </c>
    </row>
    <row r="4628" spans="1:18" x14ac:dyDescent="0.25">
      <c r="A4628">
        <v>436</v>
      </c>
      <c r="B4628" s="1">
        <v>40563</v>
      </c>
      <c r="C4628">
        <v>1</v>
      </c>
      <c r="D4628">
        <v>0</v>
      </c>
      <c r="E4628">
        <v>1</v>
      </c>
      <c r="F4628">
        <v>4</v>
      </c>
      <c r="G4628" t="b">
        <v>0</v>
      </c>
      <c r="H4628">
        <v>4</v>
      </c>
      <c r="I4628">
        <v>1</v>
      </c>
      <c r="J4628">
        <v>0.26</v>
      </c>
      <c r="K4628">
        <v>0.2576</v>
      </c>
      <c r="L4628">
        <v>0.56000000000000005</v>
      </c>
      <c r="M4628">
        <v>0.16420000000000001</v>
      </c>
      <c r="N4628">
        <v>0</v>
      </c>
      <c r="O4628">
        <v>1</v>
      </c>
      <c r="P4628">
        <v>1</v>
      </c>
      <c r="Q4628">
        <v>435</v>
      </c>
      <c r="R4628">
        <v>436</v>
      </c>
    </row>
    <row r="4629" spans="1:18" x14ac:dyDescent="0.25">
      <c r="A4629">
        <v>437</v>
      </c>
      <c r="B4629" s="1">
        <v>40563</v>
      </c>
      <c r="C4629">
        <v>1</v>
      </c>
      <c r="D4629">
        <v>0</v>
      </c>
      <c r="E4629">
        <v>1</v>
      </c>
      <c r="F4629">
        <v>5</v>
      </c>
      <c r="G4629" t="b">
        <v>0</v>
      </c>
      <c r="H4629">
        <v>4</v>
      </c>
      <c r="I4629">
        <v>1</v>
      </c>
      <c r="J4629">
        <v>0.24</v>
      </c>
      <c r="K4629">
        <v>0.2273</v>
      </c>
      <c r="L4629">
        <v>0.6</v>
      </c>
      <c r="M4629">
        <v>0.22389999999999999</v>
      </c>
      <c r="N4629">
        <v>0</v>
      </c>
      <c r="O4629">
        <v>6</v>
      </c>
      <c r="P4629">
        <v>6</v>
      </c>
      <c r="Q4629">
        <v>436</v>
      </c>
      <c r="R4629">
        <v>437</v>
      </c>
    </row>
    <row r="4630" spans="1:18" x14ac:dyDescent="0.25">
      <c r="A4630">
        <v>438</v>
      </c>
      <c r="B4630" s="1">
        <v>40563</v>
      </c>
      <c r="C4630">
        <v>1</v>
      </c>
      <c r="D4630">
        <v>0</v>
      </c>
      <c r="E4630">
        <v>1</v>
      </c>
      <c r="F4630">
        <v>6</v>
      </c>
      <c r="G4630" t="b">
        <v>0</v>
      </c>
      <c r="H4630">
        <v>4</v>
      </c>
      <c r="I4630">
        <v>1</v>
      </c>
      <c r="J4630">
        <v>0.22</v>
      </c>
      <c r="K4630">
        <v>0.21210000000000001</v>
      </c>
      <c r="L4630">
        <v>0.6</v>
      </c>
      <c r="M4630">
        <v>0.22389999999999999</v>
      </c>
      <c r="N4630">
        <v>0</v>
      </c>
      <c r="O4630">
        <v>35</v>
      </c>
      <c r="P4630">
        <v>35</v>
      </c>
      <c r="Q4630">
        <v>437</v>
      </c>
      <c r="R4630">
        <v>438</v>
      </c>
    </row>
    <row r="4631" spans="1:18" x14ac:dyDescent="0.25">
      <c r="A4631">
        <v>439</v>
      </c>
      <c r="B4631" s="1">
        <v>40563</v>
      </c>
      <c r="C4631">
        <v>1</v>
      </c>
      <c r="D4631">
        <v>0</v>
      </c>
      <c r="E4631">
        <v>1</v>
      </c>
      <c r="F4631">
        <v>7</v>
      </c>
      <c r="G4631" t="b">
        <v>0</v>
      </c>
      <c r="H4631">
        <v>4</v>
      </c>
      <c r="I4631">
        <v>1</v>
      </c>
      <c r="J4631">
        <v>0.22</v>
      </c>
      <c r="K4631">
        <v>0.21210000000000001</v>
      </c>
      <c r="L4631">
        <v>0.55000000000000004</v>
      </c>
      <c r="M4631">
        <v>0.22389999999999999</v>
      </c>
      <c r="N4631">
        <v>1</v>
      </c>
      <c r="O4631">
        <v>100</v>
      </c>
      <c r="P4631">
        <v>101</v>
      </c>
      <c r="Q4631">
        <v>438</v>
      </c>
      <c r="R4631">
        <v>439</v>
      </c>
    </row>
    <row r="4632" spans="1:18" x14ac:dyDescent="0.25">
      <c r="A4632">
        <v>440</v>
      </c>
      <c r="B4632" s="1">
        <v>40563</v>
      </c>
      <c r="C4632">
        <v>1</v>
      </c>
      <c r="D4632">
        <v>0</v>
      </c>
      <c r="E4632">
        <v>1</v>
      </c>
      <c r="F4632">
        <v>8</v>
      </c>
      <c r="G4632" t="b">
        <v>0</v>
      </c>
      <c r="H4632">
        <v>4</v>
      </c>
      <c r="I4632">
        <v>1</v>
      </c>
      <c r="J4632">
        <v>0.22</v>
      </c>
      <c r="K4632">
        <v>0.21210000000000001</v>
      </c>
      <c r="L4632">
        <v>0.55000000000000004</v>
      </c>
      <c r="M4632">
        <v>0.28360000000000002</v>
      </c>
      <c r="N4632">
        <v>2</v>
      </c>
      <c r="O4632">
        <v>247</v>
      </c>
      <c r="P4632">
        <v>249</v>
      </c>
      <c r="Q4632">
        <v>439</v>
      </c>
      <c r="R4632">
        <v>440</v>
      </c>
    </row>
    <row r="4633" spans="1:18" x14ac:dyDescent="0.25">
      <c r="A4633">
        <v>441</v>
      </c>
      <c r="B4633" s="1">
        <v>40563</v>
      </c>
      <c r="C4633">
        <v>1</v>
      </c>
      <c r="D4633">
        <v>0</v>
      </c>
      <c r="E4633">
        <v>1</v>
      </c>
      <c r="F4633">
        <v>9</v>
      </c>
      <c r="G4633" t="b">
        <v>0</v>
      </c>
      <c r="H4633">
        <v>4</v>
      </c>
      <c r="I4633">
        <v>2</v>
      </c>
      <c r="J4633">
        <v>0.24</v>
      </c>
      <c r="K4633">
        <v>0.2273</v>
      </c>
      <c r="L4633">
        <v>0.52</v>
      </c>
      <c r="M4633">
        <v>0.22389999999999999</v>
      </c>
      <c r="N4633">
        <v>3</v>
      </c>
      <c r="O4633">
        <v>140</v>
      </c>
      <c r="P4633">
        <v>143</v>
      </c>
      <c r="Q4633">
        <v>440</v>
      </c>
      <c r="R4633">
        <v>441</v>
      </c>
    </row>
    <row r="4634" spans="1:18" x14ac:dyDescent="0.25">
      <c r="A4634">
        <v>442</v>
      </c>
      <c r="B4634" s="1">
        <v>40563</v>
      </c>
      <c r="C4634">
        <v>1</v>
      </c>
      <c r="D4634">
        <v>0</v>
      </c>
      <c r="E4634">
        <v>1</v>
      </c>
      <c r="F4634">
        <v>10</v>
      </c>
      <c r="G4634" t="b">
        <v>0</v>
      </c>
      <c r="H4634">
        <v>4</v>
      </c>
      <c r="I4634">
        <v>1</v>
      </c>
      <c r="J4634">
        <v>0.26</v>
      </c>
      <c r="K4634">
        <v>0.2273</v>
      </c>
      <c r="L4634">
        <v>0.48</v>
      </c>
      <c r="M4634">
        <v>0.29849999999999999</v>
      </c>
      <c r="N4634">
        <v>1</v>
      </c>
      <c r="O4634">
        <v>56</v>
      </c>
      <c r="P4634">
        <v>57</v>
      </c>
      <c r="Q4634">
        <v>441</v>
      </c>
      <c r="R4634">
        <v>442</v>
      </c>
    </row>
    <row r="4635" spans="1:18" x14ac:dyDescent="0.25">
      <c r="A4635">
        <v>443</v>
      </c>
      <c r="B4635" s="1">
        <v>40563</v>
      </c>
      <c r="C4635">
        <v>1</v>
      </c>
      <c r="D4635">
        <v>0</v>
      </c>
      <c r="E4635">
        <v>1</v>
      </c>
      <c r="F4635">
        <v>11</v>
      </c>
      <c r="G4635" t="b">
        <v>0</v>
      </c>
      <c r="H4635">
        <v>4</v>
      </c>
      <c r="I4635">
        <v>2</v>
      </c>
      <c r="J4635">
        <v>0.28000000000000003</v>
      </c>
      <c r="K4635">
        <v>0.2727</v>
      </c>
      <c r="L4635">
        <v>0.45</v>
      </c>
      <c r="M4635">
        <v>0.16420000000000001</v>
      </c>
      <c r="N4635">
        <v>5</v>
      </c>
      <c r="O4635">
        <v>63</v>
      </c>
      <c r="P4635">
        <v>68</v>
      </c>
      <c r="Q4635">
        <v>442</v>
      </c>
      <c r="R4635">
        <v>443</v>
      </c>
    </row>
    <row r="4636" spans="1:18" x14ac:dyDescent="0.25">
      <c r="A4636">
        <v>444</v>
      </c>
      <c r="B4636" s="1">
        <v>40563</v>
      </c>
      <c r="C4636">
        <v>1</v>
      </c>
      <c r="D4636">
        <v>0</v>
      </c>
      <c r="E4636">
        <v>1</v>
      </c>
      <c r="F4636">
        <v>12</v>
      </c>
      <c r="G4636" t="b">
        <v>0</v>
      </c>
      <c r="H4636">
        <v>4</v>
      </c>
      <c r="I4636">
        <v>2</v>
      </c>
      <c r="J4636">
        <v>0.3</v>
      </c>
      <c r="K4636">
        <v>0.33329999999999999</v>
      </c>
      <c r="L4636">
        <v>0.42</v>
      </c>
      <c r="M4636">
        <v>0</v>
      </c>
      <c r="N4636">
        <v>7</v>
      </c>
      <c r="O4636">
        <v>77</v>
      </c>
      <c r="P4636">
        <v>84</v>
      </c>
      <c r="Q4636">
        <v>443</v>
      </c>
      <c r="R4636">
        <v>444</v>
      </c>
    </row>
    <row r="4637" spans="1:18" x14ac:dyDescent="0.25">
      <c r="A4637">
        <v>445</v>
      </c>
      <c r="B4637" s="1">
        <v>40563</v>
      </c>
      <c r="C4637">
        <v>1</v>
      </c>
      <c r="D4637">
        <v>0</v>
      </c>
      <c r="E4637">
        <v>1</v>
      </c>
      <c r="F4637">
        <v>13</v>
      </c>
      <c r="G4637" t="b">
        <v>0</v>
      </c>
      <c r="H4637">
        <v>4</v>
      </c>
      <c r="I4637">
        <v>2</v>
      </c>
      <c r="J4637">
        <v>0.28000000000000003</v>
      </c>
      <c r="K4637">
        <v>0.28789999999999999</v>
      </c>
      <c r="L4637">
        <v>0.45</v>
      </c>
      <c r="M4637">
        <v>0.1045</v>
      </c>
      <c r="N4637">
        <v>12</v>
      </c>
      <c r="O4637">
        <v>86</v>
      </c>
      <c r="P4637">
        <v>98</v>
      </c>
      <c r="Q4637">
        <v>444</v>
      </c>
      <c r="R4637">
        <v>445</v>
      </c>
    </row>
    <row r="4638" spans="1:18" x14ac:dyDescent="0.25">
      <c r="A4638">
        <v>446</v>
      </c>
      <c r="B4638" s="1">
        <v>40563</v>
      </c>
      <c r="C4638">
        <v>1</v>
      </c>
      <c r="D4638">
        <v>0</v>
      </c>
      <c r="E4638">
        <v>1</v>
      </c>
      <c r="F4638">
        <v>14</v>
      </c>
      <c r="G4638" t="b">
        <v>0</v>
      </c>
      <c r="H4638">
        <v>4</v>
      </c>
      <c r="I4638">
        <v>2</v>
      </c>
      <c r="J4638">
        <v>0.3</v>
      </c>
      <c r="K4638">
        <v>0.30299999999999999</v>
      </c>
      <c r="L4638">
        <v>0.45</v>
      </c>
      <c r="M4638">
        <v>0.1343</v>
      </c>
      <c r="N4638">
        <v>6</v>
      </c>
      <c r="O4638">
        <v>75</v>
      </c>
      <c r="P4638">
        <v>81</v>
      </c>
      <c r="Q4638">
        <v>445</v>
      </c>
      <c r="R4638">
        <v>446</v>
      </c>
    </row>
    <row r="4639" spans="1:18" x14ac:dyDescent="0.25">
      <c r="A4639">
        <v>447</v>
      </c>
      <c r="B4639" s="1">
        <v>40563</v>
      </c>
      <c r="C4639">
        <v>1</v>
      </c>
      <c r="D4639">
        <v>0</v>
      </c>
      <c r="E4639">
        <v>1</v>
      </c>
      <c r="F4639">
        <v>15</v>
      </c>
      <c r="G4639" t="b">
        <v>0</v>
      </c>
      <c r="H4639">
        <v>4</v>
      </c>
      <c r="I4639">
        <v>2</v>
      </c>
      <c r="J4639">
        <v>0.32</v>
      </c>
      <c r="K4639">
        <v>0.31819999999999998</v>
      </c>
      <c r="L4639">
        <v>0.45</v>
      </c>
      <c r="M4639">
        <v>0.19400000000000001</v>
      </c>
      <c r="N4639">
        <v>8</v>
      </c>
      <c r="O4639">
        <v>62</v>
      </c>
      <c r="P4639">
        <v>70</v>
      </c>
      <c r="Q4639">
        <v>446</v>
      </c>
      <c r="R4639">
        <v>447</v>
      </c>
    </row>
    <row r="4640" spans="1:18" x14ac:dyDescent="0.25">
      <c r="A4640">
        <v>448</v>
      </c>
      <c r="B4640" s="1">
        <v>40563</v>
      </c>
      <c r="C4640">
        <v>1</v>
      </c>
      <c r="D4640">
        <v>0</v>
      </c>
      <c r="E4640">
        <v>1</v>
      </c>
      <c r="F4640">
        <v>16</v>
      </c>
      <c r="G4640" t="b">
        <v>0</v>
      </c>
      <c r="H4640">
        <v>4</v>
      </c>
      <c r="I4640">
        <v>2</v>
      </c>
      <c r="J4640">
        <v>0.3</v>
      </c>
      <c r="K4640">
        <v>0.30299999999999999</v>
      </c>
      <c r="L4640">
        <v>0.49</v>
      </c>
      <c r="M4640">
        <v>0.1343</v>
      </c>
      <c r="N4640">
        <v>8</v>
      </c>
      <c r="O4640">
        <v>83</v>
      </c>
      <c r="P4640">
        <v>91</v>
      </c>
      <c r="Q4640">
        <v>447</v>
      </c>
      <c r="R4640">
        <v>448</v>
      </c>
    </row>
    <row r="4641" spans="1:18" x14ac:dyDescent="0.25">
      <c r="A4641">
        <v>449</v>
      </c>
      <c r="B4641" s="1">
        <v>40563</v>
      </c>
      <c r="C4641">
        <v>1</v>
      </c>
      <c r="D4641">
        <v>0</v>
      </c>
      <c r="E4641">
        <v>1</v>
      </c>
      <c r="F4641">
        <v>17</v>
      </c>
      <c r="G4641" t="b">
        <v>0</v>
      </c>
      <c r="H4641">
        <v>4</v>
      </c>
      <c r="I4641">
        <v>2</v>
      </c>
      <c r="J4641">
        <v>0.3</v>
      </c>
      <c r="K4641">
        <v>0.31819999999999998</v>
      </c>
      <c r="L4641">
        <v>0.49</v>
      </c>
      <c r="M4641">
        <v>0.1045</v>
      </c>
      <c r="N4641">
        <v>8</v>
      </c>
      <c r="O4641">
        <v>207</v>
      </c>
      <c r="P4641">
        <v>215</v>
      </c>
      <c r="Q4641">
        <v>448</v>
      </c>
      <c r="R4641">
        <v>449</v>
      </c>
    </row>
    <row r="4642" spans="1:18" x14ac:dyDescent="0.25">
      <c r="A4642">
        <v>450</v>
      </c>
      <c r="B4642" s="1">
        <v>40563</v>
      </c>
      <c r="C4642">
        <v>1</v>
      </c>
      <c r="D4642">
        <v>0</v>
      </c>
      <c r="E4642">
        <v>1</v>
      </c>
      <c r="F4642">
        <v>18</v>
      </c>
      <c r="G4642" t="b">
        <v>0</v>
      </c>
      <c r="H4642">
        <v>4</v>
      </c>
      <c r="I4642">
        <v>2</v>
      </c>
      <c r="J4642">
        <v>0.26</v>
      </c>
      <c r="K4642">
        <v>0.2576</v>
      </c>
      <c r="L4642">
        <v>0.56000000000000005</v>
      </c>
      <c r="M4642">
        <v>0.19400000000000001</v>
      </c>
      <c r="N4642">
        <v>1</v>
      </c>
      <c r="O4642">
        <v>184</v>
      </c>
      <c r="P4642">
        <v>185</v>
      </c>
      <c r="Q4642">
        <v>449</v>
      </c>
      <c r="R4642">
        <v>450</v>
      </c>
    </row>
    <row r="4643" spans="1:18" x14ac:dyDescent="0.25">
      <c r="A4643">
        <v>451</v>
      </c>
      <c r="B4643" s="1">
        <v>40563</v>
      </c>
      <c r="C4643">
        <v>1</v>
      </c>
      <c r="D4643">
        <v>0</v>
      </c>
      <c r="E4643">
        <v>1</v>
      </c>
      <c r="F4643">
        <v>19</v>
      </c>
      <c r="G4643" t="b">
        <v>0</v>
      </c>
      <c r="H4643">
        <v>4</v>
      </c>
      <c r="I4643">
        <v>1</v>
      </c>
      <c r="J4643">
        <v>0.26</v>
      </c>
      <c r="K4643">
        <v>0.2273</v>
      </c>
      <c r="L4643">
        <v>0.56000000000000005</v>
      </c>
      <c r="M4643">
        <v>0.32840000000000003</v>
      </c>
      <c r="N4643">
        <v>6</v>
      </c>
      <c r="O4643">
        <v>146</v>
      </c>
      <c r="P4643">
        <v>152</v>
      </c>
      <c r="Q4643">
        <v>450</v>
      </c>
      <c r="R4643">
        <v>451</v>
      </c>
    </row>
    <row r="4644" spans="1:18" x14ac:dyDescent="0.25">
      <c r="A4644">
        <v>452</v>
      </c>
      <c r="B4644" s="1">
        <v>40563</v>
      </c>
      <c r="C4644">
        <v>1</v>
      </c>
      <c r="D4644">
        <v>0</v>
      </c>
      <c r="E4644">
        <v>1</v>
      </c>
      <c r="F4644">
        <v>20</v>
      </c>
      <c r="G4644" t="b">
        <v>0</v>
      </c>
      <c r="H4644">
        <v>4</v>
      </c>
      <c r="I4644">
        <v>2</v>
      </c>
      <c r="J4644">
        <v>0.26</v>
      </c>
      <c r="K4644">
        <v>0.2424</v>
      </c>
      <c r="L4644">
        <v>0.6</v>
      </c>
      <c r="M4644">
        <v>0.28360000000000002</v>
      </c>
      <c r="N4644">
        <v>2</v>
      </c>
      <c r="O4644">
        <v>124</v>
      </c>
      <c r="P4644">
        <v>126</v>
      </c>
      <c r="Q4644">
        <v>451</v>
      </c>
      <c r="R4644">
        <v>452</v>
      </c>
    </row>
    <row r="4645" spans="1:18" x14ac:dyDescent="0.25">
      <c r="A4645">
        <v>453</v>
      </c>
      <c r="B4645" s="1">
        <v>40563</v>
      </c>
      <c r="C4645">
        <v>1</v>
      </c>
      <c r="D4645">
        <v>0</v>
      </c>
      <c r="E4645">
        <v>1</v>
      </c>
      <c r="F4645">
        <v>21</v>
      </c>
      <c r="G4645" t="b">
        <v>0</v>
      </c>
      <c r="H4645">
        <v>4</v>
      </c>
      <c r="I4645">
        <v>2</v>
      </c>
      <c r="J4645">
        <v>0.24</v>
      </c>
      <c r="K4645">
        <v>0.2273</v>
      </c>
      <c r="L4645">
        <v>0.6</v>
      </c>
      <c r="M4645">
        <v>0.25369999999999998</v>
      </c>
      <c r="N4645">
        <v>3</v>
      </c>
      <c r="O4645">
        <v>54</v>
      </c>
      <c r="P4645">
        <v>57</v>
      </c>
      <c r="Q4645">
        <v>452</v>
      </c>
      <c r="R4645">
        <v>453</v>
      </c>
    </row>
    <row r="4646" spans="1:18" x14ac:dyDescent="0.25">
      <c r="A4646">
        <v>454</v>
      </c>
      <c r="B4646" s="1">
        <v>40563</v>
      </c>
      <c r="C4646">
        <v>1</v>
      </c>
      <c r="D4646">
        <v>0</v>
      </c>
      <c r="E4646">
        <v>1</v>
      </c>
      <c r="F4646">
        <v>22</v>
      </c>
      <c r="G4646" t="b">
        <v>0</v>
      </c>
      <c r="H4646">
        <v>4</v>
      </c>
      <c r="I4646">
        <v>2</v>
      </c>
      <c r="J4646">
        <v>0.24</v>
      </c>
      <c r="K4646">
        <v>0.21210000000000001</v>
      </c>
      <c r="L4646">
        <v>0.65</v>
      </c>
      <c r="M4646">
        <v>0.28360000000000002</v>
      </c>
      <c r="N4646">
        <v>0</v>
      </c>
      <c r="O4646">
        <v>56</v>
      </c>
      <c r="P4646">
        <v>56</v>
      </c>
      <c r="Q4646">
        <v>453</v>
      </c>
      <c r="R4646">
        <v>454</v>
      </c>
    </row>
    <row r="4647" spans="1:18" x14ac:dyDescent="0.25">
      <c r="A4647">
        <v>455</v>
      </c>
      <c r="B4647" s="1">
        <v>40563</v>
      </c>
      <c r="C4647">
        <v>1</v>
      </c>
      <c r="D4647">
        <v>0</v>
      </c>
      <c r="E4647">
        <v>1</v>
      </c>
      <c r="F4647">
        <v>23</v>
      </c>
      <c r="G4647" t="b">
        <v>0</v>
      </c>
      <c r="H4647">
        <v>4</v>
      </c>
      <c r="I4647">
        <v>2</v>
      </c>
      <c r="J4647">
        <v>0.24</v>
      </c>
      <c r="K4647">
        <v>0.21210000000000001</v>
      </c>
      <c r="L4647">
        <v>0.65</v>
      </c>
      <c r="M4647">
        <v>0.32840000000000003</v>
      </c>
      <c r="N4647">
        <v>3</v>
      </c>
      <c r="O4647">
        <v>28</v>
      </c>
      <c r="P4647">
        <v>31</v>
      </c>
      <c r="Q4647">
        <v>454</v>
      </c>
      <c r="R4647">
        <v>455</v>
      </c>
    </row>
    <row r="4648" spans="1:18" x14ac:dyDescent="0.25">
      <c r="A4648">
        <v>456</v>
      </c>
      <c r="B4648" s="1">
        <v>40564</v>
      </c>
      <c r="C4648">
        <v>1</v>
      </c>
      <c r="D4648">
        <v>0</v>
      </c>
      <c r="E4648">
        <v>1</v>
      </c>
      <c r="F4648">
        <v>0</v>
      </c>
      <c r="G4648" t="b">
        <v>0</v>
      </c>
      <c r="H4648">
        <v>5</v>
      </c>
      <c r="I4648">
        <v>2</v>
      </c>
      <c r="J4648">
        <v>0.24</v>
      </c>
      <c r="K4648">
        <v>0.2273</v>
      </c>
      <c r="L4648">
        <v>0.7</v>
      </c>
      <c r="M4648">
        <v>0.25369999999999998</v>
      </c>
      <c r="N4648">
        <v>1</v>
      </c>
      <c r="O4648">
        <v>20</v>
      </c>
      <c r="P4648">
        <v>21</v>
      </c>
      <c r="Q4648">
        <v>455</v>
      </c>
      <c r="R4648">
        <v>456</v>
      </c>
    </row>
    <row r="4649" spans="1:18" x14ac:dyDescent="0.25">
      <c r="A4649">
        <v>457</v>
      </c>
      <c r="B4649" s="1">
        <v>40564</v>
      </c>
      <c r="C4649">
        <v>1</v>
      </c>
      <c r="D4649">
        <v>0</v>
      </c>
      <c r="E4649">
        <v>1</v>
      </c>
      <c r="F4649">
        <v>1</v>
      </c>
      <c r="G4649" t="b">
        <v>0</v>
      </c>
      <c r="H4649">
        <v>5</v>
      </c>
      <c r="I4649">
        <v>2</v>
      </c>
      <c r="J4649">
        <v>0.24</v>
      </c>
      <c r="K4649">
        <v>0.2273</v>
      </c>
      <c r="L4649">
        <v>0.7</v>
      </c>
      <c r="M4649">
        <v>0.25369999999999998</v>
      </c>
      <c r="N4649">
        <v>0</v>
      </c>
      <c r="O4649">
        <v>6</v>
      </c>
      <c r="P4649">
        <v>6</v>
      </c>
      <c r="Q4649">
        <v>456</v>
      </c>
      <c r="R4649">
        <v>457</v>
      </c>
    </row>
    <row r="4650" spans="1:18" x14ac:dyDescent="0.25">
      <c r="A4650">
        <v>458</v>
      </c>
      <c r="B4650" s="1">
        <v>40564</v>
      </c>
      <c r="C4650">
        <v>1</v>
      </c>
      <c r="D4650">
        <v>0</v>
      </c>
      <c r="E4650">
        <v>1</v>
      </c>
      <c r="F4650">
        <v>2</v>
      </c>
      <c r="G4650" t="b">
        <v>0</v>
      </c>
      <c r="H4650">
        <v>5</v>
      </c>
      <c r="I4650">
        <v>3</v>
      </c>
      <c r="J4650">
        <v>0.24</v>
      </c>
      <c r="K4650">
        <v>0.2424</v>
      </c>
      <c r="L4650">
        <v>0.75</v>
      </c>
      <c r="M4650">
        <v>0.16420000000000001</v>
      </c>
      <c r="N4650">
        <v>0</v>
      </c>
      <c r="O4650">
        <v>2</v>
      </c>
      <c r="P4650">
        <v>2</v>
      </c>
      <c r="Q4650">
        <v>457</v>
      </c>
      <c r="R4650">
        <v>458</v>
      </c>
    </row>
    <row r="4651" spans="1:18" x14ac:dyDescent="0.25">
      <c r="A4651">
        <v>459</v>
      </c>
      <c r="B4651" s="1">
        <v>40564</v>
      </c>
      <c r="C4651">
        <v>1</v>
      </c>
      <c r="D4651">
        <v>0</v>
      </c>
      <c r="E4651">
        <v>1</v>
      </c>
      <c r="F4651">
        <v>3</v>
      </c>
      <c r="G4651" t="b">
        <v>0</v>
      </c>
      <c r="H4651">
        <v>5</v>
      </c>
      <c r="I4651">
        <v>3</v>
      </c>
      <c r="J4651">
        <v>0.22</v>
      </c>
      <c r="K4651">
        <v>0.21210000000000001</v>
      </c>
      <c r="L4651">
        <v>0.8</v>
      </c>
      <c r="M4651">
        <v>0.29849999999999999</v>
      </c>
      <c r="N4651">
        <v>0</v>
      </c>
      <c r="O4651">
        <v>1</v>
      </c>
      <c r="P4651">
        <v>1</v>
      </c>
      <c r="Q4651">
        <v>458</v>
      </c>
      <c r="R4651">
        <v>459</v>
      </c>
    </row>
    <row r="4652" spans="1:18" x14ac:dyDescent="0.25">
      <c r="A4652">
        <v>460</v>
      </c>
      <c r="B4652" s="1">
        <v>40564</v>
      </c>
      <c r="C4652">
        <v>1</v>
      </c>
      <c r="D4652">
        <v>0</v>
      </c>
      <c r="E4652">
        <v>1</v>
      </c>
      <c r="F4652">
        <v>4</v>
      </c>
      <c r="G4652" t="b">
        <v>0</v>
      </c>
      <c r="H4652">
        <v>5</v>
      </c>
      <c r="I4652">
        <v>2</v>
      </c>
      <c r="J4652">
        <v>0.22</v>
      </c>
      <c r="K4652">
        <v>0.2576</v>
      </c>
      <c r="L4652">
        <v>0.87</v>
      </c>
      <c r="M4652">
        <v>8.9599999999999999E-2</v>
      </c>
      <c r="N4652">
        <v>0</v>
      </c>
      <c r="O4652">
        <v>1</v>
      </c>
      <c r="P4652">
        <v>1</v>
      </c>
      <c r="Q4652">
        <v>459</v>
      </c>
      <c r="R4652">
        <v>460</v>
      </c>
    </row>
    <row r="4653" spans="1:18" x14ac:dyDescent="0.25">
      <c r="A4653">
        <v>461</v>
      </c>
      <c r="B4653" s="1">
        <v>40564</v>
      </c>
      <c r="C4653">
        <v>1</v>
      </c>
      <c r="D4653">
        <v>0</v>
      </c>
      <c r="E4653">
        <v>1</v>
      </c>
      <c r="F4653">
        <v>5</v>
      </c>
      <c r="G4653" t="b">
        <v>0</v>
      </c>
      <c r="H4653">
        <v>5</v>
      </c>
      <c r="I4653">
        <v>1</v>
      </c>
      <c r="J4653">
        <v>0.24</v>
      </c>
      <c r="K4653">
        <v>0.19700000000000001</v>
      </c>
      <c r="L4653">
        <v>0.6</v>
      </c>
      <c r="M4653">
        <v>0.41789999999999999</v>
      </c>
      <c r="N4653">
        <v>1</v>
      </c>
      <c r="O4653">
        <v>4</v>
      </c>
      <c r="P4653">
        <v>5</v>
      </c>
      <c r="Q4653">
        <v>460</v>
      </c>
      <c r="R4653">
        <v>461</v>
      </c>
    </row>
    <row r="4654" spans="1:18" x14ac:dyDescent="0.25">
      <c r="A4654">
        <v>462</v>
      </c>
      <c r="B4654" s="1">
        <v>40564</v>
      </c>
      <c r="C4654">
        <v>1</v>
      </c>
      <c r="D4654">
        <v>0</v>
      </c>
      <c r="E4654">
        <v>1</v>
      </c>
      <c r="F4654">
        <v>6</v>
      </c>
      <c r="G4654" t="b">
        <v>0</v>
      </c>
      <c r="H4654">
        <v>5</v>
      </c>
      <c r="I4654">
        <v>1</v>
      </c>
      <c r="J4654">
        <v>0.22</v>
      </c>
      <c r="K4654">
        <v>0.21210000000000001</v>
      </c>
      <c r="L4654">
        <v>0.55000000000000004</v>
      </c>
      <c r="M4654">
        <v>0.25369999999999998</v>
      </c>
      <c r="N4654">
        <v>0</v>
      </c>
      <c r="O4654">
        <v>27</v>
      </c>
      <c r="P4654">
        <v>27</v>
      </c>
      <c r="Q4654">
        <v>461</v>
      </c>
      <c r="R4654">
        <v>462</v>
      </c>
    </row>
    <row r="4655" spans="1:18" x14ac:dyDescent="0.25">
      <c r="A4655">
        <v>463</v>
      </c>
      <c r="B4655" s="1">
        <v>40564</v>
      </c>
      <c r="C4655">
        <v>1</v>
      </c>
      <c r="D4655">
        <v>0</v>
      </c>
      <c r="E4655">
        <v>1</v>
      </c>
      <c r="F4655">
        <v>7</v>
      </c>
      <c r="G4655" t="b">
        <v>0</v>
      </c>
      <c r="H4655">
        <v>5</v>
      </c>
      <c r="I4655">
        <v>1</v>
      </c>
      <c r="J4655">
        <v>0.2</v>
      </c>
      <c r="K4655">
        <v>0.18179999999999999</v>
      </c>
      <c r="L4655">
        <v>0.51</v>
      </c>
      <c r="M4655">
        <v>0.28360000000000002</v>
      </c>
      <c r="N4655">
        <v>2</v>
      </c>
      <c r="O4655">
        <v>66</v>
      </c>
      <c r="P4655">
        <v>68</v>
      </c>
      <c r="Q4655">
        <v>462</v>
      </c>
      <c r="R4655">
        <v>463</v>
      </c>
    </row>
    <row r="4656" spans="1:18" x14ac:dyDescent="0.25">
      <c r="A4656">
        <v>464</v>
      </c>
      <c r="B4656" s="1">
        <v>40564</v>
      </c>
      <c r="C4656">
        <v>1</v>
      </c>
      <c r="D4656">
        <v>0</v>
      </c>
      <c r="E4656">
        <v>1</v>
      </c>
      <c r="F4656">
        <v>8</v>
      </c>
      <c r="G4656" t="b">
        <v>0</v>
      </c>
      <c r="H4656">
        <v>5</v>
      </c>
      <c r="I4656">
        <v>1</v>
      </c>
      <c r="J4656">
        <v>0.2</v>
      </c>
      <c r="K4656">
        <v>0.18179999999999999</v>
      </c>
      <c r="L4656">
        <v>0.47</v>
      </c>
      <c r="M4656">
        <v>0.32840000000000003</v>
      </c>
      <c r="N4656">
        <v>7</v>
      </c>
      <c r="O4656">
        <v>210</v>
      </c>
      <c r="P4656">
        <v>217</v>
      </c>
      <c r="Q4656">
        <v>463</v>
      </c>
      <c r="R4656">
        <v>464</v>
      </c>
    </row>
    <row r="4657" spans="1:18" x14ac:dyDescent="0.25">
      <c r="A4657">
        <v>465</v>
      </c>
      <c r="B4657" s="1">
        <v>40564</v>
      </c>
      <c r="C4657">
        <v>1</v>
      </c>
      <c r="D4657">
        <v>0</v>
      </c>
      <c r="E4657">
        <v>1</v>
      </c>
      <c r="F4657">
        <v>9</v>
      </c>
      <c r="G4657" t="b">
        <v>0</v>
      </c>
      <c r="H4657">
        <v>5</v>
      </c>
      <c r="I4657">
        <v>1</v>
      </c>
      <c r="J4657">
        <v>0.2</v>
      </c>
      <c r="K4657">
        <v>0.18179999999999999</v>
      </c>
      <c r="L4657">
        <v>0.51</v>
      </c>
      <c r="M4657">
        <v>0.35820000000000002</v>
      </c>
      <c r="N4657">
        <v>7</v>
      </c>
      <c r="O4657">
        <v>159</v>
      </c>
      <c r="P4657">
        <v>166</v>
      </c>
      <c r="Q4657">
        <v>464</v>
      </c>
      <c r="R4657">
        <v>465</v>
      </c>
    </row>
    <row r="4658" spans="1:18" x14ac:dyDescent="0.25">
      <c r="A4658">
        <v>466</v>
      </c>
      <c r="B4658" s="1">
        <v>40564</v>
      </c>
      <c r="C4658">
        <v>1</v>
      </c>
      <c r="D4658">
        <v>0</v>
      </c>
      <c r="E4658">
        <v>1</v>
      </c>
      <c r="F4658">
        <v>10</v>
      </c>
      <c r="G4658" t="b">
        <v>0</v>
      </c>
      <c r="H4658">
        <v>5</v>
      </c>
      <c r="I4658">
        <v>1</v>
      </c>
      <c r="J4658">
        <v>0.2</v>
      </c>
      <c r="K4658">
        <v>0.16669999999999999</v>
      </c>
      <c r="L4658">
        <v>0.47</v>
      </c>
      <c r="M4658">
        <v>0.4627</v>
      </c>
      <c r="N4658">
        <v>6</v>
      </c>
      <c r="O4658">
        <v>57</v>
      </c>
      <c r="P4658">
        <v>63</v>
      </c>
      <c r="Q4658">
        <v>465</v>
      </c>
      <c r="R4658">
        <v>466</v>
      </c>
    </row>
    <row r="4659" spans="1:18" x14ac:dyDescent="0.25">
      <c r="A4659">
        <v>467</v>
      </c>
      <c r="B4659" s="1">
        <v>40564</v>
      </c>
      <c r="C4659">
        <v>1</v>
      </c>
      <c r="D4659">
        <v>0</v>
      </c>
      <c r="E4659">
        <v>1</v>
      </c>
      <c r="F4659">
        <v>11</v>
      </c>
      <c r="G4659" t="b">
        <v>0</v>
      </c>
      <c r="H4659">
        <v>5</v>
      </c>
      <c r="I4659">
        <v>1</v>
      </c>
      <c r="J4659">
        <v>0.22</v>
      </c>
      <c r="K4659">
        <v>0.18179999999999999</v>
      </c>
      <c r="L4659">
        <v>0.41</v>
      </c>
      <c r="M4659">
        <v>0.4627</v>
      </c>
      <c r="N4659">
        <v>6</v>
      </c>
      <c r="O4659">
        <v>53</v>
      </c>
      <c r="P4659">
        <v>59</v>
      </c>
      <c r="Q4659">
        <v>466</v>
      </c>
      <c r="R4659">
        <v>467</v>
      </c>
    </row>
    <row r="4660" spans="1:18" x14ac:dyDescent="0.25">
      <c r="A4660">
        <v>468</v>
      </c>
      <c r="B4660" s="1">
        <v>40564</v>
      </c>
      <c r="C4660">
        <v>1</v>
      </c>
      <c r="D4660">
        <v>0</v>
      </c>
      <c r="E4660">
        <v>1</v>
      </c>
      <c r="F4660">
        <v>12</v>
      </c>
      <c r="G4660" t="b">
        <v>0</v>
      </c>
      <c r="H4660">
        <v>5</v>
      </c>
      <c r="I4660">
        <v>1</v>
      </c>
      <c r="J4660">
        <v>0.22</v>
      </c>
      <c r="K4660">
        <v>0.18179999999999999</v>
      </c>
      <c r="L4660">
        <v>0.27</v>
      </c>
      <c r="M4660">
        <v>0.58209999999999995</v>
      </c>
      <c r="N4660">
        <v>11</v>
      </c>
      <c r="O4660">
        <v>67</v>
      </c>
      <c r="P4660">
        <v>78</v>
      </c>
      <c r="Q4660">
        <v>467</v>
      </c>
      <c r="R4660">
        <v>468</v>
      </c>
    </row>
    <row r="4661" spans="1:18" x14ac:dyDescent="0.25">
      <c r="A4661">
        <v>469</v>
      </c>
      <c r="B4661" s="1">
        <v>40564</v>
      </c>
      <c r="C4661">
        <v>1</v>
      </c>
      <c r="D4661">
        <v>0</v>
      </c>
      <c r="E4661">
        <v>1</v>
      </c>
      <c r="F4661">
        <v>13</v>
      </c>
      <c r="G4661" t="b">
        <v>0</v>
      </c>
      <c r="H4661">
        <v>5</v>
      </c>
      <c r="I4661">
        <v>1</v>
      </c>
      <c r="J4661">
        <v>0.2</v>
      </c>
      <c r="K4661">
        <v>0.1515</v>
      </c>
      <c r="L4661">
        <v>0.21</v>
      </c>
      <c r="M4661">
        <v>0.58209999999999995</v>
      </c>
      <c r="N4661">
        <v>8</v>
      </c>
      <c r="O4661">
        <v>65</v>
      </c>
      <c r="P4661">
        <v>73</v>
      </c>
      <c r="Q4661">
        <v>468</v>
      </c>
      <c r="R4661">
        <v>469</v>
      </c>
    </row>
    <row r="4662" spans="1:18" x14ac:dyDescent="0.25">
      <c r="A4662">
        <v>470</v>
      </c>
      <c r="B4662" s="1">
        <v>40564</v>
      </c>
      <c r="C4662">
        <v>1</v>
      </c>
      <c r="D4662">
        <v>0</v>
      </c>
      <c r="E4662">
        <v>1</v>
      </c>
      <c r="F4662">
        <v>14</v>
      </c>
      <c r="G4662" t="b">
        <v>0</v>
      </c>
      <c r="H4662">
        <v>5</v>
      </c>
      <c r="I4662">
        <v>1</v>
      </c>
      <c r="J4662">
        <v>0.2</v>
      </c>
      <c r="K4662">
        <v>0.1515</v>
      </c>
      <c r="L4662">
        <v>0.25</v>
      </c>
      <c r="M4662">
        <v>0.52239999999999998</v>
      </c>
      <c r="N4662">
        <v>6</v>
      </c>
      <c r="O4662">
        <v>56</v>
      </c>
      <c r="P4662">
        <v>62</v>
      </c>
      <c r="Q4662">
        <v>469</v>
      </c>
      <c r="R4662">
        <v>470</v>
      </c>
    </row>
    <row r="4663" spans="1:18" x14ac:dyDescent="0.25">
      <c r="A4663">
        <v>471</v>
      </c>
      <c r="B4663" s="1">
        <v>40564</v>
      </c>
      <c r="C4663">
        <v>1</v>
      </c>
      <c r="D4663">
        <v>0</v>
      </c>
      <c r="E4663">
        <v>1</v>
      </c>
      <c r="F4663">
        <v>15</v>
      </c>
      <c r="G4663" t="b">
        <v>0</v>
      </c>
      <c r="H4663">
        <v>5</v>
      </c>
      <c r="I4663">
        <v>1</v>
      </c>
      <c r="J4663">
        <v>0.16</v>
      </c>
      <c r="K4663">
        <v>0.1212</v>
      </c>
      <c r="L4663">
        <v>0.26</v>
      </c>
      <c r="M4663">
        <v>0.44779999999999998</v>
      </c>
      <c r="N4663">
        <v>4</v>
      </c>
      <c r="O4663">
        <v>61</v>
      </c>
      <c r="P4663">
        <v>65</v>
      </c>
      <c r="Q4663">
        <v>470</v>
      </c>
      <c r="R4663">
        <v>471</v>
      </c>
    </row>
    <row r="4664" spans="1:18" x14ac:dyDescent="0.25">
      <c r="A4664">
        <v>472</v>
      </c>
      <c r="B4664" s="1">
        <v>40564</v>
      </c>
      <c r="C4664">
        <v>1</v>
      </c>
      <c r="D4664">
        <v>0</v>
      </c>
      <c r="E4664">
        <v>1</v>
      </c>
      <c r="F4664">
        <v>16</v>
      </c>
      <c r="G4664" t="b">
        <v>0</v>
      </c>
      <c r="H4664">
        <v>5</v>
      </c>
      <c r="I4664">
        <v>1</v>
      </c>
      <c r="J4664">
        <v>0.16</v>
      </c>
      <c r="K4664">
        <v>0.13639999999999999</v>
      </c>
      <c r="L4664">
        <v>0.26</v>
      </c>
      <c r="M4664">
        <v>0.35820000000000002</v>
      </c>
      <c r="N4664">
        <v>0</v>
      </c>
      <c r="O4664">
        <v>97</v>
      </c>
      <c r="P4664">
        <v>97</v>
      </c>
      <c r="Q4664">
        <v>471</v>
      </c>
      <c r="R4664">
        <v>472</v>
      </c>
    </row>
    <row r="4665" spans="1:18" x14ac:dyDescent="0.25">
      <c r="A4665">
        <v>473</v>
      </c>
      <c r="B4665" s="1">
        <v>40564</v>
      </c>
      <c r="C4665">
        <v>1</v>
      </c>
      <c r="D4665">
        <v>0</v>
      </c>
      <c r="E4665">
        <v>1</v>
      </c>
      <c r="F4665">
        <v>17</v>
      </c>
      <c r="G4665" t="b">
        <v>0</v>
      </c>
      <c r="H4665">
        <v>5</v>
      </c>
      <c r="I4665">
        <v>1</v>
      </c>
      <c r="J4665">
        <v>0.14000000000000001</v>
      </c>
      <c r="K4665">
        <v>0.1212</v>
      </c>
      <c r="L4665">
        <v>0.28000000000000003</v>
      </c>
      <c r="M4665">
        <v>0.35820000000000002</v>
      </c>
      <c r="N4665">
        <v>10</v>
      </c>
      <c r="O4665">
        <v>151</v>
      </c>
      <c r="P4665">
        <v>161</v>
      </c>
      <c r="Q4665">
        <v>472</v>
      </c>
      <c r="R4665">
        <v>473</v>
      </c>
    </row>
    <row r="4666" spans="1:18" x14ac:dyDescent="0.25">
      <c r="A4666">
        <v>474</v>
      </c>
      <c r="B4666" s="1">
        <v>40564</v>
      </c>
      <c r="C4666">
        <v>1</v>
      </c>
      <c r="D4666">
        <v>0</v>
      </c>
      <c r="E4666">
        <v>1</v>
      </c>
      <c r="F4666">
        <v>18</v>
      </c>
      <c r="G4666" t="b">
        <v>0</v>
      </c>
      <c r="H4666">
        <v>5</v>
      </c>
      <c r="I4666">
        <v>1</v>
      </c>
      <c r="J4666">
        <v>0.12</v>
      </c>
      <c r="K4666">
        <v>0.1212</v>
      </c>
      <c r="L4666">
        <v>0.3</v>
      </c>
      <c r="M4666">
        <v>0.25369999999999998</v>
      </c>
      <c r="N4666">
        <v>1</v>
      </c>
      <c r="O4666">
        <v>119</v>
      </c>
      <c r="P4666">
        <v>120</v>
      </c>
      <c r="Q4666">
        <v>473</v>
      </c>
      <c r="R4666">
        <v>474</v>
      </c>
    </row>
    <row r="4667" spans="1:18" x14ac:dyDescent="0.25">
      <c r="A4667">
        <v>475</v>
      </c>
      <c r="B4667" s="1">
        <v>40564</v>
      </c>
      <c r="C4667">
        <v>1</v>
      </c>
      <c r="D4667">
        <v>0</v>
      </c>
      <c r="E4667">
        <v>1</v>
      </c>
      <c r="F4667">
        <v>19</v>
      </c>
      <c r="G4667" t="b">
        <v>0</v>
      </c>
      <c r="H4667">
        <v>5</v>
      </c>
      <c r="I4667">
        <v>1</v>
      </c>
      <c r="J4667">
        <v>0.12</v>
      </c>
      <c r="K4667">
        <v>0.1061</v>
      </c>
      <c r="L4667">
        <v>0.3</v>
      </c>
      <c r="M4667">
        <v>0.32840000000000003</v>
      </c>
      <c r="N4667">
        <v>3</v>
      </c>
      <c r="O4667">
        <v>93</v>
      </c>
      <c r="P4667">
        <v>96</v>
      </c>
      <c r="Q4667">
        <v>474</v>
      </c>
      <c r="R4667">
        <v>475</v>
      </c>
    </row>
    <row r="4668" spans="1:18" x14ac:dyDescent="0.25">
      <c r="A4668">
        <v>476</v>
      </c>
      <c r="B4668" s="1">
        <v>40564</v>
      </c>
      <c r="C4668">
        <v>1</v>
      </c>
      <c r="D4668">
        <v>0</v>
      </c>
      <c r="E4668">
        <v>1</v>
      </c>
      <c r="F4668">
        <v>20</v>
      </c>
      <c r="G4668" t="b">
        <v>0</v>
      </c>
      <c r="H4668">
        <v>5</v>
      </c>
      <c r="I4668">
        <v>1</v>
      </c>
      <c r="J4668">
        <v>0.1</v>
      </c>
      <c r="K4668">
        <v>7.5800000000000006E-2</v>
      </c>
      <c r="L4668">
        <v>0.33</v>
      </c>
      <c r="M4668">
        <v>0.41789999999999999</v>
      </c>
      <c r="N4668">
        <v>1</v>
      </c>
      <c r="O4668">
        <v>52</v>
      </c>
      <c r="P4668">
        <v>53</v>
      </c>
      <c r="Q4668">
        <v>475</v>
      </c>
      <c r="R4668">
        <v>476</v>
      </c>
    </row>
    <row r="4669" spans="1:18" x14ac:dyDescent="0.25">
      <c r="A4669">
        <v>477</v>
      </c>
      <c r="B4669" s="1">
        <v>40564</v>
      </c>
      <c r="C4669">
        <v>1</v>
      </c>
      <c r="D4669">
        <v>0</v>
      </c>
      <c r="E4669">
        <v>1</v>
      </c>
      <c r="F4669">
        <v>21</v>
      </c>
      <c r="G4669" t="b">
        <v>0</v>
      </c>
      <c r="H4669">
        <v>5</v>
      </c>
      <c r="I4669">
        <v>1</v>
      </c>
      <c r="J4669">
        <v>0.08</v>
      </c>
      <c r="K4669">
        <v>7.5800000000000006E-2</v>
      </c>
      <c r="L4669">
        <v>0.38</v>
      </c>
      <c r="M4669">
        <v>0.28360000000000002</v>
      </c>
      <c r="N4669">
        <v>0</v>
      </c>
      <c r="O4669">
        <v>41</v>
      </c>
      <c r="P4669">
        <v>41</v>
      </c>
      <c r="Q4669">
        <v>476</v>
      </c>
      <c r="R4669">
        <v>477</v>
      </c>
    </row>
    <row r="4670" spans="1:18" x14ac:dyDescent="0.25">
      <c r="A4670">
        <v>478</v>
      </c>
      <c r="B4670" s="1">
        <v>40564</v>
      </c>
      <c r="C4670">
        <v>1</v>
      </c>
      <c r="D4670">
        <v>0</v>
      </c>
      <c r="E4670">
        <v>1</v>
      </c>
      <c r="F4670">
        <v>22</v>
      </c>
      <c r="G4670" t="b">
        <v>0</v>
      </c>
      <c r="H4670">
        <v>5</v>
      </c>
      <c r="I4670">
        <v>1</v>
      </c>
      <c r="J4670">
        <v>0.06</v>
      </c>
      <c r="K4670">
        <v>3.0300000000000001E-2</v>
      </c>
      <c r="L4670">
        <v>0.41</v>
      </c>
      <c r="M4670">
        <v>0.3881</v>
      </c>
      <c r="N4670">
        <v>1</v>
      </c>
      <c r="O4670">
        <v>33</v>
      </c>
      <c r="P4670">
        <v>34</v>
      </c>
      <c r="Q4670">
        <v>477</v>
      </c>
      <c r="R4670">
        <v>478</v>
      </c>
    </row>
    <row r="4671" spans="1:18" x14ac:dyDescent="0.25">
      <c r="A4671">
        <v>479</v>
      </c>
      <c r="B4671" s="1">
        <v>40564</v>
      </c>
      <c r="C4671">
        <v>1</v>
      </c>
      <c r="D4671">
        <v>0</v>
      </c>
      <c r="E4671">
        <v>1</v>
      </c>
      <c r="F4671">
        <v>23</v>
      </c>
      <c r="G4671" t="b">
        <v>0</v>
      </c>
      <c r="H4671">
        <v>5</v>
      </c>
      <c r="I4671">
        <v>1</v>
      </c>
      <c r="J4671">
        <v>0.06</v>
      </c>
      <c r="K4671">
        <v>4.5499999999999999E-2</v>
      </c>
      <c r="L4671">
        <v>0.38</v>
      </c>
      <c r="M4671">
        <v>0.32840000000000003</v>
      </c>
      <c r="N4671">
        <v>0</v>
      </c>
      <c r="O4671">
        <v>27</v>
      </c>
      <c r="P4671">
        <v>27</v>
      </c>
      <c r="Q4671">
        <v>478</v>
      </c>
      <c r="R4671">
        <v>479</v>
      </c>
    </row>
    <row r="4672" spans="1:18" x14ac:dyDescent="0.25">
      <c r="A4672">
        <v>480</v>
      </c>
      <c r="B4672" s="1">
        <v>40565</v>
      </c>
      <c r="C4672">
        <v>1</v>
      </c>
      <c r="D4672">
        <v>0</v>
      </c>
      <c r="E4672">
        <v>1</v>
      </c>
      <c r="F4672">
        <v>0</v>
      </c>
      <c r="G4672" t="b">
        <v>0</v>
      </c>
      <c r="H4672">
        <v>6</v>
      </c>
      <c r="I4672">
        <v>1</v>
      </c>
      <c r="J4672">
        <v>0.04</v>
      </c>
      <c r="K4672">
        <v>3.0300000000000001E-2</v>
      </c>
      <c r="L4672">
        <v>0.45</v>
      </c>
      <c r="M4672">
        <v>0.25369999999999998</v>
      </c>
      <c r="N4672">
        <v>0</v>
      </c>
      <c r="O4672">
        <v>13</v>
      </c>
      <c r="P4672">
        <v>13</v>
      </c>
      <c r="Q4672">
        <v>479</v>
      </c>
      <c r="R4672">
        <v>480</v>
      </c>
    </row>
    <row r="4673" spans="1:18" x14ac:dyDescent="0.25">
      <c r="A4673">
        <v>481</v>
      </c>
      <c r="B4673" s="1">
        <v>40565</v>
      </c>
      <c r="C4673">
        <v>1</v>
      </c>
      <c r="D4673">
        <v>0</v>
      </c>
      <c r="E4673">
        <v>1</v>
      </c>
      <c r="F4673">
        <v>1</v>
      </c>
      <c r="G4673" t="b">
        <v>0</v>
      </c>
      <c r="H4673">
        <v>6</v>
      </c>
      <c r="I4673">
        <v>2</v>
      </c>
      <c r="J4673">
        <v>0.04</v>
      </c>
      <c r="K4673">
        <v>0</v>
      </c>
      <c r="L4673">
        <v>0.41</v>
      </c>
      <c r="M4673">
        <v>0.3881</v>
      </c>
      <c r="N4673">
        <v>3</v>
      </c>
      <c r="O4673">
        <v>9</v>
      </c>
      <c r="P4673">
        <v>12</v>
      </c>
      <c r="Q4673">
        <v>480</v>
      </c>
      <c r="R4673">
        <v>481</v>
      </c>
    </row>
    <row r="4674" spans="1:18" x14ac:dyDescent="0.25">
      <c r="A4674">
        <v>482</v>
      </c>
      <c r="B4674" s="1">
        <v>40565</v>
      </c>
      <c r="C4674">
        <v>1</v>
      </c>
      <c r="D4674">
        <v>0</v>
      </c>
      <c r="E4674">
        <v>1</v>
      </c>
      <c r="F4674">
        <v>2</v>
      </c>
      <c r="G4674" t="b">
        <v>0</v>
      </c>
      <c r="H4674">
        <v>6</v>
      </c>
      <c r="I4674">
        <v>2</v>
      </c>
      <c r="J4674">
        <v>0.04</v>
      </c>
      <c r="K4674">
        <v>3.0300000000000001E-2</v>
      </c>
      <c r="L4674">
        <v>0.41</v>
      </c>
      <c r="M4674">
        <v>0.25369999999999998</v>
      </c>
      <c r="N4674">
        <v>0</v>
      </c>
      <c r="O4674">
        <v>11</v>
      </c>
      <c r="P4674">
        <v>11</v>
      </c>
      <c r="Q4674">
        <v>481</v>
      </c>
      <c r="R4674">
        <v>482</v>
      </c>
    </row>
    <row r="4675" spans="1:18" x14ac:dyDescent="0.25">
      <c r="A4675">
        <v>483</v>
      </c>
      <c r="B4675" s="1">
        <v>40565</v>
      </c>
      <c r="C4675">
        <v>1</v>
      </c>
      <c r="D4675">
        <v>0</v>
      </c>
      <c r="E4675">
        <v>1</v>
      </c>
      <c r="F4675">
        <v>3</v>
      </c>
      <c r="G4675" t="b">
        <v>0</v>
      </c>
      <c r="H4675">
        <v>6</v>
      </c>
      <c r="I4675">
        <v>2</v>
      </c>
      <c r="J4675">
        <v>0.04</v>
      </c>
      <c r="K4675">
        <v>3.0300000000000001E-2</v>
      </c>
      <c r="L4675">
        <v>0.41</v>
      </c>
      <c r="M4675">
        <v>0.28360000000000002</v>
      </c>
      <c r="N4675">
        <v>1</v>
      </c>
      <c r="O4675">
        <v>6</v>
      </c>
      <c r="P4675">
        <v>7</v>
      </c>
      <c r="Q4675">
        <v>482</v>
      </c>
      <c r="R4675">
        <v>483</v>
      </c>
    </row>
    <row r="4676" spans="1:18" x14ac:dyDescent="0.25">
      <c r="A4676">
        <v>484</v>
      </c>
      <c r="B4676" s="1">
        <v>40565</v>
      </c>
      <c r="C4676">
        <v>1</v>
      </c>
      <c r="D4676">
        <v>0</v>
      </c>
      <c r="E4676">
        <v>1</v>
      </c>
      <c r="F4676">
        <v>4</v>
      </c>
      <c r="G4676" t="b">
        <v>0</v>
      </c>
      <c r="H4676">
        <v>6</v>
      </c>
      <c r="I4676">
        <v>2</v>
      </c>
      <c r="J4676">
        <v>0.02</v>
      </c>
      <c r="K4676">
        <v>1.52E-2</v>
      </c>
      <c r="L4676">
        <v>0.48</v>
      </c>
      <c r="M4676">
        <v>0.29849999999999999</v>
      </c>
      <c r="N4676">
        <v>0</v>
      </c>
      <c r="O4676">
        <v>3</v>
      </c>
      <c r="P4676">
        <v>3</v>
      </c>
      <c r="Q4676">
        <v>483</v>
      </c>
      <c r="R4676">
        <v>484</v>
      </c>
    </row>
    <row r="4677" spans="1:18" x14ac:dyDescent="0.25">
      <c r="A4677">
        <v>485</v>
      </c>
      <c r="B4677" s="1">
        <v>40565</v>
      </c>
      <c r="C4677">
        <v>1</v>
      </c>
      <c r="D4677">
        <v>0</v>
      </c>
      <c r="E4677">
        <v>1</v>
      </c>
      <c r="F4677">
        <v>6</v>
      </c>
      <c r="G4677" t="b">
        <v>0</v>
      </c>
      <c r="H4677">
        <v>6</v>
      </c>
      <c r="I4677">
        <v>2</v>
      </c>
      <c r="J4677">
        <v>0.02</v>
      </c>
      <c r="K4677">
        <v>3.0300000000000001E-2</v>
      </c>
      <c r="L4677">
        <v>0.44</v>
      </c>
      <c r="M4677">
        <v>0.22389999999999999</v>
      </c>
      <c r="N4677">
        <v>0</v>
      </c>
      <c r="O4677">
        <v>2</v>
      </c>
      <c r="P4677">
        <v>2</v>
      </c>
      <c r="Q4677">
        <v>484</v>
      </c>
      <c r="R4677">
        <v>485</v>
      </c>
    </row>
    <row r="4678" spans="1:18" x14ac:dyDescent="0.25">
      <c r="A4678">
        <v>486</v>
      </c>
      <c r="B4678" s="1">
        <v>40565</v>
      </c>
      <c r="C4678">
        <v>1</v>
      </c>
      <c r="D4678">
        <v>0</v>
      </c>
      <c r="E4678">
        <v>1</v>
      </c>
      <c r="F4678">
        <v>7</v>
      </c>
      <c r="G4678" t="b">
        <v>0</v>
      </c>
      <c r="H4678">
        <v>6</v>
      </c>
      <c r="I4678">
        <v>1</v>
      </c>
      <c r="J4678">
        <v>0.02</v>
      </c>
      <c r="K4678">
        <v>1.52E-2</v>
      </c>
      <c r="L4678">
        <v>0.44</v>
      </c>
      <c r="M4678">
        <v>0.28360000000000002</v>
      </c>
      <c r="N4678">
        <v>0</v>
      </c>
      <c r="O4678">
        <v>8</v>
      </c>
      <c r="P4678">
        <v>8</v>
      </c>
      <c r="Q4678">
        <v>485</v>
      </c>
      <c r="R4678">
        <v>486</v>
      </c>
    </row>
    <row r="4679" spans="1:18" x14ac:dyDescent="0.25">
      <c r="A4679">
        <v>487</v>
      </c>
      <c r="B4679" s="1">
        <v>40565</v>
      </c>
      <c r="C4679">
        <v>1</v>
      </c>
      <c r="D4679">
        <v>0</v>
      </c>
      <c r="E4679">
        <v>1</v>
      </c>
      <c r="F4679">
        <v>8</v>
      </c>
      <c r="G4679" t="b">
        <v>0</v>
      </c>
      <c r="H4679">
        <v>6</v>
      </c>
      <c r="I4679">
        <v>1</v>
      </c>
      <c r="J4679">
        <v>0.02</v>
      </c>
      <c r="K4679">
        <v>0</v>
      </c>
      <c r="L4679">
        <v>0.44</v>
      </c>
      <c r="M4679">
        <v>0.32840000000000003</v>
      </c>
      <c r="N4679">
        <v>1</v>
      </c>
      <c r="O4679">
        <v>26</v>
      </c>
      <c r="P4679">
        <v>27</v>
      </c>
      <c r="Q4679">
        <v>486</v>
      </c>
      <c r="R4679">
        <v>487</v>
      </c>
    </row>
    <row r="4680" spans="1:18" x14ac:dyDescent="0.25">
      <c r="A4680">
        <v>488</v>
      </c>
      <c r="B4680" s="1">
        <v>40565</v>
      </c>
      <c r="C4680">
        <v>1</v>
      </c>
      <c r="D4680">
        <v>0</v>
      </c>
      <c r="E4680">
        <v>1</v>
      </c>
      <c r="F4680">
        <v>9</v>
      </c>
      <c r="G4680" t="b">
        <v>0</v>
      </c>
      <c r="H4680">
        <v>6</v>
      </c>
      <c r="I4680">
        <v>1</v>
      </c>
      <c r="J4680">
        <v>0.04</v>
      </c>
      <c r="K4680">
        <v>3.0300000000000001E-2</v>
      </c>
      <c r="L4680">
        <v>0.41</v>
      </c>
      <c r="M4680">
        <v>0.25369999999999998</v>
      </c>
      <c r="N4680">
        <v>3</v>
      </c>
      <c r="O4680">
        <v>37</v>
      </c>
      <c r="P4680">
        <v>40</v>
      </c>
      <c r="Q4680">
        <v>487</v>
      </c>
      <c r="R4680">
        <v>488</v>
      </c>
    </row>
    <row r="4681" spans="1:18" x14ac:dyDescent="0.25">
      <c r="A4681">
        <v>489</v>
      </c>
      <c r="B4681" s="1">
        <v>40565</v>
      </c>
      <c r="C4681">
        <v>1</v>
      </c>
      <c r="D4681">
        <v>0</v>
      </c>
      <c r="E4681">
        <v>1</v>
      </c>
      <c r="F4681">
        <v>10</v>
      </c>
      <c r="G4681" t="b">
        <v>0</v>
      </c>
      <c r="H4681">
        <v>6</v>
      </c>
      <c r="I4681">
        <v>2</v>
      </c>
      <c r="J4681">
        <v>0.04</v>
      </c>
      <c r="K4681">
        <v>6.0600000000000001E-2</v>
      </c>
      <c r="L4681">
        <v>0.41</v>
      </c>
      <c r="M4681">
        <v>0.16420000000000001</v>
      </c>
      <c r="N4681">
        <v>3</v>
      </c>
      <c r="O4681">
        <v>50</v>
      </c>
      <c r="P4681">
        <v>53</v>
      </c>
      <c r="Q4681">
        <v>488</v>
      </c>
      <c r="R4681">
        <v>489</v>
      </c>
    </row>
    <row r="4682" spans="1:18" x14ac:dyDescent="0.25">
      <c r="A4682">
        <v>490</v>
      </c>
      <c r="B4682" s="1">
        <v>40565</v>
      </c>
      <c r="C4682">
        <v>1</v>
      </c>
      <c r="D4682">
        <v>0</v>
      </c>
      <c r="E4682">
        <v>1</v>
      </c>
      <c r="F4682">
        <v>11</v>
      </c>
      <c r="G4682" t="b">
        <v>0</v>
      </c>
      <c r="H4682">
        <v>6</v>
      </c>
      <c r="I4682">
        <v>2</v>
      </c>
      <c r="J4682">
        <v>0.06</v>
      </c>
      <c r="K4682">
        <v>7.5800000000000006E-2</v>
      </c>
      <c r="L4682">
        <v>0.38</v>
      </c>
      <c r="M4682">
        <v>0.1343</v>
      </c>
      <c r="N4682">
        <v>4</v>
      </c>
      <c r="O4682">
        <v>59</v>
      </c>
      <c r="P4682">
        <v>63</v>
      </c>
      <c r="Q4682">
        <v>489</v>
      </c>
      <c r="R4682">
        <v>490</v>
      </c>
    </row>
    <row r="4683" spans="1:18" x14ac:dyDescent="0.25">
      <c r="A4683">
        <v>491</v>
      </c>
      <c r="B4683" s="1">
        <v>40565</v>
      </c>
      <c r="C4683">
        <v>1</v>
      </c>
      <c r="D4683">
        <v>0</v>
      </c>
      <c r="E4683">
        <v>1</v>
      </c>
      <c r="F4683">
        <v>12</v>
      </c>
      <c r="G4683" t="b">
        <v>0</v>
      </c>
      <c r="H4683">
        <v>6</v>
      </c>
      <c r="I4683">
        <v>2</v>
      </c>
      <c r="J4683">
        <v>0.06</v>
      </c>
      <c r="K4683">
        <v>0.1061</v>
      </c>
      <c r="L4683">
        <v>0.38</v>
      </c>
      <c r="M4683">
        <v>0.1045</v>
      </c>
      <c r="N4683">
        <v>10</v>
      </c>
      <c r="O4683">
        <v>60</v>
      </c>
      <c r="P4683">
        <v>70</v>
      </c>
      <c r="Q4683">
        <v>490</v>
      </c>
      <c r="R4683">
        <v>491</v>
      </c>
    </row>
    <row r="4684" spans="1:18" x14ac:dyDescent="0.25">
      <c r="A4684">
        <v>492</v>
      </c>
      <c r="B4684" s="1">
        <v>40565</v>
      </c>
      <c r="C4684">
        <v>1</v>
      </c>
      <c r="D4684">
        <v>0</v>
      </c>
      <c r="E4684">
        <v>1</v>
      </c>
      <c r="F4684">
        <v>13</v>
      </c>
      <c r="G4684" t="b">
        <v>0</v>
      </c>
      <c r="H4684">
        <v>6</v>
      </c>
      <c r="I4684">
        <v>1</v>
      </c>
      <c r="J4684">
        <v>0.08</v>
      </c>
      <c r="K4684">
        <v>0.16669999999999999</v>
      </c>
      <c r="L4684">
        <v>0.35</v>
      </c>
      <c r="M4684">
        <v>0</v>
      </c>
      <c r="N4684">
        <v>12</v>
      </c>
      <c r="O4684">
        <v>72</v>
      </c>
      <c r="P4684">
        <v>84</v>
      </c>
      <c r="Q4684">
        <v>491</v>
      </c>
      <c r="R4684">
        <v>492</v>
      </c>
    </row>
    <row r="4685" spans="1:18" x14ac:dyDescent="0.25">
      <c r="A4685">
        <v>493</v>
      </c>
      <c r="B4685" s="1">
        <v>40565</v>
      </c>
      <c r="C4685">
        <v>1</v>
      </c>
      <c r="D4685">
        <v>0</v>
      </c>
      <c r="E4685">
        <v>1</v>
      </c>
      <c r="F4685">
        <v>14</v>
      </c>
      <c r="G4685" t="b">
        <v>0</v>
      </c>
      <c r="H4685">
        <v>6</v>
      </c>
      <c r="I4685">
        <v>1</v>
      </c>
      <c r="J4685">
        <v>0.1</v>
      </c>
      <c r="K4685">
        <v>0.13639999999999999</v>
      </c>
      <c r="L4685">
        <v>0.33</v>
      </c>
      <c r="M4685">
        <v>0.1045</v>
      </c>
      <c r="N4685">
        <v>11</v>
      </c>
      <c r="O4685">
        <v>64</v>
      </c>
      <c r="P4685">
        <v>75</v>
      </c>
      <c r="Q4685">
        <v>492</v>
      </c>
      <c r="R4685">
        <v>493</v>
      </c>
    </row>
    <row r="4686" spans="1:18" x14ac:dyDescent="0.25">
      <c r="A4686">
        <v>494</v>
      </c>
      <c r="B4686" s="1">
        <v>40565</v>
      </c>
      <c r="C4686">
        <v>1</v>
      </c>
      <c r="D4686">
        <v>0</v>
      </c>
      <c r="E4686">
        <v>1</v>
      </c>
      <c r="F4686">
        <v>15</v>
      </c>
      <c r="G4686" t="b">
        <v>0</v>
      </c>
      <c r="H4686">
        <v>6</v>
      </c>
      <c r="I4686">
        <v>1</v>
      </c>
      <c r="J4686">
        <v>0.12</v>
      </c>
      <c r="K4686">
        <v>0.1515</v>
      </c>
      <c r="L4686">
        <v>0.28000000000000003</v>
      </c>
      <c r="M4686">
        <v>0</v>
      </c>
      <c r="N4686">
        <v>10</v>
      </c>
      <c r="O4686">
        <v>93</v>
      </c>
      <c r="P4686">
        <v>103</v>
      </c>
      <c r="Q4686">
        <v>493</v>
      </c>
      <c r="R4686">
        <v>494</v>
      </c>
    </row>
    <row r="4687" spans="1:18" x14ac:dyDescent="0.25">
      <c r="A4687">
        <v>495</v>
      </c>
      <c r="B4687" s="1">
        <v>40565</v>
      </c>
      <c r="C4687">
        <v>1</v>
      </c>
      <c r="D4687">
        <v>0</v>
      </c>
      <c r="E4687">
        <v>1</v>
      </c>
      <c r="F4687">
        <v>16</v>
      </c>
      <c r="G4687" t="b">
        <v>0</v>
      </c>
      <c r="H4687">
        <v>6</v>
      </c>
      <c r="I4687">
        <v>1</v>
      </c>
      <c r="J4687">
        <v>0.12</v>
      </c>
      <c r="K4687">
        <v>0.13639999999999999</v>
      </c>
      <c r="L4687">
        <v>0.28000000000000003</v>
      </c>
      <c r="M4687">
        <v>0.19400000000000001</v>
      </c>
      <c r="N4687">
        <v>11</v>
      </c>
      <c r="O4687">
        <v>72</v>
      </c>
      <c r="P4687">
        <v>83</v>
      </c>
      <c r="Q4687">
        <v>494</v>
      </c>
      <c r="R4687">
        <v>495</v>
      </c>
    </row>
    <row r="4688" spans="1:18" x14ac:dyDescent="0.25">
      <c r="A4688">
        <v>496</v>
      </c>
      <c r="B4688" s="1">
        <v>40565</v>
      </c>
      <c r="C4688">
        <v>1</v>
      </c>
      <c r="D4688">
        <v>0</v>
      </c>
      <c r="E4688">
        <v>1</v>
      </c>
      <c r="F4688">
        <v>17</v>
      </c>
      <c r="G4688" t="b">
        <v>0</v>
      </c>
      <c r="H4688">
        <v>6</v>
      </c>
      <c r="I4688">
        <v>1</v>
      </c>
      <c r="J4688">
        <v>0.12</v>
      </c>
      <c r="K4688">
        <v>0.19700000000000001</v>
      </c>
      <c r="L4688">
        <v>0.28000000000000003</v>
      </c>
      <c r="M4688">
        <v>0</v>
      </c>
      <c r="N4688">
        <v>8</v>
      </c>
      <c r="O4688">
        <v>59</v>
      </c>
      <c r="P4688">
        <v>67</v>
      </c>
      <c r="Q4688">
        <v>495</v>
      </c>
      <c r="R4688">
        <v>496</v>
      </c>
    </row>
    <row r="4689" spans="1:18" x14ac:dyDescent="0.25">
      <c r="A4689">
        <v>497</v>
      </c>
      <c r="B4689" s="1">
        <v>40565</v>
      </c>
      <c r="C4689">
        <v>1</v>
      </c>
      <c r="D4689">
        <v>0</v>
      </c>
      <c r="E4689">
        <v>1</v>
      </c>
      <c r="F4689">
        <v>18</v>
      </c>
      <c r="G4689" t="b">
        <v>0</v>
      </c>
      <c r="H4689">
        <v>6</v>
      </c>
      <c r="I4689">
        <v>1</v>
      </c>
      <c r="J4689">
        <v>0.08</v>
      </c>
      <c r="K4689">
        <v>9.0899999999999995E-2</v>
      </c>
      <c r="L4689">
        <v>0.35</v>
      </c>
      <c r="M4689">
        <v>0.19400000000000001</v>
      </c>
      <c r="N4689">
        <v>0</v>
      </c>
      <c r="O4689">
        <v>54</v>
      </c>
      <c r="P4689">
        <v>54</v>
      </c>
      <c r="Q4689">
        <v>496</v>
      </c>
      <c r="R4689">
        <v>497</v>
      </c>
    </row>
    <row r="4690" spans="1:18" x14ac:dyDescent="0.25">
      <c r="A4690">
        <v>498</v>
      </c>
      <c r="B4690" s="1">
        <v>40565</v>
      </c>
      <c r="C4690">
        <v>1</v>
      </c>
      <c r="D4690">
        <v>0</v>
      </c>
      <c r="E4690">
        <v>1</v>
      </c>
      <c r="F4690">
        <v>19</v>
      </c>
      <c r="G4690" t="b">
        <v>0</v>
      </c>
      <c r="H4690">
        <v>6</v>
      </c>
      <c r="I4690">
        <v>1</v>
      </c>
      <c r="J4690">
        <v>0.08</v>
      </c>
      <c r="K4690">
        <v>0.1061</v>
      </c>
      <c r="L4690">
        <v>0.35</v>
      </c>
      <c r="M4690">
        <v>0.1343</v>
      </c>
      <c r="N4690">
        <v>6</v>
      </c>
      <c r="O4690">
        <v>53</v>
      </c>
      <c r="P4690">
        <v>59</v>
      </c>
      <c r="Q4690">
        <v>497</v>
      </c>
      <c r="R4690">
        <v>498</v>
      </c>
    </row>
    <row r="4691" spans="1:18" x14ac:dyDescent="0.25">
      <c r="A4691">
        <v>499</v>
      </c>
      <c r="B4691" s="1">
        <v>40565</v>
      </c>
      <c r="C4691">
        <v>1</v>
      </c>
      <c r="D4691">
        <v>0</v>
      </c>
      <c r="E4691">
        <v>1</v>
      </c>
      <c r="F4691">
        <v>20</v>
      </c>
      <c r="G4691" t="b">
        <v>0</v>
      </c>
      <c r="H4691">
        <v>6</v>
      </c>
      <c r="I4691">
        <v>1</v>
      </c>
      <c r="J4691">
        <v>0.06</v>
      </c>
      <c r="K4691">
        <v>7.5800000000000006E-2</v>
      </c>
      <c r="L4691">
        <v>0.45</v>
      </c>
      <c r="M4691">
        <v>0.16420000000000001</v>
      </c>
      <c r="N4691">
        <v>1</v>
      </c>
      <c r="O4691">
        <v>44</v>
      </c>
      <c r="P4691">
        <v>45</v>
      </c>
      <c r="Q4691">
        <v>498</v>
      </c>
      <c r="R4691">
        <v>499</v>
      </c>
    </row>
    <row r="4692" spans="1:18" x14ac:dyDescent="0.25">
      <c r="A4692">
        <v>500</v>
      </c>
      <c r="B4692" s="1">
        <v>40565</v>
      </c>
      <c r="C4692">
        <v>1</v>
      </c>
      <c r="D4692">
        <v>0</v>
      </c>
      <c r="E4692">
        <v>1</v>
      </c>
      <c r="F4692">
        <v>21</v>
      </c>
      <c r="G4692" t="b">
        <v>0</v>
      </c>
      <c r="H4692">
        <v>6</v>
      </c>
      <c r="I4692">
        <v>1</v>
      </c>
      <c r="J4692">
        <v>0.06</v>
      </c>
      <c r="K4692">
        <v>0.1061</v>
      </c>
      <c r="L4692">
        <v>0.41</v>
      </c>
      <c r="M4692">
        <v>8.9599999999999999E-2</v>
      </c>
      <c r="N4692">
        <v>0</v>
      </c>
      <c r="O4692">
        <v>39</v>
      </c>
      <c r="P4692">
        <v>39</v>
      </c>
      <c r="Q4692">
        <v>499</v>
      </c>
      <c r="R4692">
        <v>500</v>
      </c>
    </row>
    <row r="4693" spans="1:18" x14ac:dyDescent="0.25">
      <c r="A4693">
        <v>501</v>
      </c>
      <c r="B4693" s="1">
        <v>40565</v>
      </c>
      <c r="C4693">
        <v>1</v>
      </c>
      <c r="D4693">
        <v>0</v>
      </c>
      <c r="E4693">
        <v>1</v>
      </c>
      <c r="F4693">
        <v>22</v>
      </c>
      <c r="G4693" t="b">
        <v>0</v>
      </c>
      <c r="H4693">
        <v>6</v>
      </c>
      <c r="I4693">
        <v>1</v>
      </c>
      <c r="J4693">
        <v>0.06</v>
      </c>
      <c r="K4693">
        <v>0.1515</v>
      </c>
      <c r="L4693">
        <v>0.49</v>
      </c>
      <c r="M4693">
        <v>0</v>
      </c>
      <c r="N4693">
        <v>7</v>
      </c>
      <c r="O4693">
        <v>23</v>
      </c>
      <c r="P4693">
        <v>30</v>
      </c>
      <c r="Q4693">
        <v>500</v>
      </c>
      <c r="R4693">
        <v>501</v>
      </c>
    </row>
    <row r="4694" spans="1:18" x14ac:dyDescent="0.25">
      <c r="A4694">
        <v>502</v>
      </c>
      <c r="B4694" s="1">
        <v>40565</v>
      </c>
      <c r="C4694">
        <v>1</v>
      </c>
      <c r="D4694">
        <v>0</v>
      </c>
      <c r="E4694">
        <v>1</v>
      </c>
      <c r="F4694">
        <v>23</v>
      </c>
      <c r="G4694" t="b">
        <v>0</v>
      </c>
      <c r="H4694">
        <v>6</v>
      </c>
      <c r="I4694">
        <v>1</v>
      </c>
      <c r="J4694">
        <v>0.04</v>
      </c>
      <c r="K4694">
        <v>7.5800000000000006E-2</v>
      </c>
      <c r="L4694">
        <v>0.56999999999999995</v>
      </c>
      <c r="M4694">
        <v>0.1045</v>
      </c>
      <c r="N4694">
        <v>2</v>
      </c>
      <c r="O4694">
        <v>31</v>
      </c>
      <c r="P4694">
        <v>33</v>
      </c>
      <c r="Q4694">
        <v>501</v>
      </c>
      <c r="R4694">
        <v>502</v>
      </c>
    </row>
    <row r="4695" spans="1:18" x14ac:dyDescent="0.25">
      <c r="A4695">
        <v>503</v>
      </c>
      <c r="B4695" s="1">
        <v>40566</v>
      </c>
      <c r="C4695">
        <v>1</v>
      </c>
      <c r="D4695">
        <v>0</v>
      </c>
      <c r="E4695">
        <v>1</v>
      </c>
      <c r="F4695">
        <v>0</v>
      </c>
      <c r="G4695" t="b">
        <v>0</v>
      </c>
      <c r="H4695">
        <v>0</v>
      </c>
      <c r="I4695">
        <v>1</v>
      </c>
      <c r="J4695">
        <v>0.04</v>
      </c>
      <c r="K4695">
        <v>7.5800000000000006E-2</v>
      </c>
      <c r="L4695">
        <v>0.56999999999999995</v>
      </c>
      <c r="M4695">
        <v>0.1045</v>
      </c>
      <c r="N4695">
        <v>2</v>
      </c>
      <c r="O4695">
        <v>20</v>
      </c>
      <c r="P4695">
        <v>22</v>
      </c>
      <c r="Q4695">
        <v>502</v>
      </c>
      <c r="R4695">
        <v>503</v>
      </c>
    </row>
    <row r="4696" spans="1:18" x14ac:dyDescent="0.25">
      <c r="A4696">
        <v>504</v>
      </c>
      <c r="B4696" s="1">
        <v>40566</v>
      </c>
      <c r="C4696">
        <v>1</v>
      </c>
      <c r="D4696">
        <v>0</v>
      </c>
      <c r="E4696">
        <v>1</v>
      </c>
      <c r="F4696">
        <v>1</v>
      </c>
      <c r="G4696" t="b">
        <v>0</v>
      </c>
      <c r="H4696">
        <v>0</v>
      </c>
      <c r="I4696">
        <v>1</v>
      </c>
      <c r="J4696">
        <v>0.04</v>
      </c>
      <c r="K4696">
        <v>7.5800000000000006E-2</v>
      </c>
      <c r="L4696">
        <v>0.56999999999999995</v>
      </c>
      <c r="M4696">
        <v>0.1045</v>
      </c>
      <c r="N4696">
        <v>1</v>
      </c>
      <c r="O4696">
        <v>12</v>
      </c>
      <c r="P4696">
        <v>13</v>
      </c>
      <c r="Q4696">
        <v>503</v>
      </c>
      <c r="R4696">
        <v>504</v>
      </c>
    </row>
    <row r="4697" spans="1:18" x14ac:dyDescent="0.25">
      <c r="A4697">
        <v>505</v>
      </c>
      <c r="B4697" s="1">
        <v>40566</v>
      </c>
      <c r="C4697">
        <v>1</v>
      </c>
      <c r="D4697">
        <v>0</v>
      </c>
      <c r="E4697">
        <v>1</v>
      </c>
      <c r="F4697">
        <v>2</v>
      </c>
      <c r="G4697" t="b">
        <v>0</v>
      </c>
      <c r="H4697">
        <v>0</v>
      </c>
      <c r="I4697">
        <v>1</v>
      </c>
      <c r="J4697">
        <v>0.02</v>
      </c>
      <c r="K4697">
        <v>6.0600000000000001E-2</v>
      </c>
      <c r="L4697">
        <v>0.62</v>
      </c>
      <c r="M4697">
        <v>0.1343</v>
      </c>
      <c r="N4697">
        <v>3</v>
      </c>
      <c r="O4697">
        <v>15</v>
      </c>
      <c r="P4697">
        <v>18</v>
      </c>
      <c r="Q4697">
        <v>504</v>
      </c>
      <c r="R4697">
        <v>505</v>
      </c>
    </row>
    <row r="4698" spans="1:18" x14ac:dyDescent="0.25">
      <c r="A4698">
        <v>506</v>
      </c>
      <c r="B4698" s="1">
        <v>40566</v>
      </c>
      <c r="C4698">
        <v>1</v>
      </c>
      <c r="D4698">
        <v>0</v>
      </c>
      <c r="E4698">
        <v>1</v>
      </c>
      <c r="F4698">
        <v>3</v>
      </c>
      <c r="G4698" t="b">
        <v>0</v>
      </c>
      <c r="H4698">
        <v>0</v>
      </c>
      <c r="I4698">
        <v>1</v>
      </c>
      <c r="J4698">
        <v>0.02</v>
      </c>
      <c r="K4698">
        <v>6.0600000000000001E-2</v>
      </c>
      <c r="L4698">
        <v>0.62</v>
      </c>
      <c r="M4698">
        <v>0.1343</v>
      </c>
      <c r="N4698">
        <v>1</v>
      </c>
      <c r="O4698">
        <v>4</v>
      </c>
      <c r="P4698">
        <v>5</v>
      </c>
      <c r="Q4698">
        <v>505</v>
      </c>
      <c r="R4698">
        <v>506</v>
      </c>
    </row>
    <row r="4699" spans="1:18" x14ac:dyDescent="0.25">
      <c r="A4699">
        <v>507</v>
      </c>
      <c r="B4699" s="1">
        <v>40566</v>
      </c>
      <c r="C4699">
        <v>1</v>
      </c>
      <c r="D4699">
        <v>0</v>
      </c>
      <c r="E4699">
        <v>1</v>
      </c>
      <c r="F4699">
        <v>5</v>
      </c>
      <c r="G4699" t="b">
        <v>0</v>
      </c>
      <c r="H4699">
        <v>0</v>
      </c>
      <c r="I4699">
        <v>2</v>
      </c>
      <c r="J4699">
        <v>0.04</v>
      </c>
      <c r="K4699">
        <v>7.5800000000000006E-2</v>
      </c>
      <c r="L4699">
        <v>0.56999999999999995</v>
      </c>
      <c r="M4699">
        <v>0.1045</v>
      </c>
      <c r="N4699">
        <v>0</v>
      </c>
      <c r="O4699">
        <v>3</v>
      </c>
      <c r="P4699">
        <v>3</v>
      </c>
      <c r="Q4699">
        <v>506</v>
      </c>
      <c r="R4699">
        <v>507</v>
      </c>
    </row>
    <row r="4700" spans="1:18" x14ac:dyDescent="0.25">
      <c r="A4700">
        <v>508</v>
      </c>
      <c r="B4700" s="1">
        <v>40566</v>
      </c>
      <c r="C4700">
        <v>1</v>
      </c>
      <c r="D4700">
        <v>0</v>
      </c>
      <c r="E4700">
        <v>1</v>
      </c>
      <c r="F4700">
        <v>6</v>
      </c>
      <c r="G4700" t="b">
        <v>0</v>
      </c>
      <c r="H4700">
        <v>0</v>
      </c>
      <c r="I4700">
        <v>2</v>
      </c>
      <c r="J4700">
        <v>0.04</v>
      </c>
      <c r="K4700">
        <v>7.5800000000000006E-2</v>
      </c>
      <c r="L4700">
        <v>0.56999999999999995</v>
      </c>
      <c r="M4700">
        <v>0.1045</v>
      </c>
      <c r="N4700">
        <v>0</v>
      </c>
      <c r="O4700">
        <v>1</v>
      </c>
      <c r="P4700">
        <v>1</v>
      </c>
      <c r="Q4700">
        <v>507</v>
      </c>
      <c r="R4700">
        <v>508</v>
      </c>
    </row>
    <row r="4701" spans="1:18" x14ac:dyDescent="0.25">
      <c r="A4701">
        <v>509</v>
      </c>
      <c r="B4701" s="1">
        <v>40566</v>
      </c>
      <c r="C4701">
        <v>1</v>
      </c>
      <c r="D4701">
        <v>0</v>
      </c>
      <c r="E4701">
        <v>1</v>
      </c>
      <c r="F4701">
        <v>7</v>
      </c>
      <c r="G4701" t="b">
        <v>0</v>
      </c>
      <c r="H4701">
        <v>0</v>
      </c>
      <c r="I4701">
        <v>1</v>
      </c>
      <c r="J4701">
        <v>0.08</v>
      </c>
      <c r="K4701">
        <v>0.1061</v>
      </c>
      <c r="L4701">
        <v>0.57999999999999996</v>
      </c>
      <c r="M4701">
        <v>0.16420000000000001</v>
      </c>
      <c r="N4701">
        <v>1</v>
      </c>
      <c r="O4701">
        <v>1</v>
      </c>
      <c r="P4701">
        <v>2</v>
      </c>
      <c r="Q4701">
        <v>508</v>
      </c>
      <c r="R4701">
        <v>509</v>
      </c>
    </row>
    <row r="4702" spans="1:18" x14ac:dyDescent="0.25">
      <c r="A4702">
        <v>510</v>
      </c>
      <c r="B4702" s="1">
        <v>40566</v>
      </c>
      <c r="C4702">
        <v>1</v>
      </c>
      <c r="D4702">
        <v>0</v>
      </c>
      <c r="E4702">
        <v>1</v>
      </c>
      <c r="F4702">
        <v>8</v>
      </c>
      <c r="G4702" t="b">
        <v>0</v>
      </c>
      <c r="H4702">
        <v>0</v>
      </c>
      <c r="I4702">
        <v>1</v>
      </c>
      <c r="J4702">
        <v>0.06</v>
      </c>
      <c r="K4702">
        <v>7.5800000000000006E-2</v>
      </c>
      <c r="L4702">
        <v>0.62</v>
      </c>
      <c r="M4702">
        <v>0.16420000000000001</v>
      </c>
      <c r="N4702">
        <v>2</v>
      </c>
      <c r="O4702">
        <v>17</v>
      </c>
      <c r="P4702">
        <v>19</v>
      </c>
      <c r="Q4702">
        <v>509</v>
      </c>
      <c r="R4702">
        <v>510</v>
      </c>
    </row>
    <row r="4703" spans="1:18" x14ac:dyDescent="0.25">
      <c r="A4703">
        <v>511</v>
      </c>
      <c r="B4703" s="1">
        <v>40566</v>
      </c>
      <c r="C4703">
        <v>1</v>
      </c>
      <c r="D4703">
        <v>0</v>
      </c>
      <c r="E4703">
        <v>1</v>
      </c>
      <c r="F4703">
        <v>9</v>
      </c>
      <c r="G4703" t="b">
        <v>0</v>
      </c>
      <c r="H4703">
        <v>0</v>
      </c>
      <c r="I4703">
        <v>1</v>
      </c>
      <c r="J4703">
        <v>0.1</v>
      </c>
      <c r="K4703">
        <v>7.5800000000000006E-2</v>
      </c>
      <c r="L4703">
        <v>0.54</v>
      </c>
      <c r="M4703">
        <v>0.35820000000000002</v>
      </c>
      <c r="N4703">
        <v>3</v>
      </c>
      <c r="O4703">
        <v>25</v>
      </c>
      <c r="P4703">
        <v>28</v>
      </c>
      <c r="Q4703">
        <v>510</v>
      </c>
      <c r="R4703">
        <v>511</v>
      </c>
    </row>
    <row r="4704" spans="1:18" x14ac:dyDescent="0.25">
      <c r="A4704">
        <v>512</v>
      </c>
      <c r="B4704" s="1">
        <v>40566</v>
      </c>
      <c r="C4704">
        <v>1</v>
      </c>
      <c r="D4704">
        <v>0</v>
      </c>
      <c r="E4704">
        <v>1</v>
      </c>
      <c r="F4704">
        <v>10</v>
      </c>
      <c r="G4704" t="b">
        <v>0</v>
      </c>
      <c r="H4704">
        <v>0</v>
      </c>
      <c r="I4704">
        <v>1</v>
      </c>
      <c r="J4704">
        <v>0.14000000000000001</v>
      </c>
      <c r="K4704">
        <v>0.1061</v>
      </c>
      <c r="L4704">
        <v>0.46</v>
      </c>
      <c r="M4704">
        <v>0.3881</v>
      </c>
      <c r="N4704">
        <v>7</v>
      </c>
      <c r="O4704">
        <v>51</v>
      </c>
      <c r="P4704">
        <v>58</v>
      </c>
      <c r="Q4704">
        <v>511</v>
      </c>
      <c r="R4704">
        <v>512</v>
      </c>
    </row>
    <row r="4705" spans="1:18" x14ac:dyDescent="0.25">
      <c r="A4705">
        <v>513</v>
      </c>
      <c r="B4705" s="1">
        <v>40566</v>
      </c>
      <c r="C4705">
        <v>1</v>
      </c>
      <c r="D4705">
        <v>0</v>
      </c>
      <c r="E4705">
        <v>1</v>
      </c>
      <c r="F4705">
        <v>11</v>
      </c>
      <c r="G4705" t="b">
        <v>0</v>
      </c>
      <c r="H4705">
        <v>0</v>
      </c>
      <c r="I4705">
        <v>1</v>
      </c>
      <c r="J4705">
        <v>0.14000000000000001</v>
      </c>
      <c r="K4705">
        <v>0.13639999999999999</v>
      </c>
      <c r="L4705">
        <v>0.43</v>
      </c>
      <c r="M4705">
        <v>0.22389999999999999</v>
      </c>
      <c r="N4705">
        <v>22</v>
      </c>
      <c r="O4705">
        <v>77</v>
      </c>
      <c r="P4705">
        <v>99</v>
      </c>
      <c r="Q4705">
        <v>512</v>
      </c>
      <c r="R4705">
        <v>513</v>
      </c>
    </row>
    <row r="4706" spans="1:18" x14ac:dyDescent="0.25">
      <c r="A4706">
        <v>514</v>
      </c>
      <c r="B4706" s="1">
        <v>40566</v>
      </c>
      <c r="C4706">
        <v>1</v>
      </c>
      <c r="D4706">
        <v>0</v>
      </c>
      <c r="E4706">
        <v>1</v>
      </c>
      <c r="F4706">
        <v>12</v>
      </c>
      <c r="G4706" t="b">
        <v>0</v>
      </c>
      <c r="H4706">
        <v>0</v>
      </c>
      <c r="I4706">
        <v>1</v>
      </c>
      <c r="J4706">
        <v>0.16</v>
      </c>
      <c r="K4706">
        <v>0.1212</v>
      </c>
      <c r="L4706">
        <v>0.37</v>
      </c>
      <c r="M4706">
        <v>0.4627</v>
      </c>
      <c r="N4706">
        <v>24</v>
      </c>
      <c r="O4706">
        <v>92</v>
      </c>
      <c r="P4706">
        <v>116</v>
      </c>
      <c r="Q4706">
        <v>513</v>
      </c>
      <c r="R4706">
        <v>514</v>
      </c>
    </row>
    <row r="4707" spans="1:18" x14ac:dyDescent="0.25">
      <c r="A4707">
        <v>515</v>
      </c>
      <c r="B4707" s="1">
        <v>40566</v>
      </c>
      <c r="C4707">
        <v>1</v>
      </c>
      <c r="D4707">
        <v>0</v>
      </c>
      <c r="E4707">
        <v>1</v>
      </c>
      <c r="F4707">
        <v>13</v>
      </c>
      <c r="G4707" t="b">
        <v>0</v>
      </c>
      <c r="H4707">
        <v>0</v>
      </c>
      <c r="I4707">
        <v>1</v>
      </c>
      <c r="J4707">
        <v>0.14000000000000001</v>
      </c>
      <c r="K4707">
        <v>0.1061</v>
      </c>
      <c r="L4707">
        <v>0.33</v>
      </c>
      <c r="M4707">
        <v>0.3881</v>
      </c>
      <c r="N4707">
        <v>12</v>
      </c>
      <c r="O4707">
        <v>75</v>
      </c>
      <c r="P4707">
        <v>87</v>
      </c>
      <c r="Q4707">
        <v>514</v>
      </c>
      <c r="R4707">
        <v>515</v>
      </c>
    </row>
    <row r="4708" spans="1:18" x14ac:dyDescent="0.25">
      <c r="A4708">
        <v>516</v>
      </c>
      <c r="B4708" s="1">
        <v>40566</v>
      </c>
      <c r="C4708">
        <v>1</v>
      </c>
      <c r="D4708">
        <v>0</v>
      </c>
      <c r="E4708">
        <v>1</v>
      </c>
      <c r="F4708">
        <v>14</v>
      </c>
      <c r="G4708" t="b">
        <v>0</v>
      </c>
      <c r="H4708">
        <v>0</v>
      </c>
      <c r="I4708">
        <v>1</v>
      </c>
      <c r="J4708">
        <v>0.16</v>
      </c>
      <c r="K4708">
        <v>0.13639999999999999</v>
      </c>
      <c r="L4708">
        <v>0.28000000000000003</v>
      </c>
      <c r="M4708">
        <v>0.35820000000000002</v>
      </c>
      <c r="N4708">
        <v>17</v>
      </c>
      <c r="O4708">
        <v>93</v>
      </c>
      <c r="P4708">
        <v>110</v>
      </c>
      <c r="Q4708">
        <v>515</v>
      </c>
      <c r="R4708">
        <v>516</v>
      </c>
    </row>
    <row r="4709" spans="1:18" x14ac:dyDescent="0.25">
      <c r="A4709">
        <v>517</v>
      </c>
      <c r="B4709" s="1">
        <v>40566</v>
      </c>
      <c r="C4709">
        <v>1</v>
      </c>
      <c r="D4709">
        <v>0</v>
      </c>
      <c r="E4709">
        <v>1</v>
      </c>
      <c r="F4709">
        <v>15</v>
      </c>
      <c r="G4709" t="b">
        <v>0</v>
      </c>
      <c r="H4709">
        <v>0</v>
      </c>
      <c r="I4709">
        <v>1</v>
      </c>
      <c r="J4709">
        <v>0.16</v>
      </c>
      <c r="K4709">
        <v>0.13639999999999999</v>
      </c>
      <c r="L4709">
        <v>0.28000000000000003</v>
      </c>
      <c r="M4709">
        <v>0.35820000000000002</v>
      </c>
      <c r="N4709">
        <v>13</v>
      </c>
      <c r="O4709">
        <v>64</v>
      </c>
      <c r="P4709">
        <v>77</v>
      </c>
      <c r="Q4709">
        <v>516</v>
      </c>
      <c r="R4709">
        <v>517</v>
      </c>
    </row>
    <row r="4710" spans="1:18" x14ac:dyDescent="0.25">
      <c r="A4710">
        <v>518</v>
      </c>
      <c r="B4710" s="1">
        <v>40566</v>
      </c>
      <c r="C4710">
        <v>1</v>
      </c>
      <c r="D4710">
        <v>0</v>
      </c>
      <c r="E4710">
        <v>1</v>
      </c>
      <c r="F4710">
        <v>16</v>
      </c>
      <c r="G4710" t="b">
        <v>0</v>
      </c>
      <c r="H4710">
        <v>0</v>
      </c>
      <c r="I4710">
        <v>1</v>
      </c>
      <c r="J4710">
        <v>0.16</v>
      </c>
      <c r="K4710">
        <v>0.13639999999999999</v>
      </c>
      <c r="L4710">
        <v>0.26</v>
      </c>
      <c r="M4710">
        <v>0.32840000000000003</v>
      </c>
      <c r="N4710">
        <v>9</v>
      </c>
      <c r="O4710">
        <v>56</v>
      </c>
      <c r="P4710">
        <v>65</v>
      </c>
      <c r="Q4710">
        <v>517</v>
      </c>
      <c r="R4710">
        <v>518</v>
      </c>
    </row>
    <row r="4711" spans="1:18" x14ac:dyDescent="0.25">
      <c r="A4711">
        <v>519</v>
      </c>
      <c r="B4711" s="1">
        <v>40566</v>
      </c>
      <c r="C4711">
        <v>1</v>
      </c>
      <c r="D4711">
        <v>0</v>
      </c>
      <c r="E4711">
        <v>1</v>
      </c>
      <c r="F4711">
        <v>17</v>
      </c>
      <c r="G4711" t="b">
        <v>0</v>
      </c>
      <c r="H4711">
        <v>0</v>
      </c>
      <c r="I4711">
        <v>1</v>
      </c>
      <c r="J4711">
        <v>0.14000000000000001</v>
      </c>
      <c r="K4711">
        <v>0.1061</v>
      </c>
      <c r="L4711">
        <v>0.26</v>
      </c>
      <c r="M4711">
        <v>0.3881</v>
      </c>
      <c r="N4711">
        <v>5</v>
      </c>
      <c r="O4711">
        <v>50</v>
      </c>
      <c r="P4711">
        <v>55</v>
      </c>
      <c r="Q4711">
        <v>518</v>
      </c>
      <c r="R4711">
        <v>519</v>
      </c>
    </row>
    <row r="4712" spans="1:18" x14ac:dyDescent="0.25">
      <c r="A4712">
        <v>520</v>
      </c>
      <c r="B4712" s="1">
        <v>40566</v>
      </c>
      <c r="C4712">
        <v>1</v>
      </c>
      <c r="D4712">
        <v>0</v>
      </c>
      <c r="E4712">
        <v>1</v>
      </c>
      <c r="F4712">
        <v>18</v>
      </c>
      <c r="G4712" t="b">
        <v>0</v>
      </c>
      <c r="H4712">
        <v>0</v>
      </c>
      <c r="I4712">
        <v>1</v>
      </c>
      <c r="J4712">
        <v>0.12</v>
      </c>
      <c r="K4712">
        <v>0.1212</v>
      </c>
      <c r="L4712">
        <v>0.3</v>
      </c>
      <c r="M4712">
        <v>0.25369999999999998</v>
      </c>
      <c r="N4712">
        <v>5</v>
      </c>
      <c r="O4712">
        <v>44</v>
      </c>
      <c r="P4712">
        <v>49</v>
      </c>
      <c r="Q4712">
        <v>519</v>
      </c>
      <c r="R4712">
        <v>520</v>
      </c>
    </row>
    <row r="4713" spans="1:18" x14ac:dyDescent="0.25">
      <c r="A4713">
        <v>521</v>
      </c>
      <c r="B4713" s="1">
        <v>40566</v>
      </c>
      <c r="C4713">
        <v>1</v>
      </c>
      <c r="D4713">
        <v>0</v>
      </c>
      <c r="E4713">
        <v>1</v>
      </c>
      <c r="F4713">
        <v>19</v>
      </c>
      <c r="G4713" t="b">
        <v>0</v>
      </c>
      <c r="H4713">
        <v>0</v>
      </c>
      <c r="I4713">
        <v>1</v>
      </c>
      <c r="J4713">
        <v>0.12</v>
      </c>
      <c r="K4713">
        <v>0.1212</v>
      </c>
      <c r="L4713">
        <v>0.3</v>
      </c>
      <c r="M4713">
        <v>0.28360000000000002</v>
      </c>
      <c r="N4713">
        <v>5</v>
      </c>
      <c r="O4713">
        <v>45</v>
      </c>
      <c r="P4713">
        <v>50</v>
      </c>
      <c r="Q4713">
        <v>520</v>
      </c>
      <c r="R4713">
        <v>521</v>
      </c>
    </row>
    <row r="4714" spans="1:18" x14ac:dyDescent="0.25">
      <c r="A4714">
        <v>522</v>
      </c>
      <c r="B4714" s="1">
        <v>40566</v>
      </c>
      <c r="C4714">
        <v>1</v>
      </c>
      <c r="D4714">
        <v>0</v>
      </c>
      <c r="E4714">
        <v>1</v>
      </c>
      <c r="F4714">
        <v>20</v>
      </c>
      <c r="G4714" t="b">
        <v>0</v>
      </c>
      <c r="H4714">
        <v>0</v>
      </c>
      <c r="I4714">
        <v>1</v>
      </c>
      <c r="J4714">
        <v>0.1</v>
      </c>
      <c r="K4714">
        <v>0.1061</v>
      </c>
      <c r="L4714">
        <v>0.36</v>
      </c>
      <c r="M4714">
        <v>0.25369999999999998</v>
      </c>
      <c r="N4714">
        <v>4</v>
      </c>
      <c r="O4714">
        <v>31</v>
      </c>
      <c r="P4714">
        <v>35</v>
      </c>
      <c r="Q4714">
        <v>521</v>
      </c>
      <c r="R4714">
        <v>522</v>
      </c>
    </row>
    <row r="4715" spans="1:18" x14ac:dyDescent="0.25">
      <c r="A4715">
        <v>523</v>
      </c>
      <c r="B4715" s="1">
        <v>40566</v>
      </c>
      <c r="C4715">
        <v>1</v>
      </c>
      <c r="D4715">
        <v>0</v>
      </c>
      <c r="E4715">
        <v>1</v>
      </c>
      <c r="F4715">
        <v>21</v>
      </c>
      <c r="G4715" t="b">
        <v>0</v>
      </c>
      <c r="H4715">
        <v>0</v>
      </c>
      <c r="I4715">
        <v>1</v>
      </c>
      <c r="J4715">
        <v>0.1</v>
      </c>
      <c r="K4715">
        <v>0.1061</v>
      </c>
      <c r="L4715">
        <v>0.36</v>
      </c>
      <c r="M4715">
        <v>0.19400000000000001</v>
      </c>
      <c r="N4715">
        <v>5</v>
      </c>
      <c r="O4715">
        <v>20</v>
      </c>
      <c r="P4715">
        <v>25</v>
      </c>
      <c r="Q4715">
        <v>522</v>
      </c>
      <c r="R4715">
        <v>523</v>
      </c>
    </row>
    <row r="4716" spans="1:18" x14ac:dyDescent="0.25">
      <c r="A4716">
        <v>524</v>
      </c>
      <c r="B4716" s="1">
        <v>40566</v>
      </c>
      <c r="C4716">
        <v>1</v>
      </c>
      <c r="D4716">
        <v>0</v>
      </c>
      <c r="E4716">
        <v>1</v>
      </c>
      <c r="F4716">
        <v>22</v>
      </c>
      <c r="G4716" t="b">
        <v>0</v>
      </c>
      <c r="H4716">
        <v>0</v>
      </c>
      <c r="I4716">
        <v>1</v>
      </c>
      <c r="J4716">
        <v>0.08</v>
      </c>
      <c r="K4716">
        <v>9.0899999999999995E-2</v>
      </c>
      <c r="L4716">
        <v>0.38</v>
      </c>
      <c r="M4716">
        <v>0.19400000000000001</v>
      </c>
      <c r="N4716">
        <v>5</v>
      </c>
      <c r="O4716">
        <v>23</v>
      </c>
      <c r="P4716">
        <v>28</v>
      </c>
      <c r="Q4716">
        <v>523</v>
      </c>
      <c r="R4716">
        <v>524</v>
      </c>
    </row>
    <row r="4717" spans="1:18" x14ac:dyDescent="0.25">
      <c r="A4717">
        <v>525</v>
      </c>
      <c r="B4717" s="1">
        <v>40566</v>
      </c>
      <c r="C4717">
        <v>1</v>
      </c>
      <c r="D4717">
        <v>0</v>
      </c>
      <c r="E4717">
        <v>1</v>
      </c>
      <c r="F4717">
        <v>23</v>
      </c>
      <c r="G4717" t="b">
        <v>0</v>
      </c>
      <c r="H4717">
        <v>0</v>
      </c>
      <c r="I4717">
        <v>1</v>
      </c>
      <c r="J4717">
        <v>0.06</v>
      </c>
      <c r="K4717">
        <v>6.0600000000000001E-2</v>
      </c>
      <c r="L4717">
        <v>0.41</v>
      </c>
      <c r="M4717">
        <v>0.22389999999999999</v>
      </c>
      <c r="N4717">
        <v>4</v>
      </c>
      <c r="O4717">
        <v>17</v>
      </c>
      <c r="P4717">
        <v>21</v>
      </c>
      <c r="Q4717">
        <v>524</v>
      </c>
      <c r="R4717">
        <v>525</v>
      </c>
    </row>
    <row r="4718" spans="1:18" x14ac:dyDescent="0.25">
      <c r="A4718">
        <v>526</v>
      </c>
      <c r="B4718" s="1">
        <v>40567</v>
      </c>
      <c r="C4718">
        <v>1</v>
      </c>
      <c r="D4718">
        <v>0</v>
      </c>
      <c r="E4718">
        <v>1</v>
      </c>
      <c r="F4718">
        <v>0</v>
      </c>
      <c r="G4718" t="b">
        <v>0</v>
      </c>
      <c r="H4718">
        <v>1</v>
      </c>
      <c r="I4718">
        <v>1</v>
      </c>
      <c r="J4718">
        <v>0.06</v>
      </c>
      <c r="K4718">
        <v>6.0600000000000001E-2</v>
      </c>
      <c r="L4718">
        <v>0.41</v>
      </c>
      <c r="M4718">
        <v>0.19400000000000001</v>
      </c>
      <c r="N4718">
        <v>0</v>
      </c>
      <c r="O4718">
        <v>7</v>
      </c>
      <c r="P4718">
        <v>7</v>
      </c>
      <c r="Q4718">
        <v>525</v>
      </c>
      <c r="R4718">
        <v>526</v>
      </c>
    </row>
    <row r="4719" spans="1:18" x14ac:dyDescent="0.25">
      <c r="A4719">
        <v>527</v>
      </c>
      <c r="B4719" s="1">
        <v>40567</v>
      </c>
      <c r="C4719">
        <v>1</v>
      </c>
      <c r="D4719">
        <v>0</v>
      </c>
      <c r="E4719">
        <v>1</v>
      </c>
      <c r="F4719">
        <v>1</v>
      </c>
      <c r="G4719" t="b">
        <v>0</v>
      </c>
      <c r="H4719">
        <v>1</v>
      </c>
      <c r="I4719">
        <v>1</v>
      </c>
      <c r="J4719">
        <v>0.04</v>
      </c>
      <c r="K4719">
        <v>4.5499999999999999E-2</v>
      </c>
      <c r="L4719">
        <v>0.45</v>
      </c>
      <c r="M4719">
        <v>0.19400000000000001</v>
      </c>
      <c r="N4719">
        <v>0</v>
      </c>
      <c r="O4719">
        <v>1</v>
      </c>
      <c r="P4719">
        <v>1</v>
      </c>
      <c r="Q4719">
        <v>526</v>
      </c>
      <c r="R4719">
        <v>527</v>
      </c>
    </row>
    <row r="4720" spans="1:18" x14ac:dyDescent="0.25">
      <c r="A4720">
        <v>528</v>
      </c>
      <c r="B4720" s="1">
        <v>40567</v>
      </c>
      <c r="C4720">
        <v>1</v>
      </c>
      <c r="D4720">
        <v>0</v>
      </c>
      <c r="E4720">
        <v>1</v>
      </c>
      <c r="F4720">
        <v>3</v>
      </c>
      <c r="G4720" t="b">
        <v>0</v>
      </c>
      <c r="H4720">
        <v>1</v>
      </c>
      <c r="I4720">
        <v>1</v>
      </c>
      <c r="J4720">
        <v>0.04</v>
      </c>
      <c r="K4720">
        <v>3.0300000000000001E-2</v>
      </c>
      <c r="L4720">
        <v>0.45</v>
      </c>
      <c r="M4720">
        <v>0.25369999999999998</v>
      </c>
      <c r="N4720">
        <v>0</v>
      </c>
      <c r="O4720">
        <v>1</v>
      </c>
      <c r="P4720">
        <v>1</v>
      </c>
      <c r="Q4720">
        <v>527</v>
      </c>
      <c r="R4720">
        <v>528</v>
      </c>
    </row>
    <row r="4721" spans="1:18" x14ac:dyDescent="0.25">
      <c r="A4721">
        <v>529</v>
      </c>
      <c r="B4721" s="1">
        <v>40567</v>
      </c>
      <c r="C4721">
        <v>1</v>
      </c>
      <c r="D4721">
        <v>0</v>
      </c>
      <c r="E4721">
        <v>1</v>
      </c>
      <c r="F4721">
        <v>4</v>
      </c>
      <c r="G4721" t="b">
        <v>0</v>
      </c>
      <c r="H4721">
        <v>1</v>
      </c>
      <c r="I4721">
        <v>1</v>
      </c>
      <c r="J4721">
        <v>0.02</v>
      </c>
      <c r="K4721">
        <v>6.0600000000000001E-2</v>
      </c>
      <c r="L4721">
        <v>0.48</v>
      </c>
      <c r="M4721">
        <v>0.1343</v>
      </c>
      <c r="N4721">
        <v>0</v>
      </c>
      <c r="O4721">
        <v>1</v>
      </c>
      <c r="P4721">
        <v>1</v>
      </c>
      <c r="Q4721">
        <v>528</v>
      </c>
      <c r="R4721">
        <v>529</v>
      </c>
    </row>
    <row r="4722" spans="1:18" x14ac:dyDescent="0.25">
      <c r="A4722">
        <v>530</v>
      </c>
      <c r="B4722" s="1">
        <v>40567</v>
      </c>
      <c r="C4722">
        <v>1</v>
      </c>
      <c r="D4722">
        <v>0</v>
      </c>
      <c r="E4722">
        <v>1</v>
      </c>
      <c r="F4722">
        <v>5</v>
      </c>
      <c r="G4722" t="b">
        <v>0</v>
      </c>
      <c r="H4722">
        <v>1</v>
      </c>
      <c r="I4722">
        <v>1</v>
      </c>
      <c r="J4722">
        <v>0.02</v>
      </c>
      <c r="K4722">
        <v>6.0600000000000001E-2</v>
      </c>
      <c r="L4722">
        <v>0.48</v>
      </c>
      <c r="M4722">
        <v>0.1343</v>
      </c>
      <c r="N4722">
        <v>0</v>
      </c>
      <c r="O4722">
        <v>5</v>
      </c>
      <c r="P4722">
        <v>5</v>
      </c>
      <c r="Q4722">
        <v>529</v>
      </c>
      <c r="R4722">
        <v>530</v>
      </c>
    </row>
    <row r="4723" spans="1:18" x14ac:dyDescent="0.25">
      <c r="A4723">
        <v>531</v>
      </c>
      <c r="B4723" s="1">
        <v>40567</v>
      </c>
      <c r="C4723">
        <v>1</v>
      </c>
      <c r="D4723">
        <v>0</v>
      </c>
      <c r="E4723">
        <v>1</v>
      </c>
      <c r="F4723">
        <v>6</v>
      </c>
      <c r="G4723" t="b">
        <v>0</v>
      </c>
      <c r="H4723">
        <v>1</v>
      </c>
      <c r="I4723">
        <v>1</v>
      </c>
      <c r="J4723">
        <v>0.02</v>
      </c>
      <c r="K4723">
        <v>7.5800000000000006E-2</v>
      </c>
      <c r="L4723">
        <v>0.48</v>
      </c>
      <c r="M4723">
        <v>8.9599999999999999E-2</v>
      </c>
      <c r="N4723">
        <v>0</v>
      </c>
      <c r="O4723">
        <v>15</v>
      </c>
      <c r="P4723">
        <v>15</v>
      </c>
      <c r="Q4723">
        <v>530</v>
      </c>
      <c r="R4723">
        <v>531</v>
      </c>
    </row>
    <row r="4724" spans="1:18" x14ac:dyDescent="0.25">
      <c r="A4724">
        <v>532</v>
      </c>
      <c r="B4724" s="1">
        <v>40567</v>
      </c>
      <c r="C4724">
        <v>1</v>
      </c>
      <c r="D4724">
        <v>0</v>
      </c>
      <c r="E4724">
        <v>1</v>
      </c>
      <c r="F4724">
        <v>7</v>
      </c>
      <c r="G4724" t="b">
        <v>0</v>
      </c>
      <c r="H4724">
        <v>1</v>
      </c>
      <c r="I4724">
        <v>1</v>
      </c>
      <c r="J4724">
        <v>0.02</v>
      </c>
      <c r="K4724">
        <v>0.1212</v>
      </c>
      <c r="L4724">
        <v>0.48</v>
      </c>
      <c r="M4724">
        <v>0</v>
      </c>
      <c r="N4724">
        <v>5</v>
      </c>
      <c r="O4724">
        <v>79</v>
      </c>
      <c r="P4724">
        <v>84</v>
      </c>
      <c r="Q4724">
        <v>531</v>
      </c>
      <c r="R4724">
        <v>532</v>
      </c>
    </row>
    <row r="4725" spans="1:18" x14ac:dyDescent="0.25">
      <c r="A4725">
        <v>533</v>
      </c>
      <c r="B4725" s="1">
        <v>40567</v>
      </c>
      <c r="C4725">
        <v>1</v>
      </c>
      <c r="D4725">
        <v>0</v>
      </c>
      <c r="E4725">
        <v>1</v>
      </c>
      <c r="F4725">
        <v>8</v>
      </c>
      <c r="G4725" t="b">
        <v>0</v>
      </c>
      <c r="H4725">
        <v>1</v>
      </c>
      <c r="I4725">
        <v>1</v>
      </c>
      <c r="J4725">
        <v>0.04</v>
      </c>
      <c r="K4725">
        <v>0.13639999999999999</v>
      </c>
      <c r="L4725">
        <v>0.49</v>
      </c>
      <c r="M4725">
        <v>0</v>
      </c>
      <c r="N4725">
        <v>6</v>
      </c>
      <c r="O4725">
        <v>171</v>
      </c>
      <c r="P4725">
        <v>177</v>
      </c>
      <c r="Q4725">
        <v>532</v>
      </c>
      <c r="R4725">
        <v>533</v>
      </c>
    </row>
    <row r="4726" spans="1:18" x14ac:dyDescent="0.25">
      <c r="A4726">
        <v>534</v>
      </c>
      <c r="B4726" s="1">
        <v>40567</v>
      </c>
      <c r="C4726">
        <v>1</v>
      </c>
      <c r="D4726">
        <v>0</v>
      </c>
      <c r="E4726">
        <v>1</v>
      </c>
      <c r="F4726">
        <v>9</v>
      </c>
      <c r="G4726" t="b">
        <v>0</v>
      </c>
      <c r="H4726">
        <v>1</v>
      </c>
      <c r="I4726">
        <v>1</v>
      </c>
      <c r="J4726">
        <v>0.06</v>
      </c>
      <c r="K4726">
        <v>0.1515</v>
      </c>
      <c r="L4726">
        <v>0.41</v>
      </c>
      <c r="M4726">
        <v>0</v>
      </c>
      <c r="N4726">
        <v>4</v>
      </c>
      <c r="O4726">
        <v>98</v>
      </c>
      <c r="P4726">
        <v>102</v>
      </c>
      <c r="Q4726">
        <v>533</v>
      </c>
      <c r="R4726">
        <v>534</v>
      </c>
    </row>
    <row r="4727" spans="1:18" x14ac:dyDescent="0.25">
      <c r="A4727">
        <v>535</v>
      </c>
      <c r="B4727" s="1">
        <v>40567</v>
      </c>
      <c r="C4727">
        <v>1</v>
      </c>
      <c r="D4727">
        <v>0</v>
      </c>
      <c r="E4727">
        <v>1</v>
      </c>
      <c r="F4727">
        <v>10</v>
      </c>
      <c r="G4727" t="b">
        <v>0</v>
      </c>
      <c r="H4727">
        <v>1</v>
      </c>
      <c r="I4727">
        <v>1</v>
      </c>
      <c r="J4727">
        <v>0.1</v>
      </c>
      <c r="K4727">
        <v>0.13639999999999999</v>
      </c>
      <c r="L4727">
        <v>0.42</v>
      </c>
      <c r="M4727">
        <v>0</v>
      </c>
      <c r="N4727">
        <v>6</v>
      </c>
      <c r="O4727">
        <v>34</v>
      </c>
      <c r="P4727">
        <v>40</v>
      </c>
      <c r="Q4727">
        <v>534</v>
      </c>
      <c r="R4727">
        <v>535</v>
      </c>
    </row>
    <row r="4728" spans="1:18" x14ac:dyDescent="0.25">
      <c r="A4728">
        <v>536</v>
      </c>
      <c r="B4728" s="1">
        <v>40567</v>
      </c>
      <c r="C4728">
        <v>1</v>
      </c>
      <c r="D4728">
        <v>0</v>
      </c>
      <c r="E4728">
        <v>1</v>
      </c>
      <c r="F4728">
        <v>11</v>
      </c>
      <c r="G4728" t="b">
        <v>0</v>
      </c>
      <c r="H4728">
        <v>1</v>
      </c>
      <c r="I4728">
        <v>1</v>
      </c>
      <c r="J4728">
        <v>0.1</v>
      </c>
      <c r="K4728">
        <v>0.1212</v>
      </c>
      <c r="L4728">
        <v>0.46</v>
      </c>
      <c r="M4728">
        <v>0.1343</v>
      </c>
      <c r="N4728">
        <v>3</v>
      </c>
      <c r="O4728">
        <v>43</v>
      </c>
      <c r="P4728">
        <v>46</v>
      </c>
      <c r="Q4728">
        <v>535</v>
      </c>
      <c r="R4728">
        <v>536</v>
      </c>
    </row>
    <row r="4729" spans="1:18" x14ac:dyDescent="0.25">
      <c r="A4729">
        <v>537</v>
      </c>
      <c r="B4729" s="1">
        <v>40567</v>
      </c>
      <c r="C4729">
        <v>1</v>
      </c>
      <c r="D4729">
        <v>0</v>
      </c>
      <c r="E4729">
        <v>1</v>
      </c>
      <c r="F4729">
        <v>12</v>
      </c>
      <c r="G4729" t="b">
        <v>0</v>
      </c>
      <c r="H4729">
        <v>1</v>
      </c>
      <c r="I4729">
        <v>2</v>
      </c>
      <c r="J4729">
        <v>0.12</v>
      </c>
      <c r="K4729">
        <v>0.13639999999999999</v>
      </c>
      <c r="L4729">
        <v>0.42</v>
      </c>
      <c r="M4729">
        <v>0.19400000000000001</v>
      </c>
      <c r="N4729">
        <v>11</v>
      </c>
      <c r="O4729">
        <v>52</v>
      </c>
      <c r="P4729">
        <v>63</v>
      </c>
      <c r="Q4729">
        <v>536</v>
      </c>
      <c r="R4729">
        <v>537</v>
      </c>
    </row>
    <row r="4730" spans="1:18" x14ac:dyDescent="0.25">
      <c r="A4730">
        <v>538</v>
      </c>
      <c r="B4730" s="1">
        <v>40567</v>
      </c>
      <c r="C4730">
        <v>1</v>
      </c>
      <c r="D4730">
        <v>0</v>
      </c>
      <c r="E4730">
        <v>1</v>
      </c>
      <c r="F4730">
        <v>13</v>
      </c>
      <c r="G4730" t="b">
        <v>0</v>
      </c>
      <c r="H4730">
        <v>1</v>
      </c>
      <c r="I4730">
        <v>2</v>
      </c>
      <c r="J4730">
        <v>0.14000000000000001</v>
      </c>
      <c r="K4730">
        <v>0.13639999999999999</v>
      </c>
      <c r="L4730">
        <v>0.43</v>
      </c>
      <c r="M4730">
        <v>0.22389999999999999</v>
      </c>
      <c r="N4730">
        <v>6</v>
      </c>
      <c r="O4730">
        <v>54</v>
      </c>
      <c r="P4730">
        <v>60</v>
      </c>
      <c r="Q4730">
        <v>537</v>
      </c>
      <c r="R4730">
        <v>538</v>
      </c>
    </row>
    <row r="4731" spans="1:18" x14ac:dyDescent="0.25">
      <c r="A4731">
        <v>539</v>
      </c>
      <c r="B4731" s="1">
        <v>40567</v>
      </c>
      <c r="C4731">
        <v>1</v>
      </c>
      <c r="D4731">
        <v>0</v>
      </c>
      <c r="E4731">
        <v>1</v>
      </c>
      <c r="F4731">
        <v>14</v>
      </c>
      <c r="G4731" t="b">
        <v>0</v>
      </c>
      <c r="H4731">
        <v>1</v>
      </c>
      <c r="I4731">
        <v>2</v>
      </c>
      <c r="J4731">
        <v>0.14000000000000001</v>
      </c>
      <c r="K4731">
        <v>0.13639999999999999</v>
      </c>
      <c r="L4731">
        <v>0.46</v>
      </c>
      <c r="M4731">
        <v>0.22389999999999999</v>
      </c>
      <c r="N4731">
        <v>2</v>
      </c>
      <c r="O4731">
        <v>43</v>
      </c>
      <c r="P4731">
        <v>45</v>
      </c>
      <c r="Q4731">
        <v>538</v>
      </c>
      <c r="R4731">
        <v>539</v>
      </c>
    </row>
    <row r="4732" spans="1:18" x14ac:dyDescent="0.25">
      <c r="A4732">
        <v>540</v>
      </c>
      <c r="B4732" s="1">
        <v>40567</v>
      </c>
      <c r="C4732">
        <v>1</v>
      </c>
      <c r="D4732">
        <v>0</v>
      </c>
      <c r="E4732">
        <v>1</v>
      </c>
      <c r="F4732">
        <v>15</v>
      </c>
      <c r="G4732" t="b">
        <v>0</v>
      </c>
      <c r="H4732">
        <v>1</v>
      </c>
      <c r="I4732">
        <v>1</v>
      </c>
      <c r="J4732">
        <v>0.16</v>
      </c>
      <c r="K4732">
        <v>0.16669999999999999</v>
      </c>
      <c r="L4732">
        <v>0.4</v>
      </c>
      <c r="M4732">
        <v>0.16420000000000001</v>
      </c>
      <c r="N4732">
        <v>7</v>
      </c>
      <c r="O4732">
        <v>50</v>
      </c>
      <c r="P4732">
        <v>57</v>
      </c>
      <c r="Q4732">
        <v>539</v>
      </c>
      <c r="R4732">
        <v>540</v>
      </c>
    </row>
    <row r="4733" spans="1:18" x14ac:dyDescent="0.25">
      <c r="A4733">
        <v>541</v>
      </c>
      <c r="B4733" s="1">
        <v>40567</v>
      </c>
      <c r="C4733">
        <v>1</v>
      </c>
      <c r="D4733">
        <v>0</v>
      </c>
      <c r="E4733">
        <v>1</v>
      </c>
      <c r="F4733">
        <v>16</v>
      </c>
      <c r="G4733" t="b">
        <v>0</v>
      </c>
      <c r="H4733">
        <v>1</v>
      </c>
      <c r="I4733">
        <v>1</v>
      </c>
      <c r="J4733">
        <v>0.16</v>
      </c>
      <c r="K4733">
        <v>0.1515</v>
      </c>
      <c r="L4733">
        <v>0.47</v>
      </c>
      <c r="M4733">
        <v>0.25369999999999998</v>
      </c>
      <c r="N4733">
        <v>4</v>
      </c>
      <c r="O4733">
        <v>66</v>
      </c>
      <c r="P4733">
        <v>70</v>
      </c>
      <c r="Q4733">
        <v>540</v>
      </c>
      <c r="R4733">
        <v>541</v>
      </c>
    </row>
    <row r="4734" spans="1:18" x14ac:dyDescent="0.25">
      <c r="A4734">
        <v>542</v>
      </c>
      <c r="B4734" s="1">
        <v>40567</v>
      </c>
      <c r="C4734">
        <v>1</v>
      </c>
      <c r="D4734">
        <v>0</v>
      </c>
      <c r="E4734">
        <v>1</v>
      </c>
      <c r="F4734">
        <v>17</v>
      </c>
      <c r="G4734" t="b">
        <v>0</v>
      </c>
      <c r="H4734">
        <v>1</v>
      </c>
      <c r="I4734">
        <v>1</v>
      </c>
      <c r="J4734">
        <v>0.14000000000000001</v>
      </c>
      <c r="K4734">
        <v>0.1212</v>
      </c>
      <c r="L4734">
        <v>0.5</v>
      </c>
      <c r="M4734">
        <v>0.25369999999999998</v>
      </c>
      <c r="N4734">
        <v>6</v>
      </c>
      <c r="O4734">
        <v>178</v>
      </c>
      <c r="P4734">
        <v>184</v>
      </c>
      <c r="Q4734">
        <v>541</v>
      </c>
      <c r="R4734">
        <v>542</v>
      </c>
    </row>
    <row r="4735" spans="1:18" x14ac:dyDescent="0.25">
      <c r="A4735">
        <v>543</v>
      </c>
      <c r="B4735" s="1">
        <v>40567</v>
      </c>
      <c r="C4735">
        <v>1</v>
      </c>
      <c r="D4735">
        <v>0</v>
      </c>
      <c r="E4735">
        <v>1</v>
      </c>
      <c r="F4735">
        <v>18</v>
      </c>
      <c r="G4735" t="b">
        <v>0</v>
      </c>
      <c r="H4735">
        <v>1</v>
      </c>
      <c r="I4735">
        <v>1</v>
      </c>
      <c r="J4735">
        <v>0.14000000000000001</v>
      </c>
      <c r="K4735">
        <v>0.13639999999999999</v>
      </c>
      <c r="L4735">
        <v>0.59</v>
      </c>
      <c r="M4735">
        <v>0.19400000000000001</v>
      </c>
      <c r="N4735">
        <v>8</v>
      </c>
      <c r="O4735">
        <v>145</v>
      </c>
      <c r="P4735">
        <v>153</v>
      </c>
      <c r="Q4735">
        <v>542</v>
      </c>
      <c r="R4735">
        <v>543</v>
      </c>
    </row>
    <row r="4736" spans="1:18" x14ac:dyDescent="0.25">
      <c r="A4736">
        <v>544</v>
      </c>
      <c r="B4736" s="1">
        <v>40567</v>
      </c>
      <c r="C4736">
        <v>1</v>
      </c>
      <c r="D4736">
        <v>0</v>
      </c>
      <c r="E4736">
        <v>1</v>
      </c>
      <c r="F4736">
        <v>19</v>
      </c>
      <c r="G4736" t="b">
        <v>0</v>
      </c>
      <c r="H4736">
        <v>1</v>
      </c>
      <c r="I4736">
        <v>1</v>
      </c>
      <c r="J4736">
        <v>0.14000000000000001</v>
      </c>
      <c r="K4736">
        <v>0.1515</v>
      </c>
      <c r="L4736">
        <v>0.54</v>
      </c>
      <c r="M4736">
        <v>0.16420000000000001</v>
      </c>
      <c r="N4736">
        <v>5</v>
      </c>
      <c r="O4736">
        <v>101</v>
      </c>
      <c r="P4736">
        <v>106</v>
      </c>
      <c r="Q4736">
        <v>543</v>
      </c>
      <c r="R4736">
        <v>544</v>
      </c>
    </row>
    <row r="4737" spans="1:18" x14ac:dyDescent="0.25">
      <c r="A4737">
        <v>545</v>
      </c>
      <c r="B4737" s="1">
        <v>40567</v>
      </c>
      <c r="C4737">
        <v>1</v>
      </c>
      <c r="D4737">
        <v>0</v>
      </c>
      <c r="E4737">
        <v>1</v>
      </c>
      <c r="F4737">
        <v>20</v>
      </c>
      <c r="G4737" t="b">
        <v>0</v>
      </c>
      <c r="H4737">
        <v>1</v>
      </c>
      <c r="I4737">
        <v>1</v>
      </c>
      <c r="J4737">
        <v>0.14000000000000001</v>
      </c>
      <c r="K4737">
        <v>0.13639999999999999</v>
      </c>
      <c r="L4737">
        <v>0.59</v>
      </c>
      <c r="M4737">
        <v>0.19400000000000001</v>
      </c>
      <c r="N4737">
        <v>1</v>
      </c>
      <c r="O4737">
        <v>80</v>
      </c>
      <c r="P4737">
        <v>81</v>
      </c>
      <c r="Q4737">
        <v>544</v>
      </c>
      <c r="R4737">
        <v>545</v>
      </c>
    </row>
    <row r="4738" spans="1:18" x14ac:dyDescent="0.25">
      <c r="A4738">
        <v>546</v>
      </c>
      <c r="B4738" s="1">
        <v>40567</v>
      </c>
      <c r="C4738">
        <v>1</v>
      </c>
      <c r="D4738">
        <v>0</v>
      </c>
      <c r="E4738">
        <v>1</v>
      </c>
      <c r="F4738">
        <v>21</v>
      </c>
      <c r="G4738" t="b">
        <v>0</v>
      </c>
      <c r="H4738">
        <v>1</v>
      </c>
      <c r="I4738">
        <v>1</v>
      </c>
      <c r="J4738">
        <v>0.14000000000000001</v>
      </c>
      <c r="K4738">
        <v>0.1515</v>
      </c>
      <c r="L4738">
        <v>0.63</v>
      </c>
      <c r="M4738">
        <v>0.16420000000000001</v>
      </c>
      <c r="N4738">
        <v>6</v>
      </c>
      <c r="O4738">
        <v>53</v>
      </c>
      <c r="P4738">
        <v>59</v>
      </c>
      <c r="Q4738">
        <v>545</v>
      </c>
      <c r="R4738">
        <v>546</v>
      </c>
    </row>
    <row r="4739" spans="1:18" x14ac:dyDescent="0.25">
      <c r="A4739">
        <v>547</v>
      </c>
      <c r="B4739" s="1">
        <v>40567</v>
      </c>
      <c r="C4739">
        <v>1</v>
      </c>
      <c r="D4739">
        <v>0</v>
      </c>
      <c r="E4739">
        <v>1</v>
      </c>
      <c r="F4739">
        <v>22</v>
      </c>
      <c r="G4739" t="b">
        <v>0</v>
      </c>
      <c r="H4739">
        <v>1</v>
      </c>
      <c r="I4739">
        <v>2</v>
      </c>
      <c r="J4739">
        <v>0.14000000000000001</v>
      </c>
      <c r="K4739">
        <v>0.13639999999999999</v>
      </c>
      <c r="L4739">
        <v>0.63</v>
      </c>
      <c r="M4739">
        <v>0.22389999999999999</v>
      </c>
      <c r="N4739">
        <v>3</v>
      </c>
      <c r="O4739">
        <v>32</v>
      </c>
      <c r="P4739">
        <v>35</v>
      </c>
      <c r="Q4739">
        <v>546</v>
      </c>
      <c r="R4739">
        <v>547</v>
      </c>
    </row>
    <row r="4740" spans="1:18" x14ac:dyDescent="0.25">
      <c r="A4740">
        <v>548</v>
      </c>
      <c r="B4740" s="1">
        <v>40567</v>
      </c>
      <c r="C4740">
        <v>1</v>
      </c>
      <c r="D4740">
        <v>0</v>
      </c>
      <c r="E4740">
        <v>1</v>
      </c>
      <c r="F4740">
        <v>23</v>
      </c>
      <c r="G4740" t="b">
        <v>0</v>
      </c>
      <c r="H4740">
        <v>1</v>
      </c>
      <c r="I4740">
        <v>2</v>
      </c>
      <c r="J4740">
        <v>0.16</v>
      </c>
      <c r="K4740">
        <v>0.1515</v>
      </c>
      <c r="L4740">
        <v>0.64</v>
      </c>
      <c r="M4740">
        <v>0.25369999999999998</v>
      </c>
      <c r="N4740">
        <v>3</v>
      </c>
      <c r="O4740">
        <v>21</v>
      </c>
      <c r="P4740">
        <v>24</v>
      </c>
      <c r="Q4740">
        <v>547</v>
      </c>
      <c r="R4740">
        <v>548</v>
      </c>
    </row>
    <row r="4741" spans="1:18" x14ac:dyDescent="0.25">
      <c r="A4741">
        <v>549</v>
      </c>
      <c r="B4741" s="1">
        <v>40568</v>
      </c>
      <c r="C4741">
        <v>1</v>
      </c>
      <c r="D4741">
        <v>0</v>
      </c>
      <c r="E4741">
        <v>1</v>
      </c>
      <c r="F4741">
        <v>0</v>
      </c>
      <c r="G4741" t="b">
        <v>0</v>
      </c>
      <c r="H4741">
        <v>2</v>
      </c>
      <c r="I4741">
        <v>2</v>
      </c>
      <c r="J4741">
        <v>0.16</v>
      </c>
      <c r="K4741">
        <v>0.13639999999999999</v>
      </c>
      <c r="L4741">
        <v>0.69</v>
      </c>
      <c r="M4741">
        <v>0.28360000000000002</v>
      </c>
      <c r="N4741">
        <v>3</v>
      </c>
      <c r="O4741">
        <v>6</v>
      </c>
      <c r="P4741">
        <v>9</v>
      </c>
      <c r="Q4741">
        <v>548</v>
      </c>
      <c r="R4741">
        <v>549</v>
      </c>
    </row>
    <row r="4742" spans="1:18" x14ac:dyDescent="0.25">
      <c r="A4742">
        <v>550</v>
      </c>
      <c r="B4742" s="1">
        <v>40568</v>
      </c>
      <c r="C4742">
        <v>1</v>
      </c>
      <c r="D4742">
        <v>0</v>
      </c>
      <c r="E4742">
        <v>1</v>
      </c>
      <c r="F4742">
        <v>1</v>
      </c>
      <c r="G4742" t="b">
        <v>0</v>
      </c>
      <c r="H4742">
        <v>2</v>
      </c>
      <c r="I4742">
        <v>2</v>
      </c>
      <c r="J4742">
        <v>0.16</v>
      </c>
      <c r="K4742">
        <v>0.16669999999999999</v>
      </c>
      <c r="L4742">
        <v>0.69</v>
      </c>
      <c r="M4742">
        <v>0.16420000000000001</v>
      </c>
      <c r="N4742">
        <v>0</v>
      </c>
      <c r="O4742">
        <v>5</v>
      </c>
      <c r="P4742">
        <v>5</v>
      </c>
      <c r="Q4742">
        <v>549</v>
      </c>
      <c r="R4742">
        <v>550</v>
      </c>
    </row>
    <row r="4743" spans="1:18" x14ac:dyDescent="0.25">
      <c r="A4743">
        <v>551</v>
      </c>
      <c r="B4743" s="1">
        <v>40568</v>
      </c>
      <c r="C4743">
        <v>1</v>
      </c>
      <c r="D4743">
        <v>0</v>
      </c>
      <c r="E4743">
        <v>1</v>
      </c>
      <c r="F4743">
        <v>2</v>
      </c>
      <c r="G4743" t="b">
        <v>0</v>
      </c>
      <c r="H4743">
        <v>2</v>
      </c>
      <c r="I4743">
        <v>1</v>
      </c>
      <c r="J4743">
        <v>0.16</v>
      </c>
      <c r="K4743">
        <v>0.1515</v>
      </c>
      <c r="L4743">
        <v>0.69</v>
      </c>
      <c r="M4743">
        <v>0.22389999999999999</v>
      </c>
      <c r="N4743">
        <v>0</v>
      </c>
      <c r="O4743">
        <v>2</v>
      </c>
      <c r="P4743">
        <v>2</v>
      </c>
      <c r="Q4743">
        <v>550</v>
      </c>
      <c r="R4743">
        <v>551</v>
      </c>
    </row>
    <row r="4744" spans="1:18" x14ac:dyDescent="0.25">
      <c r="A4744">
        <v>552</v>
      </c>
      <c r="B4744" s="1">
        <v>40568</v>
      </c>
      <c r="C4744">
        <v>1</v>
      </c>
      <c r="D4744">
        <v>0</v>
      </c>
      <c r="E4744">
        <v>1</v>
      </c>
      <c r="F4744">
        <v>4</v>
      </c>
      <c r="G4744" t="b">
        <v>0</v>
      </c>
      <c r="H4744">
        <v>2</v>
      </c>
      <c r="I4744">
        <v>1</v>
      </c>
      <c r="J4744">
        <v>0.14000000000000001</v>
      </c>
      <c r="K4744">
        <v>0.16669999999999999</v>
      </c>
      <c r="L4744">
        <v>0.74</v>
      </c>
      <c r="M4744">
        <v>0.1045</v>
      </c>
      <c r="N4744">
        <v>0</v>
      </c>
      <c r="O4744">
        <v>1</v>
      </c>
      <c r="P4744">
        <v>1</v>
      </c>
      <c r="Q4744">
        <v>551</v>
      </c>
      <c r="R4744">
        <v>552</v>
      </c>
    </row>
    <row r="4745" spans="1:18" x14ac:dyDescent="0.25">
      <c r="A4745">
        <v>553</v>
      </c>
      <c r="B4745" s="1">
        <v>40568</v>
      </c>
      <c r="C4745">
        <v>1</v>
      </c>
      <c r="D4745">
        <v>0</v>
      </c>
      <c r="E4745">
        <v>1</v>
      </c>
      <c r="F4745">
        <v>5</v>
      </c>
      <c r="G4745" t="b">
        <v>0</v>
      </c>
      <c r="H4745">
        <v>2</v>
      </c>
      <c r="I4745">
        <v>1</v>
      </c>
      <c r="J4745">
        <v>0.14000000000000001</v>
      </c>
      <c r="K4745">
        <v>0.13639999999999999</v>
      </c>
      <c r="L4745">
        <v>0.74</v>
      </c>
      <c r="M4745">
        <v>0.22389999999999999</v>
      </c>
      <c r="N4745">
        <v>0</v>
      </c>
      <c r="O4745">
        <v>9</v>
      </c>
      <c r="P4745">
        <v>9</v>
      </c>
      <c r="Q4745">
        <v>552</v>
      </c>
      <c r="R4745">
        <v>553</v>
      </c>
    </row>
    <row r="4746" spans="1:18" x14ac:dyDescent="0.25">
      <c r="A4746">
        <v>554</v>
      </c>
      <c r="B4746" s="1">
        <v>40568</v>
      </c>
      <c r="C4746">
        <v>1</v>
      </c>
      <c r="D4746">
        <v>0</v>
      </c>
      <c r="E4746">
        <v>1</v>
      </c>
      <c r="F4746">
        <v>6</v>
      </c>
      <c r="G4746" t="b">
        <v>0</v>
      </c>
      <c r="H4746">
        <v>2</v>
      </c>
      <c r="I4746">
        <v>1</v>
      </c>
      <c r="J4746">
        <v>0.16</v>
      </c>
      <c r="K4746">
        <v>0.18179999999999999</v>
      </c>
      <c r="L4746">
        <v>0.74</v>
      </c>
      <c r="M4746">
        <v>0.1045</v>
      </c>
      <c r="N4746">
        <v>1</v>
      </c>
      <c r="O4746">
        <v>35</v>
      </c>
      <c r="P4746">
        <v>36</v>
      </c>
      <c r="Q4746">
        <v>553</v>
      </c>
      <c r="R4746">
        <v>554</v>
      </c>
    </row>
    <row r="4747" spans="1:18" x14ac:dyDescent="0.25">
      <c r="A4747">
        <v>555</v>
      </c>
      <c r="B4747" s="1">
        <v>40568</v>
      </c>
      <c r="C4747">
        <v>1</v>
      </c>
      <c r="D4747">
        <v>0</v>
      </c>
      <c r="E4747">
        <v>1</v>
      </c>
      <c r="F4747">
        <v>7</v>
      </c>
      <c r="G4747" t="b">
        <v>0</v>
      </c>
      <c r="H4747">
        <v>2</v>
      </c>
      <c r="I4747">
        <v>1</v>
      </c>
      <c r="J4747">
        <v>0.16</v>
      </c>
      <c r="K4747">
        <v>0.1515</v>
      </c>
      <c r="L4747">
        <v>0.74</v>
      </c>
      <c r="M4747">
        <v>0.22389999999999999</v>
      </c>
      <c r="N4747">
        <v>5</v>
      </c>
      <c r="O4747">
        <v>103</v>
      </c>
      <c r="P4747">
        <v>108</v>
      </c>
      <c r="Q4747">
        <v>554</v>
      </c>
      <c r="R4747">
        <v>555</v>
      </c>
    </row>
    <row r="4748" spans="1:18" x14ac:dyDescent="0.25">
      <c r="A4748">
        <v>556</v>
      </c>
      <c r="B4748" s="1">
        <v>40568</v>
      </c>
      <c r="C4748">
        <v>1</v>
      </c>
      <c r="D4748">
        <v>0</v>
      </c>
      <c r="E4748">
        <v>1</v>
      </c>
      <c r="F4748">
        <v>8</v>
      </c>
      <c r="G4748" t="b">
        <v>0</v>
      </c>
      <c r="H4748">
        <v>2</v>
      </c>
      <c r="I4748">
        <v>2</v>
      </c>
      <c r="J4748">
        <v>0.16</v>
      </c>
      <c r="K4748">
        <v>0.18179999999999999</v>
      </c>
      <c r="L4748">
        <v>0.74</v>
      </c>
      <c r="M4748">
        <v>0.1343</v>
      </c>
      <c r="N4748">
        <v>5</v>
      </c>
      <c r="O4748">
        <v>233</v>
      </c>
      <c r="P4748">
        <v>238</v>
      </c>
      <c r="Q4748">
        <v>555</v>
      </c>
      <c r="R4748">
        <v>556</v>
      </c>
    </row>
    <row r="4749" spans="1:18" x14ac:dyDescent="0.25">
      <c r="A4749">
        <v>557</v>
      </c>
      <c r="B4749" s="1">
        <v>40568</v>
      </c>
      <c r="C4749">
        <v>1</v>
      </c>
      <c r="D4749">
        <v>0</v>
      </c>
      <c r="E4749">
        <v>1</v>
      </c>
      <c r="F4749">
        <v>9</v>
      </c>
      <c r="G4749" t="b">
        <v>0</v>
      </c>
      <c r="H4749">
        <v>2</v>
      </c>
      <c r="I4749">
        <v>2</v>
      </c>
      <c r="J4749">
        <v>0.2</v>
      </c>
      <c r="K4749">
        <v>0.2273</v>
      </c>
      <c r="L4749">
        <v>0.64</v>
      </c>
      <c r="M4749">
        <v>8.9599999999999999E-2</v>
      </c>
      <c r="N4749">
        <v>10</v>
      </c>
      <c r="O4749">
        <v>134</v>
      </c>
      <c r="P4749">
        <v>144</v>
      </c>
      <c r="Q4749">
        <v>556</v>
      </c>
      <c r="R4749">
        <v>557</v>
      </c>
    </row>
    <row r="4750" spans="1:18" x14ac:dyDescent="0.25">
      <c r="A4750">
        <v>558</v>
      </c>
      <c r="B4750" s="1">
        <v>40568</v>
      </c>
      <c r="C4750">
        <v>1</v>
      </c>
      <c r="D4750">
        <v>0</v>
      </c>
      <c r="E4750">
        <v>1</v>
      </c>
      <c r="F4750">
        <v>10</v>
      </c>
      <c r="G4750" t="b">
        <v>0</v>
      </c>
      <c r="H4750">
        <v>2</v>
      </c>
      <c r="I4750">
        <v>2</v>
      </c>
      <c r="J4750">
        <v>0.22</v>
      </c>
      <c r="K4750">
        <v>0.2424</v>
      </c>
      <c r="L4750">
        <v>0.6</v>
      </c>
      <c r="M4750">
        <v>0.1045</v>
      </c>
      <c r="N4750">
        <v>6</v>
      </c>
      <c r="O4750">
        <v>49</v>
      </c>
      <c r="P4750">
        <v>55</v>
      </c>
      <c r="Q4750">
        <v>557</v>
      </c>
      <c r="R4750">
        <v>558</v>
      </c>
    </row>
    <row r="4751" spans="1:18" x14ac:dyDescent="0.25">
      <c r="A4751">
        <v>559</v>
      </c>
      <c r="B4751" s="1">
        <v>40568</v>
      </c>
      <c r="C4751">
        <v>1</v>
      </c>
      <c r="D4751">
        <v>0</v>
      </c>
      <c r="E4751">
        <v>1</v>
      </c>
      <c r="F4751">
        <v>11</v>
      </c>
      <c r="G4751" t="b">
        <v>0</v>
      </c>
      <c r="H4751">
        <v>2</v>
      </c>
      <c r="I4751">
        <v>2</v>
      </c>
      <c r="J4751">
        <v>0.24</v>
      </c>
      <c r="K4751">
        <v>0.2424</v>
      </c>
      <c r="L4751">
        <v>0.6</v>
      </c>
      <c r="M4751">
        <v>0.1343</v>
      </c>
      <c r="N4751">
        <v>6</v>
      </c>
      <c r="O4751">
        <v>55</v>
      </c>
      <c r="P4751">
        <v>61</v>
      </c>
      <c r="Q4751">
        <v>558</v>
      </c>
      <c r="R4751">
        <v>559</v>
      </c>
    </row>
    <row r="4752" spans="1:18" x14ac:dyDescent="0.25">
      <c r="A4752">
        <v>560</v>
      </c>
      <c r="B4752" s="1">
        <v>40568</v>
      </c>
      <c r="C4752">
        <v>1</v>
      </c>
      <c r="D4752">
        <v>0</v>
      </c>
      <c r="E4752">
        <v>1</v>
      </c>
      <c r="F4752">
        <v>12</v>
      </c>
      <c r="G4752" t="b">
        <v>0</v>
      </c>
      <c r="H4752">
        <v>2</v>
      </c>
      <c r="I4752">
        <v>2</v>
      </c>
      <c r="J4752">
        <v>0.26</v>
      </c>
      <c r="K4752">
        <v>0.28789999999999999</v>
      </c>
      <c r="L4752">
        <v>0.56000000000000005</v>
      </c>
      <c r="M4752">
        <v>8.9599999999999999E-2</v>
      </c>
      <c r="N4752">
        <v>21</v>
      </c>
      <c r="O4752">
        <v>85</v>
      </c>
      <c r="P4752">
        <v>106</v>
      </c>
      <c r="Q4752">
        <v>559</v>
      </c>
      <c r="R4752">
        <v>560</v>
      </c>
    </row>
    <row r="4753" spans="1:18" x14ac:dyDescent="0.25">
      <c r="A4753">
        <v>561</v>
      </c>
      <c r="B4753" s="1">
        <v>40568</v>
      </c>
      <c r="C4753">
        <v>1</v>
      </c>
      <c r="D4753">
        <v>0</v>
      </c>
      <c r="E4753">
        <v>1</v>
      </c>
      <c r="F4753">
        <v>13</v>
      </c>
      <c r="G4753" t="b">
        <v>0</v>
      </c>
      <c r="H4753">
        <v>2</v>
      </c>
      <c r="I4753">
        <v>2</v>
      </c>
      <c r="J4753">
        <v>0.26</v>
      </c>
      <c r="K4753">
        <v>0.2727</v>
      </c>
      <c r="L4753">
        <v>0.56000000000000005</v>
      </c>
      <c r="M4753">
        <v>0.1343</v>
      </c>
      <c r="N4753">
        <v>21</v>
      </c>
      <c r="O4753">
        <v>72</v>
      </c>
      <c r="P4753">
        <v>93</v>
      </c>
      <c r="Q4753">
        <v>560</v>
      </c>
      <c r="R4753">
        <v>561</v>
      </c>
    </row>
    <row r="4754" spans="1:18" x14ac:dyDescent="0.25">
      <c r="A4754">
        <v>562</v>
      </c>
      <c r="B4754" s="1">
        <v>40568</v>
      </c>
      <c r="C4754">
        <v>1</v>
      </c>
      <c r="D4754">
        <v>0</v>
      </c>
      <c r="E4754">
        <v>1</v>
      </c>
      <c r="F4754">
        <v>14</v>
      </c>
      <c r="G4754" t="b">
        <v>0</v>
      </c>
      <c r="H4754">
        <v>2</v>
      </c>
      <c r="I4754">
        <v>2</v>
      </c>
      <c r="J4754">
        <v>0.3</v>
      </c>
      <c r="K4754">
        <v>0.33329999999999999</v>
      </c>
      <c r="L4754">
        <v>0.45</v>
      </c>
      <c r="M4754">
        <v>0</v>
      </c>
      <c r="N4754">
        <v>11</v>
      </c>
      <c r="O4754">
        <v>57</v>
      </c>
      <c r="P4754">
        <v>68</v>
      </c>
      <c r="Q4754">
        <v>561</v>
      </c>
      <c r="R4754">
        <v>562</v>
      </c>
    </row>
    <row r="4755" spans="1:18" x14ac:dyDescent="0.25">
      <c r="A4755">
        <v>563</v>
      </c>
      <c r="B4755" s="1">
        <v>40568</v>
      </c>
      <c r="C4755">
        <v>1</v>
      </c>
      <c r="D4755">
        <v>0</v>
      </c>
      <c r="E4755">
        <v>1</v>
      </c>
      <c r="F4755">
        <v>15</v>
      </c>
      <c r="G4755" t="b">
        <v>0</v>
      </c>
      <c r="H4755">
        <v>2</v>
      </c>
      <c r="I4755">
        <v>2</v>
      </c>
      <c r="J4755">
        <v>0.32</v>
      </c>
      <c r="K4755">
        <v>0.34849999999999998</v>
      </c>
      <c r="L4755">
        <v>0.42</v>
      </c>
      <c r="M4755">
        <v>0</v>
      </c>
      <c r="N4755">
        <v>21</v>
      </c>
      <c r="O4755">
        <v>63</v>
      </c>
      <c r="P4755">
        <v>84</v>
      </c>
      <c r="Q4755">
        <v>562</v>
      </c>
      <c r="R4755">
        <v>563</v>
      </c>
    </row>
    <row r="4756" spans="1:18" x14ac:dyDescent="0.25">
      <c r="A4756">
        <v>564</v>
      </c>
      <c r="B4756" s="1">
        <v>40568</v>
      </c>
      <c r="C4756">
        <v>1</v>
      </c>
      <c r="D4756">
        <v>0</v>
      </c>
      <c r="E4756">
        <v>1</v>
      </c>
      <c r="F4756">
        <v>16</v>
      </c>
      <c r="G4756" t="b">
        <v>0</v>
      </c>
      <c r="H4756">
        <v>2</v>
      </c>
      <c r="I4756">
        <v>2</v>
      </c>
      <c r="J4756">
        <v>0.32</v>
      </c>
      <c r="K4756">
        <v>0.34849999999999998</v>
      </c>
      <c r="L4756">
        <v>0.42</v>
      </c>
      <c r="M4756">
        <v>0</v>
      </c>
      <c r="N4756">
        <v>14</v>
      </c>
      <c r="O4756">
        <v>102</v>
      </c>
      <c r="P4756">
        <v>116</v>
      </c>
      <c r="Q4756">
        <v>563</v>
      </c>
      <c r="R4756">
        <v>564</v>
      </c>
    </row>
    <row r="4757" spans="1:18" x14ac:dyDescent="0.25">
      <c r="A4757">
        <v>565</v>
      </c>
      <c r="B4757" s="1">
        <v>40568</v>
      </c>
      <c r="C4757">
        <v>1</v>
      </c>
      <c r="D4757">
        <v>0</v>
      </c>
      <c r="E4757">
        <v>1</v>
      </c>
      <c r="F4757">
        <v>17</v>
      </c>
      <c r="G4757" t="b">
        <v>0</v>
      </c>
      <c r="H4757">
        <v>2</v>
      </c>
      <c r="I4757">
        <v>1</v>
      </c>
      <c r="J4757">
        <v>0.3</v>
      </c>
      <c r="K4757">
        <v>0.33329999999999999</v>
      </c>
      <c r="L4757">
        <v>0.45</v>
      </c>
      <c r="M4757">
        <v>0</v>
      </c>
      <c r="N4757">
        <v>14</v>
      </c>
      <c r="O4757">
        <v>208</v>
      </c>
      <c r="P4757">
        <v>222</v>
      </c>
      <c r="Q4757">
        <v>564</v>
      </c>
      <c r="R4757">
        <v>565</v>
      </c>
    </row>
    <row r="4758" spans="1:18" x14ac:dyDescent="0.25">
      <c r="A4758">
        <v>566</v>
      </c>
      <c r="B4758" s="1">
        <v>40568</v>
      </c>
      <c r="C4758">
        <v>1</v>
      </c>
      <c r="D4758">
        <v>0</v>
      </c>
      <c r="E4758">
        <v>1</v>
      </c>
      <c r="F4758">
        <v>18</v>
      </c>
      <c r="G4758" t="b">
        <v>0</v>
      </c>
      <c r="H4758">
        <v>2</v>
      </c>
      <c r="I4758">
        <v>2</v>
      </c>
      <c r="J4758">
        <v>0.3</v>
      </c>
      <c r="K4758">
        <v>0.31819999999999998</v>
      </c>
      <c r="L4758">
        <v>0.49</v>
      </c>
      <c r="M4758">
        <v>8.9599999999999999E-2</v>
      </c>
      <c r="N4758">
        <v>7</v>
      </c>
      <c r="O4758">
        <v>218</v>
      </c>
      <c r="P4758">
        <v>225</v>
      </c>
      <c r="Q4758">
        <v>565</v>
      </c>
      <c r="R4758">
        <v>566</v>
      </c>
    </row>
    <row r="4759" spans="1:18" x14ac:dyDescent="0.25">
      <c r="A4759">
        <v>567</v>
      </c>
      <c r="B4759" s="1">
        <v>40568</v>
      </c>
      <c r="C4759">
        <v>1</v>
      </c>
      <c r="D4759">
        <v>0</v>
      </c>
      <c r="E4759">
        <v>1</v>
      </c>
      <c r="F4759">
        <v>19</v>
      </c>
      <c r="G4759" t="b">
        <v>0</v>
      </c>
      <c r="H4759">
        <v>2</v>
      </c>
      <c r="I4759">
        <v>2</v>
      </c>
      <c r="J4759">
        <v>0.26</v>
      </c>
      <c r="K4759">
        <v>0.2576</v>
      </c>
      <c r="L4759">
        <v>0.65</v>
      </c>
      <c r="M4759">
        <v>0.16420000000000001</v>
      </c>
      <c r="N4759">
        <v>13</v>
      </c>
      <c r="O4759">
        <v>133</v>
      </c>
      <c r="P4759">
        <v>146</v>
      </c>
      <c r="Q4759">
        <v>566</v>
      </c>
      <c r="R4759">
        <v>567</v>
      </c>
    </row>
    <row r="4760" spans="1:18" x14ac:dyDescent="0.25">
      <c r="A4760">
        <v>568</v>
      </c>
      <c r="B4760" s="1">
        <v>40568</v>
      </c>
      <c r="C4760">
        <v>1</v>
      </c>
      <c r="D4760">
        <v>0</v>
      </c>
      <c r="E4760">
        <v>1</v>
      </c>
      <c r="F4760">
        <v>20</v>
      </c>
      <c r="G4760" t="b">
        <v>0</v>
      </c>
      <c r="H4760">
        <v>2</v>
      </c>
      <c r="I4760">
        <v>1</v>
      </c>
      <c r="J4760">
        <v>0.24</v>
      </c>
      <c r="K4760">
        <v>0.2273</v>
      </c>
      <c r="L4760">
        <v>0.65</v>
      </c>
      <c r="M4760">
        <v>0.19400000000000001</v>
      </c>
      <c r="N4760">
        <v>16</v>
      </c>
      <c r="O4760">
        <v>103</v>
      </c>
      <c r="P4760">
        <v>119</v>
      </c>
      <c r="Q4760">
        <v>567</v>
      </c>
      <c r="R4760">
        <v>568</v>
      </c>
    </row>
    <row r="4761" spans="1:18" x14ac:dyDescent="0.25">
      <c r="A4761">
        <v>569</v>
      </c>
      <c r="B4761" s="1">
        <v>40568</v>
      </c>
      <c r="C4761">
        <v>1</v>
      </c>
      <c r="D4761">
        <v>0</v>
      </c>
      <c r="E4761">
        <v>1</v>
      </c>
      <c r="F4761">
        <v>21</v>
      </c>
      <c r="G4761" t="b">
        <v>0</v>
      </c>
      <c r="H4761">
        <v>2</v>
      </c>
      <c r="I4761">
        <v>1</v>
      </c>
      <c r="J4761">
        <v>0.24</v>
      </c>
      <c r="K4761">
        <v>0.2273</v>
      </c>
      <c r="L4761">
        <v>0.65</v>
      </c>
      <c r="M4761">
        <v>0.19400000000000001</v>
      </c>
      <c r="N4761">
        <v>5</v>
      </c>
      <c r="O4761">
        <v>40</v>
      </c>
      <c r="P4761">
        <v>45</v>
      </c>
      <c r="Q4761">
        <v>568</v>
      </c>
      <c r="R4761">
        <v>569</v>
      </c>
    </row>
    <row r="4762" spans="1:18" x14ac:dyDescent="0.25">
      <c r="A4762">
        <v>570</v>
      </c>
      <c r="B4762" s="1">
        <v>40568</v>
      </c>
      <c r="C4762">
        <v>1</v>
      </c>
      <c r="D4762">
        <v>0</v>
      </c>
      <c r="E4762">
        <v>1</v>
      </c>
      <c r="F4762">
        <v>22</v>
      </c>
      <c r="G4762" t="b">
        <v>0</v>
      </c>
      <c r="H4762">
        <v>2</v>
      </c>
      <c r="I4762">
        <v>1</v>
      </c>
      <c r="J4762">
        <v>0.22</v>
      </c>
      <c r="K4762">
        <v>0.2273</v>
      </c>
      <c r="L4762">
        <v>0.64</v>
      </c>
      <c r="M4762">
        <v>0.16420000000000001</v>
      </c>
      <c r="N4762">
        <v>4</v>
      </c>
      <c r="O4762">
        <v>49</v>
      </c>
      <c r="P4762">
        <v>53</v>
      </c>
      <c r="Q4762">
        <v>569</v>
      </c>
      <c r="R4762">
        <v>570</v>
      </c>
    </row>
    <row r="4763" spans="1:18" x14ac:dyDescent="0.25">
      <c r="A4763">
        <v>571</v>
      </c>
      <c r="B4763" s="1">
        <v>40568</v>
      </c>
      <c r="C4763">
        <v>1</v>
      </c>
      <c r="D4763">
        <v>0</v>
      </c>
      <c r="E4763">
        <v>1</v>
      </c>
      <c r="F4763">
        <v>23</v>
      </c>
      <c r="G4763" t="b">
        <v>0</v>
      </c>
      <c r="H4763">
        <v>2</v>
      </c>
      <c r="I4763">
        <v>2</v>
      </c>
      <c r="J4763">
        <v>0.22</v>
      </c>
      <c r="K4763">
        <v>0.2273</v>
      </c>
      <c r="L4763">
        <v>0.64</v>
      </c>
      <c r="M4763">
        <v>0.16420000000000001</v>
      </c>
      <c r="N4763">
        <v>3</v>
      </c>
      <c r="O4763">
        <v>37</v>
      </c>
      <c r="P4763">
        <v>40</v>
      </c>
      <c r="Q4763">
        <v>570</v>
      </c>
      <c r="R4763">
        <v>571</v>
      </c>
    </row>
    <row r="4764" spans="1:18" x14ac:dyDescent="0.25">
      <c r="A4764">
        <v>572</v>
      </c>
      <c r="B4764" s="1">
        <v>40569</v>
      </c>
      <c r="C4764">
        <v>1</v>
      </c>
      <c r="D4764">
        <v>0</v>
      </c>
      <c r="E4764">
        <v>1</v>
      </c>
      <c r="F4764">
        <v>0</v>
      </c>
      <c r="G4764" t="b">
        <v>0</v>
      </c>
      <c r="H4764">
        <v>3</v>
      </c>
      <c r="I4764">
        <v>2</v>
      </c>
      <c r="J4764">
        <v>0.22</v>
      </c>
      <c r="K4764">
        <v>0.2273</v>
      </c>
      <c r="L4764">
        <v>0.69</v>
      </c>
      <c r="M4764">
        <v>0.1343</v>
      </c>
      <c r="N4764">
        <v>3</v>
      </c>
      <c r="O4764">
        <v>14</v>
      </c>
      <c r="P4764">
        <v>17</v>
      </c>
      <c r="Q4764">
        <v>571</v>
      </c>
      <c r="R4764">
        <v>572</v>
      </c>
    </row>
    <row r="4765" spans="1:18" x14ac:dyDescent="0.25">
      <c r="A4765">
        <v>573</v>
      </c>
      <c r="B4765" s="1">
        <v>40569</v>
      </c>
      <c r="C4765">
        <v>1</v>
      </c>
      <c r="D4765">
        <v>0</v>
      </c>
      <c r="E4765">
        <v>1</v>
      </c>
      <c r="F4765">
        <v>1</v>
      </c>
      <c r="G4765" t="b">
        <v>0</v>
      </c>
      <c r="H4765">
        <v>3</v>
      </c>
      <c r="I4765">
        <v>2</v>
      </c>
      <c r="J4765">
        <v>0.24</v>
      </c>
      <c r="K4765">
        <v>0.2424</v>
      </c>
      <c r="L4765">
        <v>0.65</v>
      </c>
      <c r="M4765">
        <v>0.1343</v>
      </c>
      <c r="N4765">
        <v>0</v>
      </c>
      <c r="O4765">
        <v>5</v>
      </c>
      <c r="P4765">
        <v>5</v>
      </c>
      <c r="Q4765">
        <v>572</v>
      </c>
      <c r="R4765">
        <v>573</v>
      </c>
    </row>
    <row r="4766" spans="1:18" x14ac:dyDescent="0.25">
      <c r="A4766">
        <v>574</v>
      </c>
      <c r="B4766" s="1">
        <v>40569</v>
      </c>
      <c r="C4766">
        <v>1</v>
      </c>
      <c r="D4766">
        <v>0</v>
      </c>
      <c r="E4766">
        <v>1</v>
      </c>
      <c r="F4766">
        <v>2</v>
      </c>
      <c r="G4766" t="b">
        <v>0</v>
      </c>
      <c r="H4766">
        <v>3</v>
      </c>
      <c r="I4766">
        <v>3</v>
      </c>
      <c r="J4766">
        <v>0.22</v>
      </c>
      <c r="K4766">
        <v>0.2273</v>
      </c>
      <c r="L4766">
        <v>0.69</v>
      </c>
      <c r="M4766">
        <v>0.19400000000000001</v>
      </c>
      <c r="N4766">
        <v>3</v>
      </c>
      <c r="O4766">
        <v>7</v>
      </c>
      <c r="P4766">
        <v>10</v>
      </c>
      <c r="Q4766">
        <v>573</v>
      </c>
      <c r="R4766">
        <v>574</v>
      </c>
    </row>
    <row r="4767" spans="1:18" x14ac:dyDescent="0.25">
      <c r="A4767">
        <v>575</v>
      </c>
      <c r="B4767" s="1">
        <v>40569</v>
      </c>
      <c r="C4767">
        <v>1</v>
      </c>
      <c r="D4767">
        <v>0</v>
      </c>
      <c r="E4767">
        <v>1</v>
      </c>
      <c r="F4767">
        <v>5</v>
      </c>
      <c r="G4767" t="b">
        <v>0</v>
      </c>
      <c r="H4767">
        <v>3</v>
      </c>
      <c r="I4767">
        <v>3</v>
      </c>
      <c r="J4767">
        <v>0.2</v>
      </c>
      <c r="K4767">
        <v>0.18179999999999999</v>
      </c>
      <c r="L4767">
        <v>0.86</v>
      </c>
      <c r="M4767">
        <v>0.28360000000000002</v>
      </c>
      <c r="N4767">
        <v>0</v>
      </c>
      <c r="O4767">
        <v>1</v>
      </c>
      <c r="P4767">
        <v>1</v>
      </c>
      <c r="Q4767">
        <v>574</v>
      </c>
      <c r="R4767">
        <v>575</v>
      </c>
    </row>
    <row r="4768" spans="1:18" x14ac:dyDescent="0.25">
      <c r="A4768">
        <v>576</v>
      </c>
      <c r="B4768" s="1">
        <v>40569</v>
      </c>
      <c r="C4768">
        <v>1</v>
      </c>
      <c r="D4768">
        <v>0</v>
      </c>
      <c r="E4768">
        <v>1</v>
      </c>
      <c r="F4768">
        <v>6</v>
      </c>
      <c r="G4768" t="b">
        <v>0</v>
      </c>
      <c r="H4768">
        <v>3</v>
      </c>
      <c r="I4768">
        <v>3</v>
      </c>
      <c r="J4768">
        <v>0.2</v>
      </c>
      <c r="K4768">
        <v>0.18179999999999999</v>
      </c>
      <c r="L4768">
        <v>0.86</v>
      </c>
      <c r="M4768">
        <v>0.28360000000000002</v>
      </c>
      <c r="N4768">
        <v>0</v>
      </c>
      <c r="O4768">
        <v>8</v>
      </c>
      <c r="P4768">
        <v>8</v>
      </c>
      <c r="Q4768">
        <v>575</v>
      </c>
      <c r="R4768">
        <v>576</v>
      </c>
    </row>
    <row r="4769" spans="1:18" x14ac:dyDescent="0.25">
      <c r="A4769">
        <v>577</v>
      </c>
      <c r="B4769" s="1">
        <v>40569</v>
      </c>
      <c r="C4769">
        <v>1</v>
      </c>
      <c r="D4769">
        <v>0</v>
      </c>
      <c r="E4769">
        <v>1</v>
      </c>
      <c r="F4769">
        <v>7</v>
      </c>
      <c r="G4769" t="b">
        <v>0</v>
      </c>
      <c r="H4769">
        <v>3</v>
      </c>
      <c r="I4769">
        <v>3</v>
      </c>
      <c r="J4769">
        <v>0.22</v>
      </c>
      <c r="K4769">
        <v>0.21210000000000001</v>
      </c>
      <c r="L4769">
        <v>0.87</v>
      </c>
      <c r="M4769">
        <v>0.29849999999999999</v>
      </c>
      <c r="N4769">
        <v>1</v>
      </c>
      <c r="O4769">
        <v>29</v>
      </c>
      <c r="P4769">
        <v>30</v>
      </c>
      <c r="Q4769">
        <v>576</v>
      </c>
      <c r="R4769">
        <v>577</v>
      </c>
    </row>
    <row r="4770" spans="1:18" x14ac:dyDescent="0.25">
      <c r="A4770">
        <v>578</v>
      </c>
      <c r="B4770" s="1">
        <v>40569</v>
      </c>
      <c r="C4770">
        <v>1</v>
      </c>
      <c r="D4770">
        <v>0</v>
      </c>
      <c r="E4770">
        <v>1</v>
      </c>
      <c r="F4770">
        <v>8</v>
      </c>
      <c r="G4770" t="b">
        <v>0</v>
      </c>
      <c r="H4770">
        <v>3</v>
      </c>
      <c r="I4770">
        <v>3</v>
      </c>
      <c r="J4770">
        <v>0.22</v>
      </c>
      <c r="K4770">
        <v>0.21210000000000001</v>
      </c>
      <c r="L4770">
        <v>0.87</v>
      </c>
      <c r="M4770">
        <v>0.29849999999999999</v>
      </c>
      <c r="N4770">
        <v>3</v>
      </c>
      <c r="O4770">
        <v>69</v>
      </c>
      <c r="P4770">
        <v>72</v>
      </c>
      <c r="Q4770">
        <v>577</v>
      </c>
      <c r="R4770">
        <v>578</v>
      </c>
    </row>
    <row r="4771" spans="1:18" x14ac:dyDescent="0.25">
      <c r="A4771">
        <v>579</v>
      </c>
      <c r="B4771" s="1">
        <v>40569</v>
      </c>
      <c r="C4771">
        <v>1</v>
      </c>
      <c r="D4771">
        <v>0</v>
      </c>
      <c r="E4771">
        <v>1</v>
      </c>
      <c r="F4771">
        <v>9</v>
      </c>
      <c r="G4771" t="b">
        <v>0</v>
      </c>
      <c r="H4771">
        <v>3</v>
      </c>
      <c r="I4771">
        <v>3</v>
      </c>
      <c r="J4771">
        <v>0.22</v>
      </c>
      <c r="K4771">
        <v>0.21210000000000001</v>
      </c>
      <c r="L4771">
        <v>0.87</v>
      </c>
      <c r="M4771">
        <v>0.29849999999999999</v>
      </c>
      <c r="N4771">
        <v>3</v>
      </c>
      <c r="O4771">
        <v>55</v>
      </c>
      <c r="P4771">
        <v>58</v>
      </c>
      <c r="Q4771">
        <v>578</v>
      </c>
      <c r="R4771">
        <v>579</v>
      </c>
    </row>
    <row r="4772" spans="1:18" x14ac:dyDescent="0.25">
      <c r="A4772">
        <v>580</v>
      </c>
      <c r="B4772" s="1">
        <v>40569</v>
      </c>
      <c r="C4772">
        <v>1</v>
      </c>
      <c r="D4772">
        <v>0</v>
      </c>
      <c r="E4772">
        <v>1</v>
      </c>
      <c r="F4772">
        <v>10</v>
      </c>
      <c r="G4772" t="b">
        <v>0</v>
      </c>
      <c r="H4772">
        <v>3</v>
      </c>
      <c r="I4772">
        <v>3</v>
      </c>
      <c r="J4772">
        <v>0.22</v>
      </c>
      <c r="K4772">
        <v>0.21210000000000001</v>
      </c>
      <c r="L4772">
        <v>0.93</v>
      </c>
      <c r="M4772">
        <v>0.28360000000000002</v>
      </c>
      <c r="N4772">
        <v>2</v>
      </c>
      <c r="O4772">
        <v>26</v>
      </c>
      <c r="P4772">
        <v>28</v>
      </c>
      <c r="Q4772">
        <v>579</v>
      </c>
      <c r="R4772">
        <v>580</v>
      </c>
    </row>
    <row r="4773" spans="1:18" x14ac:dyDescent="0.25">
      <c r="A4773">
        <v>581</v>
      </c>
      <c r="B4773" s="1">
        <v>40569</v>
      </c>
      <c r="C4773">
        <v>1</v>
      </c>
      <c r="D4773">
        <v>0</v>
      </c>
      <c r="E4773">
        <v>1</v>
      </c>
      <c r="F4773">
        <v>11</v>
      </c>
      <c r="G4773" t="b">
        <v>0</v>
      </c>
      <c r="H4773">
        <v>3</v>
      </c>
      <c r="I4773">
        <v>3</v>
      </c>
      <c r="J4773">
        <v>0.22</v>
      </c>
      <c r="K4773">
        <v>0.19700000000000001</v>
      </c>
      <c r="L4773">
        <v>0.93</v>
      </c>
      <c r="M4773">
        <v>0.32840000000000003</v>
      </c>
      <c r="N4773">
        <v>6</v>
      </c>
      <c r="O4773">
        <v>35</v>
      </c>
      <c r="P4773">
        <v>41</v>
      </c>
      <c r="Q4773">
        <v>580</v>
      </c>
      <c r="R4773">
        <v>581</v>
      </c>
    </row>
    <row r="4774" spans="1:18" x14ac:dyDescent="0.25">
      <c r="A4774">
        <v>582</v>
      </c>
      <c r="B4774" s="1">
        <v>40569</v>
      </c>
      <c r="C4774">
        <v>1</v>
      </c>
      <c r="D4774">
        <v>0</v>
      </c>
      <c r="E4774">
        <v>1</v>
      </c>
      <c r="F4774">
        <v>12</v>
      </c>
      <c r="G4774" t="b">
        <v>0</v>
      </c>
      <c r="H4774">
        <v>3</v>
      </c>
      <c r="I4774">
        <v>3</v>
      </c>
      <c r="J4774">
        <v>0.22</v>
      </c>
      <c r="K4774">
        <v>0.19700000000000001</v>
      </c>
      <c r="L4774">
        <v>0.93</v>
      </c>
      <c r="M4774">
        <v>0.32840000000000003</v>
      </c>
      <c r="N4774">
        <v>7</v>
      </c>
      <c r="O4774">
        <v>41</v>
      </c>
      <c r="P4774">
        <v>48</v>
      </c>
      <c r="Q4774">
        <v>581</v>
      </c>
      <c r="R4774">
        <v>582</v>
      </c>
    </row>
    <row r="4775" spans="1:18" x14ac:dyDescent="0.25">
      <c r="A4775">
        <v>583</v>
      </c>
      <c r="B4775" s="1">
        <v>40569</v>
      </c>
      <c r="C4775">
        <v>1</v>
      </c>
      <c r="D4775">
        <v>0</v>
      </c>
      <c r="E4775">
        <v>1</v>
      </c>
      <c r="F4775">
        <v>13</v>
      </c>
      <c r="G4775" t="b">
        <v>0</v>
      </c>
      <c r="H4775">
        <v>3</v>
      </c>
      <c r="I4775">
        <v>3</v>
      </c>
      <c r="J4775">
        <v>0.22</v>
      </c>
      <c r="K4775">
        <v>0.19700000000000001</v>
      </c>
      <c r="L4775">
        <v>0.93</v>
      </c>
      <c r="M4775">
        <v>0.32840000000000003</v>
      </c>
      <c r="N4775">
        <v>4</v>
      </c>
      <c r="O4775">
        <v>43</v>
      </c>
      <c r="P4775">
        <v>47</v>
      </c>
      <c r="Q4775">
        <v>582</v>
      </c>
      <c r="R4775">
        <v>583</v>
      </c>
    </row>
    <row r="4776" spans="1:18" x14ac:dyDescent="0.25">
      <c r="A4776">
        <v>584</v>
      </c>
      <c r="B4776" s="1">
        <v>40569</v>
      </c>
      <c r="C4776">
        <v>1</v>
      </c>
      <c r="D4776">
        <v>0</v>
      </c>
      <c r="E4776">
        <v>1</v>
      </c>
      <c r="F4776">
        <v>14</v>
      </c>
      <c r="G4776" t="b">
        <v>0</v>
      </c>
      <c r="H4776">
        <v>3</v>
      </c>
      <c r="I4776">
        <v>3</v>
      </c>
      <c r="J4776">
        <v>0.22</v>
      </c>
      <c r="K4776">
        <v>0.19700000000000001</v>
      </c>
      <c r="L4776">
        <v>0.93</v>
      </c>
      <c r="M4776">
        <v>0.35820000000000002</v>
      </c>
      <c r="N4776">
        <v>0</v>
      </c>
      <c r="O4776">
        <v>36</v>
      </c>
      <c r="P4776">
        <v>36</v>
      </c>
      <c r="Q4776">
        <v>583</v>
      </c>
      <c r="R4776">
        <v>584</v>
      </c>
    </row>
    <row r="4777" spans="1:18" x14ac:dyDescent="0.25">
      <c r="A4777">
        <v>585</v>
      </c>
      <c r="B4777" s="1">
        <v>40569</v>
      </c>
      <c r="C4777">
        <v>1</v>
      </c>
      <c r="D4777">
        <v>0</v>
      </c>
      <c r="E4777">
        <v>1</v>
      </c>
      <c r="F4777">
        <v>15</v>
      </c>
      <c r="G4777" t="b">
        <v>0</v>
      </c>
      <c r="H4777">
        <v>3</v>
      </c>
      <c r="I4777">
        <v>3</v>
      </c>
      <c r="J4777">
        <v>0.22</v>
      </c>
      <c r="K4777">
        <v>0.18179999999999999</v>
      </c>
      <c r="L4777">
        <v>0.93</v>
      </c>
      <c r="M4777">
        <v>0.4627</v>
      </c>
      <c r="N4777">
        <v>1</v>
      </c>
      <c r="O4777">
        <v>42</v>
      </c>
      <c r="P4777">
        <v>43</v>
      </c>
      <c r="Q4777">
        <v>584</v>
      </c>
      <c r="R4777">
        <v>585</v>
      </c>
    </row>
    <row r="4778" spans="1:18" x14ac:dyDescent="0.25">
      <c r="A4778">
        <v>586</v>
      </c>
      <c r="B4778" s="1">
        <v>40569</v>
      </c>
      <c r="C4778">
        <v>1</v>
      </c>
      <c r="D4778">
        <v>0</v>
      </c>
      <c r="E4778">
        <v>1</v>
      </c>
      <c r="F4778">
        <v>16</v>
      </c>
      <c r="G4778" t="b">
        <v>0</v>
      </c>
      <c r="H4778">
        <v>3</v>
      </c>
      <c r="I4778">
        <v>4</v>
      </c>
      <c r="J4778">
        <v>0.22</v>
      </c>
      <c r="K4778">
        <v>0.19700000000000001</v>
      </c>
      <c r="L4778">
        <v>0.93</v>
      </c>
      <c r="M4778">
        <v>0.32840000000000003</v>
      </c>
      <c r="N4778">
        <v>1</v>
      </c>
      <c r="O4778">
        <v>35</v>
      </c>
      <c r="P4778">
        <v>36</v>
      </c>
      <c r="Q4778">
        <v>585</v>
      </c>
      <c r="R4778">
        <v>586</v>
      </c>
    </row>
    <row r="4779" spans="1:18" x14ac:dyDescent="0.25">
      <c r="A4779">
        <v>587</v>
      </c>
      <c r="B4779" s="1">
        <v>40569</v>
      </c>
      <c r="C4779">
        <v>1</v>
      </c>
      <c r="D4779">
        <v>0</v>
      </c>
      <c r="E4779">
        <v>1</v>
      </c>
      <c r="F4779">
        <v>17</v>
      </c>
      <c r="G4779" t="b">
        <v>0</v>
      </c>
      <c r="H4779">
        <v>3</v>
      </c>
      <c r="I4779">
        <v>3</v>
      </c>
      <c r="J4779">
        <v>0.2</v>
      </c>
      <c r="K4779">
        <v>0.18179999999999999</v>
      </c>
      <c r="L4779">
        <v>0.93</v>
      </c>
      <c r="M4779">
        <v>0.35820000000000002</v>
      </c>
      <c r="N4779">
        <v>0</v>
      </c>
      <c r="O4779">
        <v>26</v>
      </c>
      <c r="P4779">
        <v>26</v>
      </c>
      <c r="Q4779">
        <v>586</v>
      </c>
      <c r="R4779">
        <v>587</v>
      </c>
    </row>
    <row r="4780" spans="1:18" x14ac:dyDescent="0.25">
      <c r="A4780">
        <v>588</v>
      </c>
      <c r="B4780" s="1">
        <v>40570</v>
      </c>
      <c r="C4780">
        <v>1</v>
      </c>
      <c r="D4780">
        <v>0</v>
      </c>
      <c r="E4780">
        <v>1</v>
      </c>
      <c r="F4780">
        <v>16</v>
      </c>
      <c r="G4780" t="b">
        <v>0</v>
      </c>
      <c r="H4780">
        <v>4</v>
      </c>
      <c r="I4780">
        <v>1</v>
      </c>
      <c r="J4780">
        <v>0.22</v>
      </c>
      <c r="K4780">
        <v>0.2273</v>
      </c>
      <c r="L4780">
        <v>0.55000000000000004</v>
      </c>
      <c r="M4780">
        <v>0.19400000000000001</v>
      </c>
      <c r="N4780">
        <v>1</v>
      </c>
      <c r="O4780">
        <v>23</v>
      </c>
      <c r="P4780">
        <v>24</v>
      </c>
      <c r="Q4780">
        <v>587</v>
      </c>
      <c r="R4780">
        <v>588</v>
      </c>
    </row>
    <row r="4781" spans="1:18" x14ac:dyDescent="0.25">
      <c r="A4781">
        <v>589</v>
      </c>
      <c r="B4781" s="1">
        <v>40570</v>
      </c>
      <c r="C4781">
        <v>1</v>
      </c>
      <c r="D4781">
        <v>0</v>
      </c>
      <c r="E4781">
        <v>1</v>
      </c>
      <c r="F4781">
        <v>17</v>
      </c>
      <c r="G4781" t="b">
        <v>0</v>
      </c>
      <c r="H4781">
        <v>4</v>
      </c>
      <c r="I4781">
        <v>1</v>
      </c>
      <c r="J4781">
        <v>0.22</v>
      </c>
      <c r="K4781">
        <v>0.2424</v>
      </c>
      <c r="L4781">
        <v>0.55000000000000004</v>
      </c>
      <c r="M4781">
        <v>0.1045</v>
      </c>
      <c r="N4781">
        <v>2</v>
      </c>
      <c r="O4781">
        <v>82</v>
      </c>
      <c r="P4781">
        <v>84</v>
      </c>
      <c r="Q4781">
        <v>588</v>
      </c>
      <c r="R4781">
        <v>589</v>
      </c>
    </row>
    <row r="4782" spans="1:18" x14ac:dyDescent="0.25">
      <c r="A4782">
        <v>590</v>
      </c>
      <c r="B4782" s="1">
        <v>40570</v>
      </c>
      <c r="C4782">
        <v>1</v>
      </c>
      <c r="D4782">
        <v>0</v>
      </c>
      <c r="E4782">
        <v>1</v>
      </c>
      <c r="F4782">
        <v>18</v>
      </c>
      <c r="G4782" t="b">
        <v>0</v>
      </c>
      <c r="H4782">
        <v>4</v>
      </c>
      <c r="I4782">
        <v>1</v>
      </c>
      <c r="J4782">
        <v>0.2</v>
      </c>
      <c r="K4782">
        <v>0.2273</v>
      </c>
      <c r="L4782">
        <v>0.69</v>
      </c>
      <c r="M4782">
        <v>8.9599999999999999E-2</v>
      </c>
      <c r="N4782">
        <v>3</v>
      </c>
      <c r="O4782">
        <v>101</v>
      </c>
      <c r="P4782">
        <v>104</v>
      </c>
      <c r="Q4782">
        <v>589</v>
      </c>
      <c r="R4782">
        <v>590</v>
      </c>
    </row>
    <row r="4783" spans="1:18" x14ac:dyDescent="0.25">
      <c r="A4783">
        <v>591</v>
      </c>
      <c r="B4783" s="1">
        <v>40570</v>
      </c>
      <c r="C4783">
        <v>1</v>
      </c>
      <c r="D4783">
        <v>0</v>
      </c>
      <c r="E4783">
        <v>1</v>
      </c>
      <c r="F4783">
        <v>19</v>
      </c>
      <c r="G4783" t="b">
        <v>0</v>
      </c>
      <c r="H4783">
        <v>4</v>
      </c>
      <c r="I4783">
        <v>1</v>
      </c>
      <c r="J4783">
        <v>0.2</v>
      </c>
      <c r="K4783">
        <v>0.2273</v>
      </c>
      <c r="L4783">
        <v>0.69</v>
      </c>
      <c r="M4783">
        <v>8.9599999999999999E-2</v>
      </c>
      <c r="N4783">
        <v>3</v>
      </c>
      <c r="O4783">
        <v>76</v>
      </c>
      <c r="P4783">
        <v>79</v>
      </c>
      <c r="Q4783">
        <v>590</v>
      </c>
      <c r="R4783">
        <v>591</v>
      </c>
    </row>
    <row r="4784" spans="1:18" x14ac:dyDescent="0.25">
      <c r="A4784">
        <v>592</v>
      </c>
      <c r="B4784" s="1">
        <v>40570</v>
      </c>
      <c r="C4784">
        <v>1</v>
      </c>
      <c r="D4784">
        <v>0</v>
      </c>
      <c r="E4784">
        <v>1</v>
      </c>
      <c r="F4784">
        <v>20</v>
      </c>
      <c r="G4784" t="b">
        <v>0</v>
      </c>
      <c r="H4784">
        <v>4</v>
      </c>
      <c r="I4784">
        <v>1</v>
      </c>
      <c r="J4784">
        <v>0.18</v>
      </c>
      <c r="K4784">
        <v>0.21210000000000001</v>
      </c>
      <c r="L4784">
        <v>0.74</v>
      </c>
      <c r="M4784">
        <v>8.9599999999999999E-2</v>
      </c>
      <c r="N4784">
        <v>4</v>
      </c>
      <c r="O4784">
        <v>55</v>
      </c>
      <c r="P4784">
        <v>59</v>
      </c>
      <c r="Q4784">
        <v>591</v>
      </c>
      <c r="R4784">
        <v>592</v>
      </c>
    </row>
    <row r="4785" spans="1:18" x14ac:dyDescent="0.25">
      <c r="A4785">
        <v>593</v>
      </c>
      <c r="B4785" s="1">
        <v>40570</v>
      </c>
      <c r="C4785">
        <v>1</v>
      </c>
      <c r="D4785">
        <v>0</v>
      </c>
      <c r="E4785">
        <v>1</v>
      </c>
      <c r="F4785">
        <v>21</v>
      </c>
      <c r="G4785" t="b">
        <v>0</v>
      </c>
      <c r="H4785">
        <v>4</v>
      </c>
      <c r="I4785">
        <v>1</v>
      </c>
      <c r="J4785">
        <v>0.18</v>
      </c>
      <c r="K4785">
        <v>0.21210000000000001</v>
      </c>
      <c r="L4785">
        <v>0.74</v>
      </c>
      <c r="M4785">
        <v>8.9599999999999999E-2</v>
      </c>
      <c r="N4785">
        <v>2</v>
      </c>
      <c r="O4785">
        <v>36</v>
      </c>
      <c r="P4785">
        <v>38</v>
      </c>
      <c r="Q4785">
        <v>592</v>
      </c>
      <c r="R4785">
        <v>593</v>
      </c>
    </row>
    <row r="4786" spans="1:18" x14ac:dyDescent="0.25">
      <c r="A4786">
        <v>594</v>
      </c>
      <c r="B4786" s="1">
        <v>40570</v>
      </c>
      <c r="C4786">
        <v>1</v>
      </c>
      <c r="D4786">
        <v>0</v>
      </c>
      <c r="E4786">
        <v>1</v>
      </c>
      <c r="F4786">
        <v>22</v>
      </c>
      <c r="G4786" t="b">
        <v>0</v>
      </c>
      <c r="H4786">
        <v>4</v>
      </c>
      <c r="I4786">
        <v>1</v>
      </c>
      <c r="J4786">
        <v>0.18</v>
      </c>
      <c r="K4786">
        <v>0.21210000000000001</v>
      </c>
      <c r="L4786">
        <v>0.74</v>
      </c>
      <c r="M4786">
        <v>8.9599999999999999E-2</v>
      </c>
      <c r="N4786">
        <v>0</v>
      </c>
      <c r="O4786">
        <v>27</v>
      </c>
      <c r="P4786">
        <v>27</v>
      </c>
      <c r="Q4786">
        <v>593</v>
      </c>
      <c r="R4786">
        <v>594</v>
      </c>
    </row>
    <row r="4787" spans="1:18" x14ac:dyDescent="0.25">
      <c r="A4787">
        <v>595</v>
      </c>
      <c r="B4787" s="1">
        <v>40570</v>
      </c>
      <c r="C4787">
        <v>1</v>
      </c>
      <c r="D4787">
        <v>0</v>
      </c>
      <c r="E4787">
        <v>1</v>
      </c>
      <c r="F4787">
        <v>23</v>
      </c>
      <c r="G4787" t="b">
        <v>0</v>
      </c>
      <c r="H4787">
        <v>4</v>
      </c>
      <c r="I4787">
        <v>1</v>
      </c>
      <c r="J4787">
        <v>0.18</v>
      </c>
      <c r="K4787">
        <v>0.19700000000000001</v>
      </c>
      <c r="L4787">
        <v>0.8</v>
      </c>
      <c r="M4787">
        <v>0.16420000000000001</v>
      </c>
      <c r="N4787">
        <v>0</v>
      </c>
      <c r="O4787">
        <v>16</v>
      </c>
      <c r="P4787">
        <v>16</v>
      </c>
      <c r="Q4787">
        <v>594</v>
      </c>
      <c r="R4787">
        <v>595</v>
      </c>
    </row>
    <row r="4788" spans="1:18" x14ac:dyDescent="0.25">
      <c r="A4788">
        <v>596</v>
      </c>
      <c r="B4788" s="1">
        <v>40571</v>
      </c>
      <c r="C4788">
        <v>1</v>
      </c>
      <c r="D4788">
        <v>0</v>
      </c>
      <c r="E4788">
        <v>1</v>
      </c>
      <c r="F4788">
        <v>0</v>
      </c>
      <c r="G4788" t="b">
        <v>0</v>
      </c>
      <c r="H4788">
        <v>5</v>
      </c>
      <c r="I4788">
        <v>2</v>
      </c>
      <c r="J4788">
        <v>0.2</v>
      </c>
      <c r="K4788">
        <v>0.21210000000000001</v>
      </c>
      <c r="L4788">
        <v>0.75</v>
      </c>
      <c r="M4788">
        <v>0.1343</v>
      </c>
      <c r="N4788">
        <v>0</v>
      </c>
      <c r="O4788">
        <v>9</v>
      </c>
      <c r="P4788">
        <v>9</v>
      </c>
      <c r="Q4788">
        <v>595</v>
      </c>
      <c r="R4788">
        <v>596</v>
      </c>
    </row>
    <row r="4789" spans="1:18" x14ac:dyDescent="0.25">
      <c r="A4789">
        <v>597</v>
      </c>
      <c r="B4789" s="1">
        <v>40571</v>
      </c>
      <c r="C4789">
        <v>1</v>
      </c>
      <c r="D4789">
        <v>0</v>
      </c>
      <c r="E4789">
        <v>1</v>
      </c>
      <c r="F4789">
        <v>1</v>
      </c>
      <c r="G4789" t="b">
        <v>0</v>
      </c>
      <c r="H4789">
        <v>5</v>
      </c>
      <c r="I4789">
        <v>2</v>
      </c>
      <c r="J4789">
        <v>0.2</v>
      </c>
      <c r="K4789">
        <v>0.21210000000000001</v>
      </c>
      <c r="L4789">
        <v>0.75</v>
      </c>
      <c r="M4789">
        <v>0.1343</v>
      </c>
      <c r="N4789">
        <v>1</v>
      </c>
      <c r="O4789">
        <v>2</v>
      </c>
      <c r="P4789">
        <v>3</v>
      </c>
      <c r="Q4789">
        <v>596</v>
      </c>
      <c r="R4789">
        <v>597</v>
      </c>
    </row>
    <row r="4790" spans="1:18" x14ac:dyDescent="0.25">
      <c r="A4790">
        <v>598</v>
      </c>
      <c r="B4790" s="1">
        <v>40571</v>
      </c>
      <c r="C4790">
        <v>1</v>
      </c>
      <c r="D4790">
        <v>0</v>
      </c>
      <c r="E4790">
        <v>1</v>
      </c>
      <c r="F4790">
        <v>2</v>
      </c>
      <c r="G4790" t="b">
        <v>0</v>
      </c>
      <c r="H4790">
        <v>5</v>
      </c>
      <c r="I4790">
        <v>2</v>
      </c>
      <c r="J4790">
        <v>0.2</v>
      </c>
      <c r="K4790">
        <v>0.21210000000000001</v>
      </c>
      <c r="L4790">
        <v>0.75</v>
      </c>
      <c r="M4790">
        <v>0.16420000000000001</v>
      </c>
      <c r="N4790">
        <v>0</v>
      </c>
      <c r="O4790">
        <v>2</v>
      </c>
      <c r="P4790">
        <v>2</v>
      </c>
      <c r="Q4790">
        <v>597</v>
      </c>
      <c r="R4790">
        <v>598</v>
      </c>
    </row>
    <row r="4791" spans="1:18" x14ac:dyDescent="0.25">
      <c r="A4791">
        <v>599</v>
      </c>
      <c r="B4791" s="1">
        <v>40571</v>
      </c>
      <c r="C4791">
        <v>1</v>
      </c>
      <c r="D4791">
        <v>0</v>
      </c>
      <c r="E4791">
        <v>1</v>
      </c>
      <c r="F4791">
        <v>3</v>
      </c>
      <c r="G4791" t="b">
        <v>0</v>
      </c>
      <c r="H4791">
        <v>5</v>
      </c>
      <c r="I4791">
        <v>2</v>
      </c>
      <c r="J4791">
        <v>0.2</v>
      </c>
      <c r="K4791">
        <v>0.2273</v>
      </c>
      <c r="L4791">
        <v>0.75</v>
      </c>
      <c r="M4791">
        <v>0.1045</v>
      </c>
      <c r="N4791">
        <v>1</v>
      </c>
      <c r="O4791">
        <v>0</v>
      </c>
      <c r="P4791">
        <v>1</v>
      </c>
      <c r="Q4791">
        <v>598</v>
      </c>
      <c r="R4791">
        <v>599</v>
      </c>
    </row>
    <row r="4792" spans="1:18" x14ac:dyDescent="0.25">
      <c r="A4792">
        <v>600</v>
      </c>
      <c r="B4792" s="1">
        <v>40571</v>
      </c>
      <c r="C4792">
        <v>1</v>
      </c>
      <c r="D4792">
        <v>0</v>
      </c>
      <c r="E4792">
        <v>1</v>
      </c>
      <c r="F4792">
        <v>5</v>
      </c>
      <c r="G4792" t="b">
        <v>0</v>
      </c>
      <c r="H4792">
        <v>5</v>
      </c>
      <c r="I4792">
        <v>2</v>
      </c>
      <c r="J4792">
        <v>0.18</v>
      </c>
      <c r="K4792">
        <v>0.21210000000000001</v>
      </c>
      <c r="L4792">
        <v>0.8</v>
      </c>
      <c r="M4792">
        <v>0.1045</v>
      </c>
      <c r="N4792">
        <v>0</v>
      </c>
      <c r="O4792">
        <v>4</v>
      </c>
      <c r="P4792">
        <v>4</v>
      </c>
      <c r="Q4792">
        <v>599</v>
      </c>
      <c r="R4792">
        <v>600</v>
      </c>
    </row>
    <row r="4793" spans="1:18" x14ac:dyDescent="0.25">
      <c r="A4793">
        <v>601</v>
      </c>
      <c r="B4793" s="1">
        <v>40571</v>
      </c>
      <c r="C4793">
        <v>1</v>
      </c>
      <c r="D4793">
        <v>0</v>
      </c>
      <c r="E4793">
        <v>1</v>
      </c>
      <c r="F4793">
        <v>6</v>
      </c>
      <c r="G4793" t="b">
        <v>0</v>
      </c>
      <c r="H4793">
        <v>5</v>
      </c>
      <c r="I4793">
        <v>2</v>
      </c>
      <c r="J4793">
        <v>0.18</v>
      </c>
      <c r="K4793">
        <v>0.19700000000000001</v>
      </c>
      <c r="L4793">
        <v>0.8</v>
      </c>
      <c r="M4793">
        <v>0.1343</v>
      </c>
      <c r="N4793">
        <v>0</v>
      </c>
      <c r="O4793">
        <v>16</v>
      </c>
      <c r="P4793">
        <v>16</v>
      </c>
      <c r="Q4793">
        <v>600</v>
      </c>
      <c r="R4793">
        <v>601</v>
      </c>
    </row>
    <row r="4794" spans="1:18" x14ac:dyDescent="0.25">
      <c r="A4794">
        <v>602</v>
      </c>
      <c r="B4794" s="1">
        <v>40571</v>
      </c>
      <c r="C4794">
        <v>1</v>
      </c>
      <c r="D4794">
        <v>0</v>
      </c>
      <c r="E4794">
        <v>1</v>
      </c>
      <c r="F4794">
        <v>7</v>
      </c>
      <c r="G4794" t="b">
        <v>0</v>
      </c>
      <c r="H4794">
        <v>5</v>
      </c>
      <c r="I4794">
        <v>2</v>
      </c>
      <c r="J4794">
        <v>0.16</v>
      </c>
      <c r="K4794">
        <v>0.19700000000000001</v>
      </c>
      <c r="L4794">
        <v>0.86</v>
      </c>
      <c r="M4794">
        <v>8.9599999999999999E-2</v>
      </c>
      <c r="N4794">
        <v>2</v>
      </c>
      <c r="O4794">
        <v>58</v>
      </c>
      <c r="P4794">
        <v>60</v>
      </c>
      <c r="Q4794">
        <v>601</v>
      </c>
      <c r="R4794">
        <v>602</v>
      </c>
    </row>
    <row r="4795" spans="1:18" x14ac:dyDescent="0.25">
      <c r="A4795">
        <v>603</v>
      </c>
      <c r="B4795" s="1">
        <v>40571</v>
      </c>
      <c r="C4795">
        <v>1</v>
      </c>
      <c r="D4795">
        <v>0</v>
      </c>
      <c r="E4795">
        <v>1</v>
      </c>
      <c r="F4795">
        <v>8</v>
      </c>
      <c r="G4795" t="b">
        <v>0</v>
      </c>
      <c r="H4795">
        <v>5</v>
      </c>
      <c r="I4795">
        <v>2</v>
      </c>
      <c r="J4795">
        <v>0.16</v>
      </c>
      <c r="K4795">
        <v>0.19700000000000001</v>
      </c>
      <c r="L4795">
        <v>0.86</v>
      </c>
      <c r="M4795">
        <v>8.9599999999999999E-2</v>
      </c>
      <c r="N4795">
        <v>2</v>
      </c>
      <c r="O4795">
        <v>155</v>
      </c>
      <c r="P4795">
        <v>157</v>
      </c>
      <c r="Q4795">
        <v>602</v>
      </c>
      <c r="R4795">
        <v>603</v>
      </c>
    </row>
    <row r="4796" spans="1:18" x14ac:dyDescent="0.25">
      <c r="A4796">
        <v>604</v>
      </c>
      <c r="B4796" s="1">
        <v>40571</v>
      </c>
      <c r="C4796">
        <v>1</v>
      </c>
      <c r="D4796">
        <v>0</v>
      </c>
      <c r="E4796">
        <v>1</v>
      </c>
      <c r="F4796">
        <v>9</v>
      </c>
      <c r="G4796" t="b">
        <v>0</v>
      </c>
      <c r="H4796">
        <v>5</v>
      </c>
      <c r="I4796">
        <v>3</v>
      </c>
      <c r="J4796">
        <v>0.18</v>
      </c>
      <c r="K4796">
        <v>0.21210000000000001</v>
      </c>
      <c r="L4796">
        <v>0.86</v>
      </c>
      <c r="M4796">
        <v>8.9599999999999999E-2</v>
      </c>
      <c r="N4796">
        <v>6</v>
      </c>
      <c r="O4796">
        <v>95</v>
      </c>
      <c r="P4796">
        <v>101</v>
      </c>
      <c r="Q4796">
        <v>603</v>
      </c>
      <c r="R4796">
        <v>604</v>
      </c>
    </row>
    <row r="4797" spans="1:18" x14ac:dyDescent="0.25">
      <c r="A4797">
        <v>605</v>
      </c>
      <c r="B4797" s="1">
        <v>40571</v>
      </c>
      <c r="C4797">
        <v>1</v>
      </c>
      <c r="D4797">
        <v>0</v>
      </c>
      <c r="E4797">
        <v>1</v>
      </c>
      <c r="F4797">
        <v>10</v>
      </c>
      <c r="G4797" t="b">
        <v>0</v>
      </c>
      <c r="H4797">
        <v>5</v>
      </c>
      <c r="I4797">
        <v>3</v>
      </c>
      <c r="J4797">
        <v>0.18</v>
      </c>
      <c r="K4797">
        <v>0.21210000000000001</v>
      </c>
      <c r="L4797">
        <v>0.86</v>
      </c>
      <c r="M4797">
        <v>0.1045</v>
      </c>
      <c r="N4797">
        <v>0</v>
      </c>
      <c r="O4797">
        <v>49</v>
      </c>
      <c r="P4797">
        <v>49</v>
      </c>
      <c r="Q4797">
        <v>604</v>
      </c>
      <c r="R4797">
        <v>605</v>
      </c>
    </row>
    <row r="4798" spans="1:18" x14ac:dyDescent="0.25">
      <c r="A4798">
        <v>606</v>
      </c>
      <c r="B4798" s="1">
        <v>40571</v>
      </c>
      <c r="C4798">
        <v>1</v>
      </c>
      <c r="D4798">
        <v>0</v>
      </c>
      <c r="E4798">
        <v>1</v>
      </c>
      <c r="F4798">
        <v>11</v>
      </c>
      <c r="G4798" t="b">
        <v>0</v>
      </c>
      <c r="H4798">
        <v>5</v>
      </c>
      <c r="I4798">
        <v>3</v>
      </c>
      <c r="J4798">
        <v>0.18</v>
      </c>
      <c r="K4798">
        <v>0.21210000000000001</v>
      </c>
      <c r="L4798">
        <v>0.93</v>
      </c>
      <c r="M4798">
        <v>0.1045</v>
      </c>
      <c r="N4798">
        <v>0</v>
      </c>
      <c r="O4798">
        <v>30</v>
      </c>
      <c r="P4798">
        <v>30</v>
      </c>
      <c r="Q4798">
        <v>605</v>
      </c>
      <c r="R4798">
        <v>606</v>
      </c>
    </row>
    <row r="4799" spans="1:18" x14ac:dyDescent="0.25">
      <c r="A4799">
        <v>607</v>
      </c>
      <c r="B4799" s="1">
        <v>40571</v>
      </c>
      <c r="C4799">
        <v>1</v>
      </c>
      <c r="D4799">
        <v>0</v>
      </c>
      <c r="E4799">
        <v>1</v>
      </c>
      <c r="F4799">
        <v>12</v>
      </c>
      <c r="G4799" t="b">
        <v>0</v>
      </c>
      <c r="H4799">
        <v>5</v>
      </c>
      <c r="I4799">
        <v>3</v>
      </c>
      <c r="J4799">
        <v>0.18</v>
      </c>
      <c r="K4799">
        <v>0.21210000000000001</v>
      </c>
      <c r="L4799">
        <v>0.93</v>
      </c>
      <c r="M4799">
        <v>0.1045</v>
      </c>
      <c r="N4799">
        <v>1</v>
      </c>
      <c r="O4799">
        <v>28</v>
      </c>
      <c r="P4799">
        <v>29</v>
      </c>
      <c r="Q4799">
        <v>606</v>
      </c>
      <c r="R4799">
        <v>607</v>
      </c>
    </row>
    <row r="4800" spans="1:18" x14ac:dyDescent="0.25">
      <c r="A4800">
        <v>608</v>
      </c>
      <c r="B4800" s="1">
        <v>40571</v>
      </c>
      <c r="C4800">
        <v>1</v>
      </c>
      <c r="D4800">
        <v>0</v>
      </c>
      <c r="E4800">
        <v>1</v>
      </c>
      <c r="F4800">
        <v>13</v>
      </c>
      <c r="G4800" t="b">
        <v>0</v>
      </c>
      <c r="H4800">
        <v>5</v>
      </c>
      <c r="I4800">
        <v>3</v>
      </c>
      <c r="J4800">
        <v>0.18</v>
      </c>
      <c r="K4800">
        <v>0.21210000000000001</v>
      </c>
      <c r="L4800">
        <v>0.93</v>
      </c>
      <c r="M4800">
        <v>0.1045</v>
      </c>
      <c r="N4800">
        <v>0</v>
      </c>
      <c r="O4800">
        <v>31</v>
      </c>
      <c r="P4800">
        <v>31</v>
      </c>
      <c r="Q4800">
        <v>607</v>
      </c>
      <c r="R4800">
        <v>608</v>
      </c>
    </row>
    <row r="4801" spans="1:18" x14ac:dyDescent="0.25">
      <c r="A4801">
        <v>609</v>
      </c>
      <c r="B4801" s="1">
        <v>40571</v>
      </c>
      <c r="C4801">
        <v>1</v>
      </c>
      <c r="D4801">
        <v>0</v>
      </c>
      <c r="E4801">
        <v>1</v>
      </c>
      <c r="F4801">
        <v>14</v>
      </c>
      <c r="G4801" t="b">
        <v>0</v>
      </c>
      <c r="H4801">
        <v>5</v>
      </c>
      <c r="I4801">
        <v>3</v>
      </c>
      <c r="J4801">
        <v>0.22</v>
      </c>
      <c r="K4801">
        <v>0.2727</v>
      </c>
      <c r="L4801">
        <v>0.8</v>
      </c>
      <c r="M4801">
        <v>0</v>
      </c>
      <c r="N4801">
        <v>2</v>
      </c>
      <c r="O4801">
        <v>36</v>
      </c>
      <c r="P4801">
        <v>38</v>
      </c>
      <c r="Q4801">
        <v>608</v>
      </c>
      <c r="R4801">
        <v>609</v>
      </c>
    </row>
    <row r="4802" spans="1:18" x14ac:dyDescent="0.25">
      <c r="A4802">
        <v>610</v>
      </c>
      <c r="B4802" s="1">
        <v>40571</v>
      </c>
      <c r="C4802">
        <v>1</v>
      </c>
      <c r="D4802">
        <v>0</v>
      </c>
      <c r="E4802">
        <v>1</v>
      </c>
      <c r="F4802">
        <v>15</v>
      </c>
      <c r="G4802" t="b">
        <v>0</v>
      </c>
      <c r="H4802">
        <v>5</v>
      </c>
      <c r="I4802">
        <v>2</v>
      </c>
      <c r="J4802">
        <v>0.2</v>
      </c>
      <c r="K4802">
        <v>0.2576</v>
      </c>
      <c r="L4802">
        <v>0.86</v>
      </c>
      <c r="M4802">
        <v>0</v>
      </c>
      <c r="N4802">
        <v>1</v>
      </c>
      <c r="O4802">
        <v>40</v>
      </c>
      <c r="P4802">
        <v>41</v>
      </c>
      <c r="Q4802">
        <v>609</v>
      </c>
      <c r="R4802">
        <v>610</v>
      </c>
    </row>
    <row r="4803" spans="1:18" x14ac:dyDescent="0.25">
      <c r="B4803"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0B15-A3EC-43E1-B29B-9D6CE503B59B}">
  <dimension ref="H1:N2"/>
  <sheetViews>
    <sheetView showGridLines="0" workbookViewId="0">
      <selection activeCell="K2" sqref="K2"/>
    </sheetView>
  </sheetViews>
  <sheetFormatPr defaultRowHeight="15" x14ac:dyDescent="0.25"/>
  <cols>
    <col min="1" max="16384" width="9.140625" style="15"/>
  </cols>
  <sheetData>
    <row r="1" spans="8:14" ht="27" thickBot="1" x14ac:dyDescent="0.45">
      <c r="H1" s="17" t="s">
        <v>40</v>
      </c>
      <c r="I1" s="12"/>
      <c r="J1" s="13"/>
      <c r="K1" s="14"/>
      <c r="L1" s="13"/>
      <c r="M1" s="13"/>
      <c r="N1" s="14"/>
    </row>
    <row r="2" spans="8:14" ht="26.25" x14ac:dyDescent="0.4">
      <c r="H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3485-8BA4-45BD-9137-805B94C499B3}">
  <dimension ref="A1:B48"/>
  <sheetViews>
    <sheetView topLeftCell="A13" zoomScaleNormal="100" workbookViewId="0">
      <selection activeCell="B17" sqref="B17:D19"/>
    </sheetView>
  </sheetViews>
  <sheetFormatPr defaultRowHeight="15" x14ac:dyDescent="0.25"/>
  <sheetData>
    <row r="1" spans="1:2" x14ac:dyDescent="0.25">
      <c r="A1">
        <v>1</v>
      </c>
      <c r="B1" t="s">
        <v>41</v>
      </c>
    </row>
    <row r="2" spans="1:2" x14ac:dyDescent="0.25">
      <c r="B2" t="s">
        <v>42</v>
      </c>
    </row>
    <row r="3" spans="1:2" x14ac:dyDescent="0.25">
      <c r="B3" t="s">
        <v>43</v>
      </c>
    </row>
    <row r="4" spans="1:2" x14ac:dyDescent="0.25">
      <c r="B4" t="s">
        <v>44</v>
      </c>
    </row>
    <row r="5" spans="1:2" x14ac:dyDescent="0.25">
      <c r="B5" t="s">
        <v>45</v>
      </c>
    </row>
    <row r="6" spans="1:2" x14ac:dyDescent="0.25">
      <c r="B6" t="s">
        <v>46</v>
      </c>
    </row>
    <row r="7" spans="1:2" x14ac:dyDescent="0.25">
      <c r="B7" t="s">
        <v>47</v>
      </c>
    </row>
    <row r="8" spans="1:2" x14ac:dyDescent="0.25">
      <c r="B8" t="s">
        <v>48</v>
      </c>
    </row>
    <row r="9" spans="1:2" x14ac:dyDescent="0.25">
      <c r="B9" t="s">
        <v>49</v>
      </c>
    </row>
    <row r="11" spans="1:2" x14ac:dyDescent="0.25">
      <c r="A11">
        <v>2</v>
      </c>
      <c r="B11" t="s">
        <v>50</v>
      </c>
    </row>
    <row r="12" spans="1:2" x14ac:dyDescent="0.25">
      <c r="B12" t="s">
        <v>51</v>
      </c>
    </row>
    <row r="13" spans="1:2" x14ac:dyDescent="0.25">
      <c r="B13" t="s">
        <v>42</v>
      </c>
    </row>
    <row r="14" spans="1:2" x14ac:dyDescent="0.25">
      <c r="B14" t="s">
        <v>52</v>
      </c>
    </row>
    <row r="15" spans="1:2" x14ac:dyDescent="0.25">
      <c r="B15" t="s">
        <v>53</v>
      </c>
    </row>
    <row r="17" spans="1:2" x14ac:dyDescent="0.25">
      <c r="A17">
        <v>3</v>
      </c>
      <c r="B17" t="s">
        <v>54</v>
      </c>
    </row>
    <row r="18" spans="1:2" x14ac:dyDescent="0.25">
      <c r="B18" t="s">
        <v>55</v>
      </c>
    </row>
    <row r="19" spans="1:2" x14ac:dyDescent="0.25">
      <c r="B19" t="s">
        <v>56</v>
      </c>
    </row>
    <row r="21" spans="1:2" x14ac:dyDescent="0.25">
      <c r="B21" t="s">
        <v>57</v>
      </c>
    </row>
    <row r="22" spans="1:2" x14ac:dyDescent="0.25">
      <c r="B22" t="s">
        <v>58</v>
      </c>
    </row>
    <row r="24" spans="1:2" x14ac:dyDescent="0.25">
      <c r="A24">
        <v>4</v>
      </c>
      <c r="B24" t="s">
        <v>59</v>
      </c>
    </row>
    <row r="25" spans="1:2" x14ac:dyDescent="0.25">
      <c r="B25" t="s">
        <v>60</v>
      </c>
    </row>
    <row r="26" spans="1:2" x14ac:dyDescent="0.25">
      <c r="B26" t="s">
        <v>61</v>
      </c>
    </row>
    <row r="27" spans="1:2" x14ac:dyDescent="0.25">
      <c r="B27" t="s">
        <v>62</v>
      </c>
    </row>
    <row r="29" spans="1:2" x14ac:dyDescent="0.25">
      <c r="A29">
        <v>5</v>
      </c>
      <c r="B29" t="s">
        <v>63</v>
      </c>
    </row>
    <row r="30" spans="1:2" x14ac:dyDescent="0.25">
      <c r="B30" t="s">
        <v>64</v>
      </c>
    </row>
    <row r="32" spans="1:2" x14ac:dyDescent="0.25">
      <c r="A32">
        <v>6</v>
      </c>
      <c r="B32" t="s">
        <v>65</v>
      </c>
    </row>
    <row r="33" spans="1:2" x14ac:dyDescent="0.25">
      <c r="B33" t="s">
        <v>66</v>
      </c>
    </row>
    <row r="34" spans="1:2" x14ac:dyDescent="0.25">
      <c r="B34" t="s">
        <v>67</v>
      </c>
    </row>
    <row r="36" spans="1:2" x14ac:dyDescent="0.25">
      <c r="A36">
        <v>7</v>
      </c>
      <c r="B36" t="s">
        <v>68</v>
      </c>
    </row>
    <row r="37" spans="1:2" x14ac:dyDescent="0.25">
      <c r="B37" t="s">
        <v>69</v>
      </c>
    </row>
    <row r="39" spans="1:2" x14ac:dyDescent="0.25">
      <c r="A39">
        <v>8</v>
      </c>
      <c r="B39" t="s">
        <v>70</v>
      </c>
    </row>
    <row r="40" spans="1:2" x14ac:dyDescent="0.25">
      <c r="B40" t="s">
        <v>71</v>
      </c>
    </row>
    <row r="41" spans="1:2" x14ac:dyDescent="0.25">
      <c r="B41" t="s">
        <v>72</v>
      </c>
    </row>
    <row r="42" spans="1:2" x14ac:dyDescent="0.25">
      <c r="B42" t="s">
        <v>73</v>
      </c>
    </row>
    <row r="44" spans="1:2" x14ac:dyDescent="0.25">
      <c r="A44">
        <v>9</v>
      </c>
      <c r="B44" t="s">
        <v>74</v>
      </c>
    </row>
    <row r="45" spans="1:2" x14ac:dyDescent="0.25">
      <c r="B45" t="s">
        <v>75</v>
      </c>
    </row>
    <row r="46" spans="1:2" x14ac:dyDescent="0.25">
      <c r="B46" t="s">
        <v>76</v>
      </c>
    </row>
    <row r="47" spans="1:2" x14ac:dyDescent="0.25">
      <c r="B47" t="s">
        <v>77</v>
      </c>
    </row>
    <row r="48" spans="1:2" x14ac:dyDescent="0.25">
      <c r="B48"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A5D04-DCD8-4A7C-96FE-7CB1F61DEC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bikes booked as per hour</vt:lpstr>
      <vt:lpstr>bikes booked as per dates</vt:lpstr>
      <vt:lpstr>booked as per windspeed</vt:lpstr>
      <vt:lpstr>booked as per days</vt:lpstr>
      <vt:lpstr>as per weather</vt:lpstr>
      <vt:lpstr>Append1</vt:lpstr>
      <vt:lpstr>fdata 1</vt:lpstr>
      <vt:lpstr>fdata 2</vt:lpstr>
      <vt:lpstr>Report of Bikes registered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anjali tyagi</cp:lastModifiedBy>
  <dcterms:created xsi:type="dcterms:W3CDTF">2026-03-17T19:58:53Z</dcterms:created>
  <dcterms:modified xsi:type="dcterms:W3CDTF">2026-03-25T11:52:49Z</dcterms:modified>
</cp:coreProperties>
</file>